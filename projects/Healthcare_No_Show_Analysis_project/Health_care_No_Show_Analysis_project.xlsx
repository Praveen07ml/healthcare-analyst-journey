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a4f0da8943f55f/Data Science Journey/healthcare-analyst-journey/Excel Files/"/>
    </mc:Choice>
  </mc:AlternateContent>
  <xr:revisionPtr revIDLastSave="500" documentId="8_{FB28D599-4809-4DC1-B5D6-F00C8ABC2512}" xr6:coauthVersionLast="47" xr6:coauthVersionMax="47" xr10:uidLastSave="{A35A9E5E-F3A8-4753-848C-C5A81EB6F765}"/>
  <bookViews>
    <workbookView xWindow="-108" yWindow="-108" windowWidth="23256" windowHeight="12456" activeTab="1" xr2:uid="{07F4ED6D-5197-46C7-BABF-24F202010652}"/>
  </bookViews>
  <sheets>
    <sheet name="Appointments" sheetId="2" r:id="rId1"/>
    <sheet name="Pivot tables" sheetId="1" r:id="rId2"/>
    <sheet name="Dashboard" sheetId="6" r:id="rId3"/>
    <sheet name="Tasks" sheetId="3" r:id="rId4"/>
  </sheets>
  <calcPr calcId="191029"/>
  <pivotCaches>
    <pivotCache cacheId="3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23" i="1" l="1"/>
  <c r="D218" i="1"/>
  <c r="D222" i="1"/>
  <c r="D221" i="1"/>
  <c r="D219" i="1"/>
  <c r="D214" i="1"/>
  <c r="D217" i="1"/>
  <c r="D215" i="1"/>
  <c r="D216" i="1"/>
  <c r="D220" i="1"/>
  <c r="D181" i="1"/>
  <c r="D182" i="1"/>
  <c r="D183" i="1"/>
  <c r="D180" i="1"/>
  <c r="D178" i="1"/>
  <c r="D185" i="1"/>
  <c r="D184" i="1"/>
  <c r="D179" i="1"/>
  <c r="D152" i="1"/>
  <c r="D151" i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2" i="2"/>
  <c r="D133" i="1"/>
  <c r="D132" i="1"/>
  <c r="D107" i="1"/>
  <c r="D104" i="1"/>
  <c r="D102" i="1"/>
  <c r="D105" i="1"/>
  <c r="D108" i="1"/>
  <c r="D106" i="1"/>
  <c r="D110" i="1"/>
  <c r="D103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2" i="2"/>
  <c r="D72" i="1"/>
  <c r="D73" i="1"/>
  <c r="D74" i="1"/>
  <c r="D71" i="1"/>
  <c r="D43" i="1"/>
  <c r="D38" i="1"/>
  <c r="D39" i="1"/>
  <c r="D40" i="1"/>
  <c r="D42" i="1"/>
  <c r="D41" i="1"/>
  <c r="D44" i="1"/>
  <c r="D47" i="1"/>
  <c r="D45" i="1"/>
</calcChain>
</file>

<file path=xl/sharedStrings.xml><?xml version="1.0" encoding="utf-8"?>
<sst xmlns="http://schemas.openxmlformats.org/spreadsheetml/2006/main" count="7753" uniqueCount="1042">
  <si>
    <t>41-60</t>
  </si>
  <si>
    <t>Hill Top</t>
  </si>
  <si>
    <t>11:32</t>
  </si>
  <si>
    <t>General Medicine</t>
  </si>
  <si>
    <t>Male</t>
  </si>
  <si>
    <t>Lake View</t>
  </si>
  <si>
    <t>06:41</t>
  </si>
  <si>
    <t>Dental</t>
  </si>
  <si>
    <t>Female</t>
  </si>
  <si>
    <t>Above 60</t>
  </si>
  <si>
    <t>East Market</t>
  </si>
  <si>
    <t>22:17</t>
  </si>
  <si>
    <t>West End</t>
  </si>
  <si>
    <t>22:42</t>
  </si>
  <si>
    <t>Dermatology</t>
  </si>
  <si>
    <t>Green Park</t>
  </si>
  <si>
    <t>14:19</t>
  </si>
  <si>
    <t>Central City</t>
  </si>
  <si>
    <t>16:53</t>
  </si>
  <si>
    <t>Pediatrics</t>
  </si>
  <si>
    <t>Old Town</t>
  </si>
  <si>
    <t>17:45</t>
  </si>
  <si>
    <t>19-40</t>
  </si>
  <si>
    <t>Sunrise Colony</t>
  </si>
  <si>
    <t>11:35</t>
  </si>
  <si>
    <t>Neurology</t>
  </si>
  <si>
    <t>15:52</t>
  </si>
  <si>
    <t>00:26</t>
  </si>
  <si>
    <t>Psychiatry</t>
  </si>
  <si>
    <t>19:06</t>
  </si>
  <si>
    <t>0-18</t>
  </si>
  <si>
    <t>North Hills</t>
  </si>
  <si>
    <t>07:32</t>
  </si>
  <si>
    <t>19:16</t>
  </si>
  <si>
    <t>08:27</t>
  </si>
  <si>
    <t>15:20</t>
  </si>
  <si>
    <t>Cardiology</t>
  </si>
  <si>
    <t>22:49</t>
  </si>
  <si>
    <t>19:10</t>
  </si>
  <si>
    <t>15:59</t>
  </si>
  <si>
    <t>06:57</t>
  </si>
  <si>
    <t>07:36</t>
  </si>
  <si>
    <t>16:30</t>
  </si>
  <si>
    <t>04:59</t>
  </si>
  <si>
    <t>13:38</t>
  </si>
  <si>
    <t>River Side</t>
  </si>
  <si>
    <t>03:42</t>
  </si>
  <si>
    <t>02:59</t>
  </si>
  <si>
    <t>04:38</t>
  </si>
  <si>
    <t>08:11</t>
  </si>
  <si>
    <t>01:04</t>
  </si>
  <si>
    <t>02:46</t>
  </si>
  <si>
    <t>07:56</t>
  </si>
  <si>
    <t>09:42</t>
  </si>
  <si>
    <t>16:37</t>
  </si>
  <si>
    <t>05:00</t>
  </si>
  <si>
    <t>01:51</t>
  </si>
  <si>
    <t>13:55</t>
  </si>
  <si>
    <t>Orthopedics</t>
  </si>
  <si>
    <t>16:35</t>
  </si>
  <si>
    <t>01:46</t>
  </si>
  <si>
    <t>20:47</t>
  </si>
  <si>
    <t>09:35</t>
  </si>
  <si>
    <t>22:29</t>
  </si>
  <si>
    <t>15:38</t>
  </si>
  <si>
    <t>16:59</t>
  </si>
  <si>
    <t>12:22</t>
  </si>
  <si>
    <t>06:28</t>
  </si>
  <si>
    <t>00:47</t>
  </si>
  <si>
    <t>17:08</t>
  </si>
  <si>
    <t>04:29</t>
  </si>
  <si>
    <t>08:23</t>
  </si>
  <si>
    <t>14:25</t>
  </si>
  <si>
    <t>09:06</t>
  </si>
  <si>
    <t>07:01</t>
  </si>
  <si>
    <t>01:31</t>
  </si>
  <si>
    <t>12:33</t>
  </si>
  <si>
    <t>18:21</t>
  </si>
  <si>
    <t>14:03</t>
  </si>
  <si>
    <t>12:49</t>
  </si>
  <si>
    <t>03:36</t>
  </si>
  <si>
    <t>21:30</t>
  </si>
  <si>
    <t>20:56</t>
  </si>
  <si>
    <t>14:00</t>
  </si>
  <si>
    <t>23:36</t>
  </si>
  <si>
    <t>04:49</t>
  </si>
  <si>
    <t>00:11</t>
  </si>
  <si>
    <t>01:32</t>
  </si>
  <si>
    <t>22:11</t>
  </si>
  <si>
    <t>07:57</t>
  </si>
  <si>
    <t>03:26</t>
  </si>
  <si>
    <t>03:27</t>
  </si>
  <si>
    <t>02:47</t>
  </si>
  <si>
    <t>23:20</t>
  </si>
  <si>
    <t>18:46</t>
  </si>
  <si>
    <t>22:50</t>
  </si>
  <si>
    <t>16:36</t>
  </si>
  <si>
    <t>01:15</t>
  </si>
  <si>
    <t>04:26</t>
  </si>
  <si>
    <t>14:55</t>
  </si>
  <si>
    <t>11:17</t>
  </si>
  <si>
    <t>06:42</t>
  </si>
  <si>
    <t>09:12</t>
  </si>
  <si>
    <t>00:02</t>
  </si>
  <si>
    <t>04:12</t>
  </si>
  <si>
    <t>04:25</t>
  </si>
  <si>
    <t>07:10</t>
  </si>
  <si>
    <t>12:40</t>
  </si>
  <si>
    <t>18:44</t>
  </si>
  <si>
    <t>02:02</t>
  </si>
  <si>
    <t>14:09</t>
  </si>
  <si>
    <t>02:52</t>
  </si>
  <si>
    <t>19:30</t>
  </si>
  <si>
    <t>14:42</t>
  </si>
  <si>
    <t>20:54</t>
  </si>
  <si>
    <t>09:36</t>
  </si>
  <si>
    <t>05:43</t>
  </si>
  <si>
    <t>11:16</t>
  </si>
  <si>
    <t>09:24</t>
  </si>
  <si>
    <t>19:49</t>
  </si>
  <si>
    <t>22:35</t>
  </si>
  <si>
    <t>12:53</t>
  </si>
  <si>
    <t>19:56</t>
  </si>
  <si>
    <t>12:52</t>
  </si>
  <si>
    <t>04:39</t>
  </si>
  <si>
    <t>20:24</t>
  </si>
  <si>
    <t>10:40</t>
  </si>
  <si>
    <t>23:45</t>
  </si>
  <si>
    <t>17:11</t>
  </si>
  <si>
    <t>00:39</t>
  </si>
  <si>
    <t>17:26</t>
  </si>
  <si>
    <t>20:18</t>
  </si>
  <si>
    <t>19:21</t>
  </si>
  <si>
    <t>10:29</t>
  </si>
  <si>
    <t>06:29</t>
  </si>
  <si>
    <t>06:02</t>
  </si>
  <si>
    <t>03:15</t>
  </si>
  <si>
    <t>20:05</t>
  </si>
  <si>
    <t>02:12</t>
  </si>
  <si>
    <t>12:59</t>
  </si>
  <si>
    <t>20:10</t>
  </si>
  <si>
    <t>03:22</t>
  </si>
  <si>
    <t>04:43</t>
  </si>
  <si>
    <t>03:34</t>
  </si>
  <si>
    <t>02:11</t>
  </si>
  <si>
    <t>03:31</t>
  </si>
  <si>
    <t>11:43</t>
  </si>
  <si>
    <t>01:56</t>
  </si>
  <si>
    <t>05:05</t>
  </si>
  <si>
    <t>02:45</t>
  </si>
  <si>
    <t>12:21</t>
  </si>
  <si>
    <t>05:42</t>
  </si>
  <si>
    <t>15:55</t>
  </si>
  <si>
    <t>01:24</t>
  </si>
  <si>
    <t>20:08</t>
  </si>
  <si>
    <t>03:04</t>
  </si>
  <si>
    <t>23:16</t>
  </si>
  <si>
    <t>11:20</t>
  </si>
  <si>
    <t>22:45</t>
  </si>
  <si>
    <t>00:22</t>
  </si>
  <si>
    <t>03:55</t>
  </si>
  <si>
    <t>19:25</t>
  </si>
  <si>
    <t>19:57</t>
  </si>
  <si>
    <t>11:54</t>
  </si>
  <si>
    <t>13:11</t>
  </si>
  <si>
    <t>02:41</t>
  </si>
  <si>
    <t>02:32</t>
  </si>
  <si>
    <t>04:37</t>
  </si>
  <si>
    <t>20:28</t>
  </si>
  <si>
    <t>16:10</t>
  </si>
  <si>
    <t>07:52</t>
  </si>
  <si>
    <t>17:32</t>
  </si>
  <si>
    <t>18:54</t>
  </si>
  <si>
    <t>07:02</t>
  </si>
  <si>
    <t>08:29</t>
  </si>
  <si>
    <t>03:21</t>
  </si>
  <si>
    <t>13:42</t>
  </si>
  <si>
    <t>09:50</t>
  </si>
  <si>
    <t>05:58</t>
  </si>
  <si>
    <t>15:16</t>
  </si>
  <si>
    <t>04:13</t>
  </si>
  <si>
    <t>00:18</t>
  </si>
  <si>
    <t>21:33</t>
  </si>
  <si>
    <t>10:25</t>
  </si>
  <si>
    <t>22:40</t>
  </si>
  <si>
    <t>23:39</t>
  </si>
  <si>
    <t>16:58</t>
  </si>
  <si>
    <t>01:18</t>
  </si>
  <si>
    <t>18:53</t>
  </si>
  <si>
    <t>14:26</t>
  </si>
  <si>
    <t>17:13</t>
  </si>
  <si>
    <t>15:24</t>
  </si>
  <si>
    <t>08:30</t>
  </si>
  <si>
    <t>23:24</t>
  </si>
  <si>
    <t>21:41</t>
  </si>
  <si>
    <t>05:55</t>
  </si>
  <si>
    <t>17:24</t>
  </si>
  <si>
    <t>10:49</t>
  </si>
  <si>
    <t>10:50</t>
  </si>
  <si>
    <t>08:34</t>
  </si>
  <si>
    <t>02:56</t>
  </si>
  <si>
    <t>03:11</t>
  </si>
  <si>
    <t>08:05</t>
  </si>
  <si>
    <t>11:11</t>
  </si>
  <si>
    <t>11:52</t>
  </si>
  <si>
    <t>00:05</t>
  </si>
  <si>
    <t>00:37</t>
  </si>
  <si>
    <t>10:51</t>
  </si>
  <si>
    <t>15:06</t>
  </si>
  <si>
    <t>21:24</t>
  </si>
  <si>
    <t>14:21</t>
  </si>
  <si>
    <t>23:10</t>
  </si>
  <si>
    <t>14:50</t>
  </si>
  <si>
    <t>23:34</t>
  </si>
  <si>
    <t>03:19</t>
  </si>
  <si>
    <t>10:44</t>
  </si>
  <si>
    <t>03:09</t>
  </si>
  <si>
    <t>13:12</t>
  </si>
  <si>
    <t>22:19</t>
  </si>
  <si>
    <t>17:19</t>
  </si>
  <si>
    <t>13:44</t>
  </si>
  <si>
    <t>00:51</t>
  </si>
  <si>
    <t>17:43</t>
  </si>
  <si>
    <t>16:26</t>
  </si>
  <si>
    <t>11:48</t>
  </si>
  <si>
    <t>19:59</t>
  </si>
  <si>
    <t>05:10</t>
  </si>
  <si>
    <t>05:14</t>
  </si>
  <si>
    <t>19:50</t>
  </si>
  <si>
    <t>20:49</t>
  </si>
  <si>
    <t>12:13</t>
  </si>
  <si>
    <t>21:04</t>
  </si>
  <si>
    <t>10:26</t>
  </si>
  <si>
    <t>22:12</t>
  </si>
  <si>
    <t>13:27</t>
  </si>
  <si>
    <t>11:19</t>
  </si>
  <si>
    <t>17:04</t>
  </si>
  <si>
    <t>18:45</t>
  </si>
  <si>
    <t>18:29</t>
  </si>
  <si>
    <t>00:46</t>
  </si>
  <si>
    <t>10:20</t>
  </si>
  <si>
    <t>00:30</t>
  </si>
  <si>
    <t>15:58</t>
  </si>
  <si>
    <t>17:00</t>
  </si>
  <si>
    <t>22:10</t>
  </si>
  <si>
    <t>20:58</t>
  </si>
  <si>
    <t>15:15</t>
  </si>
  <si>
    <t>19:36</t>
  </si>
  <si>
    <t>16:08</t>
  </si>
  <si>
    <t>15:02</t>
  </si>
  <si>
    <t>10:11</t>
  </si>
  <si>
    <t>10:33</t>
  </si>
  <si>
    <t>21:26</t>
  </si>
  <si>
    <t>21:12</t>
  </si>
  <si>
    <t>17:16</t>
  </si>
  <si>
    <t>07:07</t>
  </si>
  <si>
    <t>17:49</t>
  </si>
  <si>
    <t>22:06</t>
  </si>
  <si>
    <t>14:35</t>
  </si>
  <si>
    <t>14:33</t>
  </si>
  <si>
    <t>16:24</t>
  </si>
  <si>
    <t>09:08</t>
  </si>
  <si>
    <t>08:53</t>
  </si>
  <si>
    <t>22:30</t>
  </si>
  <si>
    <t>07:37</t>
  </si>
  <si>
    <t>20:23</t>
  </si>
  <si>
    <t>04:46</t>
  </si>
  <si>
    <t>06:25</t>
  </si>
  <si>
    <t>01:55</t>
  </si>
  <si>
    <t>23:41</t>
  </si>
  <si>
    <t>07:18</t>
  </si>
  <si>
    <t>23:02</t>
  </si>
  <si>
    <t>10:04</t>
  </si>
  <si>
    <t>20:44</t>
  </si>
  <si>
    <t>16:00</t>
  </si>
  <si>
    <t>12:03</t>
  </si>
  <si>
    <t>23:35</t>
  </si>
  <si>
    <t>15:01</t>
  </si>
  <si>
    <t>08:41</t>
  </si>
  <si>
    <t>15:41</t>
  </si>
  <si>
    <t>10:34</t>
  </si>
  <si>
    <t>03:01</t>
  </si>
  <si>
    <t>13:19</t>
  </si>
  <si>
    <t>07:49</t>
  </si>
  <si>
    <t>15:21</t>
  </si>
  <si>
    <t>07:41</t>
  </si>
  <si>
    <t>10:38</t>
  </si>
  <si>
    <t>18:34</t>
  </si>
  <si>
    <t>22:23</t>
  </si>
  <si>
    <t>06:15</t>
  </si>
  <si>
    <t>15:51</t>
  </si>
  <si>
    <t>13:45</t>
  </si>
  <si>
    <t>15:17</t>
  </si>
  <si>
    <t>11:55</t>
  </si>
  <si>
    <t>15:05</t>
  </si>
  <si>
    <t>14:56</t>
  </si>
  <si>
    <t>08:36</t>
  </si>
  <si>
    <t>23:08</t>
  </si>
  <si>
    <t>01:21</t>
  </si>
  <si>
    <t>17:47</t>
  </si>
  <si>
    <t>15:48</t>
  </si>
  <si>
    <t>11:21</t>
  </si>
  <si>
    <t>10:13</t>
  </si>
  <si>
    <t>14:27</t>
  </si>
  <si>
    <t>15:43</t>
  </si>
  <si>
    <t>01:30</t>
  </si>
  <si>
    <t>21:22</t>
  </si>
  <si>
    <t>00:23</t>
  </si>
  <si>
    <t>17:37</t>
  </si>
  <si>
    <t>02:15</t>
  </si>
  <si>
    <t>09:30</t>
  </si>
  <si>
    <t>12:29</t>
  </si>
  <si>
    <t>19:53</t>
  </si>
  <si>
    <t>23:28</t>
  </si>
  <si>
    <t>22:25</t>
  </si>
  <si>
    <t>09:31</t>
  </si>
  <si>
    <t>05:33</t>
  </si>
  <si>
    <t>15:10</t>
  </si>
  <si>
    <t>11:29</t>
  </si>
  <si>
    <t>01:41</t>
  </si>
  <si>
    <t>16:51</t>
  </si>
  <si>
    <t>18:10</t>
  </si>
  <si>
    <t>17:22</t>
  </si>
  <si>
    <t>02:18</t>
  </si>
  <si>
    <t>01:27</t>
  </si>
  <si>
    <t>19:26</t>
  </si>
  <si>
    <t>17:20</t>
  </si>
  <si>
    <t>19:22</t>
  </si>
  <si>
    <t>16:05</t>
  </si>
  <si>
    <t>09:27</t>
  </si>
  <si>
    <t>11:30</t>
  </si>
  <si>
    <t>21:10</t>
  </si>
  <si>
    <t>21:42</t>
  </si>
  <si>
    <t>09:40</t>
  </si>
  <si>
    <t>00:56</t>
  </si>
  <si>
    <t>20:25</t>
  </si>
  <si>
    <t>04:28</t>
  </si>
  <si>
    <t>19:54</t>
  </si>
  <si>
    <t>10:45</t>
  </si>
  <si>
    <t>07:26</t>
  </si>
  <si>
    <t>02:27</t>
  </si>
  <si>
    <t>15:45</t>
  </si>
  <si>
    <t>09:43</t>
  </si>
  <si>
    <t>05:54</t>
  </si>
  <si>
    <t>22:01</t>
  </si>
  <si>
    <t>02:24</t>
  </si>
  <si>
    <t>05:49</t>
  </si>
  <si>
    <t>02:39</t>
  </si>
  <si>
    <t>09:16</t>
  </si>
  <si>
    <t>07:40</t>
  </si>
  <si>
    <t>04:07</t>
  </si>
  <si>
    <t>20:12</t>
  </si>
  <si>
    <t>20:14</t>
  </si>
  <si>
    <t>13:56</t>
  </si>
  <si>
    <t>23:27</t>
  </si>
  <si>
    <t>14:28</t>
  </si>
  <si>
    <t>03:49</t>
  </si>
  <si>
    <t>16:41</t>
  </si>
  <si>
    <t>02:16</t>
  </si>
  <si>
    <t>13:39</t>
  </si>
  <si>
    <t>03:03</t>
  </si>
  <si>
    <t>15:29</t>
  </si>
  <si>
    <t>19:33</t>
  </si>
  <si>
    <t>22:54</t>
  </si>
  <si>
    <t>08:26</t>
  </si>
  <si>
    <t>06:06</t>
  </si>
  <si>
    <t>20:27</t>
  </si>
  <si>
    <t>03:53</t>
  </si>
  <si>
    <t>06:23</t>
  </si>
  <si>
    <t>15:40</t>
  </si>
  <si>
    <t>15:12</t>
  </si>
  <si>
    <t>10:16</t>
  </si>
  <si>
    <t>10:59</t>
  </si>
  <si>
    <t>07:48</t>
  </si>
  <si>
    <t>06:00</t>
  </si>
  <si>
    <t>12:00</t>
  </si>
  <si>
    <t>01:11</t>
  </si>
  <si>
    <t>13:21</t>
  </si>
  <si>
    <t>11:56</t>
  </si>
  <si>
    <t>00:44</t>
  </si>
  <si>
    <t>23:12</t>
  </si>
  <si>
    <t>03:50</t>
  </si>
  <si>
    <t>07:09</t>
  </si>
  <si>
    <t>09:58</t>
  </si>
  <si>
    <t>01:58</t>
  </si>
  <si>
    <t>03:16</t>
  </si>
  <si>
    <t>12:05</t>
  </si>
  <si>
    <t>04:30</t>
  </si>
  <si>
    <t>23:55</t>
  </si>
  <si>
    <t>20:17</t>
  </si>
  <si>
    <t>14:02</t>
  </si>
  <si>
    <t>12:19</t>
  </si>
  <si>
    <t>09:17</t>
  </si>
  <si>
    <t>19:23</t>
  </si>
  <si>
    <t>12:35</t>
  </si>
  <si>
    <t>20:55</t>
  </si>
  <si>
    <t>22:00</t>
  </si>
  <si>
    <t>15:25</t>
  </si>
  <si>
    <t>11:46</t>
  </si>
  <si>
    <t>20:35</t>
  </si>
  <si>
    <t>04:10</t>
  </si>
  <si>
    <t>23:03</t>
  </si>
  <si>
    <t>11:36</t>
  </si>
  <si>
    <t>08:00</t>
  </si>
  <si>
    <t>22:51</t>
  </si>
  <si>
    <t>11:59</t>
  </si>
  <si>
    <t>12:42</t>
  </si>
  <si>
    <t>05:16</t>
  </si>
  <si>
    <t>21:14</t>
  </si>
  <si>
    <t>09:44</t>
  </si>
  <si>
    <t>17:41</t>
  </si>
  <si>
    <t>02:25</t>
  </si>
  <si>
    <t>14:38</t>
  </si>
  <si>
    <t>00:59</t>
  </si>
  <si>
    <t>00:06</t>
  </si>
  <si>
    <t>21:20</t>
  </si>
  <si>
    <t>14:07</t>
  </si>
  <si>
    <t>16:23</t>
  </si>
  <si>
    <t>21:06</t>
  </si>
  <si>
    <t>20:43</t>
  </si>
  <si>
    <t>15:50</t>
  </si>
  <si>
    <t>09:41</t>
  </si>
  <si>
    <t>06:37</t>
  </si>
  <si>
    <t>03:40</t>
  </si>
  <si>
    <t>06:36</t>
  </si>
  <si>
    <t>09:54</t>
  </si>
  <si>
    <t>09:34</t>
  </si>
  <si>
    <t>14:48</t>
  </si>
  <si>
    <t>02:09</t>
  </si>
  <si>
    <t>13:51</t>
  </si>
  <si>
    <t>13:29</t>
  </si>
  <si>
    <t>05:12</t>
  </si>
  <si>
    <t>21:56</t>
  </si>
  <si>
    <t>09:01</t>
  </si>
  <si>
    <t>14:08</t>
  </si>
  <si>
    <t>14:58</t>
  </si>
  <si>
    <t>01:47</t>
  </si>
  <si>
    <t>14:20</t>
  </si>
  <si>
    <t>00:01</t>
  </si>
  <si>
    <t>14:06</t>
  </si>
  <si>
    <t>18:11</t>
  </si>
  <si>
    <t>17:14</t>
  </si>
  <si>
    <t>08:35</t>
  </si>
  <si>
    <t>03:56</t>
  </si>
  <si>
    <t>17:06</t>
  </si>
  <si>
    <t>23:33</t>
  </si>
  <si>
    <t>06:21</t>
  </si>
  <si>
    <t>13:31</t>
  </si>
  <si>
    <t>15:27</t>
  </si>
  <si>
    <t>10:43</t>
  </si>
  <si>
    <t>06:18</t>
  </si>
  <si>
    <t>17:28</t>
  </si>
  <si>
    <t>20:51</t>
  </si>
  <si>
    <t>10:27</t>
  </si>
  <si>
    <t>02:05</t>
  </si>
  <si>
    <t>16:34</t>
  </si>
  <si>
    <t>17:50</t>
  </si>
  <si>
    <t>08:20</t>
  </si>
  <si>
    <t>11:09</t>
  </si>
  <si>
    <t>01:54</t>
  </si>
  <si>
    <t>13:50</t>
  </si>
  <si>
    <t>21:57</t>
  </si>
  <si>
    <t>02:23</t>
  </si>
  <si>
    <t>22:47</t>
  </si>
  <si>
    <t>06:47</t>
  </si>
  <si>
    <t>17:25</t>
  </si>
  <si>
    <t>07:03</t>
  </si>
  <si>
    <t>14:16</t>
  </si>
  <si>
    <t>03:45</t>
  </si>
  <si>
    <t>16:49</t>
  </si>
  <si>
    <t>07:30</t>
  </si>
  <si>
    <t>08:24</t>
  </si>
  <si>
    <t>12:17</t>
  </si>
  <si>
    <t>13:08</t>
  </si>
  <si>
    <t>06:08</t>
  </si>
  <si>
    <t>17:57</t>
  </si>
  <si>
    <t>21:18</t>
  </si>
  <si>
    <t>10:07</t>
  </si>
  <si>
    <t>09:20</t>
  </si>
  <si>
    <t>21:50</t>
  </si>
  <si>
    <t>23:37</t>
  </si>
  <si>
    <t>11:50</t>
  </si>
  <si>
    <t>15:32</t>
  </si>
  <si>
    <t>08:54</t>
  </si>
  <si>
    <t>07:29</t>
  </si>
  <si>
    <t>00:29</t>
  </si>
  <si>
    <t>11:14</t>
  </si>
  <si>
    <t>00:52</t>
  </si>
  <si>
    <t>14:53</t>
  </si>
  <si>
    <t>22:56</t>
  </si>
  <si>
    <t>03:02</t>
  </si>
  <si>
    <t>22:53</t>
  </si>
  <si>
    <t>16:38</t>
  </si>
  <si>
    <t>07:15</t>
  </si>
  <si>
    <t>07:55</t>
  </si>
  <si>
    <t>10:28</t>
  </si>
  <si>
    <t>11:53</t>
  </si>
  <si>
    <t>13:18</t>
  </si>
  <si>
    <t>07:31</t>
  </si>
  <si>
    <t>01:34</t>
  </si>
  <si>
    <t>16:50</t>
  </si>
  <si>
    <t>03:43</t>
  </si>
  <si>
    <t>07:46</t>
  </si>
  <si>
    <t>20:45</t>
  </si>
  <si>
    <t>00:53</t>
  </si>
  <si>
    <t>19:13</t>
  </si>
  <si>
    <t>09:55</t>
  </si>
  <si>
    <t>18:15</t>
  </si>
  <si>
    <t>15:28</t>
  </si>
  <si>
    <t>23:32</t>
  </si>
  <si>
    <t>00:09</t>
  </si>
  <si>
    <t>14:13</t>
  </si>
  <si>
    <t>03:06</t>
  </si>
  <si>
    <t>14:11</t>
  </si>
  <si>
    <t>18:04</t>
  </si>
  <si>
    <t>18:51</t>
  </si>
  <si>
    <t>12:01</t>
  </si>
  <si>
    <t>04:02</t>
  </si>
  <si>
    <t>22:38</t>
  </si>
  <si>
    <t>02:49</t>
  </si>
  <si>
    <t>16:46</t>
  </si>
  <si>
    <t>23:22</t>
  </si>
  <si>
    <t>21:51</t>
  </si>
  <si>
    <t>18:56</t>
  </si>
  <si>
    <t>09:56</t>
  </si>
  <si>
    <t>21:53</t>
  </si>
  <si>
    <t>06:05</t>
  </si>
  <si>
    <t>03:52</t>
  </si>
  <si>
    <t>18:12</t>
  </si>
  <si>
    <t>19:09</t>
  </si>
  <si>
    <t>11:37</t>
  </si>
  <si>
    <t>22:03</t>
  </si>
  <si>
    <t>07:33</t>
  </si>
  <si>
    <t>01:06</t>
  </si>
  <si>
    <t>11:41</t>
  </si>
  <si>
    <t>08:32</t>
  </si>
  <si>
    <t>21:43</t>
  </si>
  <si>
    <t>08:09</t>
  </si>
  <si>
    <t>14:51</t>
  </si>
  <si>
    <t>08:25</t>
  </si>
  <si>
    <t>18:26</t>
  </si>
  <si>
    <t>21:58</t>
  </si>
  <si>
    <t>04:15</t>
  </si>
  <si>
    <t>03:17</t>
  </si>
  <si>
    <t>16:18</t>
  </si>
  <si>
    <t>04:21</t>
  </si>
  <si>
    <t>00:32</t>
  </si>
  <si>
    <t>12:50</t>
  </si>
  <si>
    <t>02:44</t>
  </si>
  <si>
    <t>12:39</t>
  </si>
  <si>
    <t>11:15</t>
  </si>
  <si>
    <t>10:12</t>
  </si>
  <si>
    <t>00:49</t>
  </si>
  <si>
    <t>12:16</t>
  </si>
  <si>
    <t>22:41</t>
  </si>
  <si>
    <t>18:32</t>
  </si>
  <si>
    <t>16:32</t>
  </si>
  <si>
    <t>17:36</t>
  </si>
  <si>
    <t>13:26</t>
  </si>
  <si>
    <t>13:47</t>
  </si>
  <si>
    <t>00:13</t>
  </si>
  <si>
    <t>03:28</t>
  </si>
  <si>
    <t>01:02</t>
  </si>
  <si>
    <t>21:38</t>
  </si>
  <si>
    <t>05:08</t>
  </si>
  <si>
    <t>16:39</t>
  </si>
  <si>
    <t>09:53</t>
  </si>
  <si>
    <t>23:09</t>
  </si>
  <si>
    <t>16:54</t>
  </si>
  <si>
    <t>18:03</t>
  </si>
  <si>
    <t>21:35</t>
  </si>
  <si>
    <t>07:42</t>
  </si>
  <si>
    <t>23:40</t>
  </si>
  <si>
    <t>01:28</t>
  </si>
  <si>
    <t>06:51</t>
  </si>
  <si>
    <t>11:26</t>
  </si>
  <si>
    <t>16:47</t>
  </si>
  <si>
    <t>08:57</t>
  </si>
  <si>
    <t>17:35</t>
  </si>
  <si>
    <t>10:32</t>
  </si>
  <si>
    <t>15:18</t>
  </si>
  <si>
    <t>14:44</t>
  </si>
  <si>
    <t>16:43</t>
  </si>
  <si>
    <t>13:35</t>
  </si>
  <si>
    <t>02:26</t>
  </si>
  <si>
    <t>00:24</t>
  </si>
  <si>
    <t>18:30</t>
  </si>
  <si>
    <t>03:14</t>
  </si>
  <si>
    <t>23:59</t>
  </si>
  <si>
    <t>11:38</t>
  </si>
  <si>
    <t>09:15</t>
  </si>
  <si>
    <t>09:19</t>
  </si>
  <si>
    <t>07:54</t>
  </si>
  <si>
    <t>01:08</t>
  </si>
  <si>
    <t>03:00</t>
  </si>
  <si>
    <t>23:29</t>
  </si>
  <si>
    <t>11:12</t>
  </si>
  <si>
    <t>03:20</t>
  </si>
  <si>
    <t>14:59</t>
  </si>
  <si>
    <t>02:21</t>
  </si>
  <si>
    <t>11:06</t>
  </si>
  <si>
    <t>17:59</t>
  </si>
  <si>
    <t>23:57</t>
  </si>
  <si>
    <t>21:11</t>
  </si>
  <si>
    <t>01:49</t>
  </si>
  <si>
    <t>18:31</t>
  </si>
  <si>
    <t>23:01</t>
  </si>
  <si>
    <t>19:14</t>
  </si>
  <si>
    <t>20:48</t>
  </si>
  <si>
    <t>20:37</t>
  </si>
  <si>
    <t>02:55</t>
  </si>
  <si>
    <t>19:32</t>
  </si>
  <si>
    <t>02:10</t>
  </si>
  <si>
    <t>05:31</t>
  </si>
  <si>
    <t>17:51</t>
  </si>
  <si>
    <t>13:02</t>
  </si>
  <si>
    <t>16:55</t>
  </si>
  <si>
    <t>08:01</t>
  </si>
  <si>
    <t>03:32</t>
  </si>
  <si>
    <t>17:58</t>
  </si>
  <si>
    <t>22:02</t>
  </si>
  <si>
    <t>18:24</t>
  </si>
  <si>
    <t>17:40</t>
  </si>
  <si>
    <t>02:54</t>
  </si>
  <si>
    <t>00:58</t>
  </si>
  <si>
    <t>17:48</t>
  </si>
  <si>
    <t>20:33</t>
  </si>
  <si>
    <t>06:54</t>
  </si>
  <si>
    <t>22:20</t>
  </si>
  <si>
    <t>12:27</t>
  </si>
  <si>
    <t>05:07</t>
  </si>
  <si>
    <t>00:41</t>
  </si>
  <si>
    <t>06:19</t>
  </si>
  <si>
    <t>04:45</t>
  </si>
  <si>
    <t>02:04</t>
  </si>
  <si>
    <t>07:58</t>
  </si>
  <si>
    <t>20:42</t>
  </si>
  <si>
    <t>02:58</t>
  </si>
  <si>
    <t>00:28</t>
  </si>
  <si>
    <t>05:09</t>
  </si>
  <si>
    <t>21:40</t>
  </si>
  <si>
    <t>20:01</t>
  </si>
  <si>
    <t>06:40</t>
  </si>
  <si>
    <t>10:00</t>
  </si>
  <si>
    <t>03:12</t>
  </si>
  <si>
    <t>22:16</t>
  </si>
  <si>
    <t>16:28</t>
  </si>
  <si>
    <t>04:16</t>
  </si>
  <si>
    <t>18:18</t>
  </si>
  <si>
    <t>18:05</t>
  </si>
  <si>
    <t>14:14</t>
  </si>
  <si>
    <t>14:23</t>
  </si>
  <si>
    <t>06:49</t>
  </si>
  <si>
    <t>01:12</t>
  </si>
  <si>
    <t>09:11</t>
  </si>
  <si>
    <t>03:25</t>
  </si>
  <si>
    <t>04:54</t>
  </si>
  <si>
    <t>11:45</t>
  </si>
  <si>
    <t>10:53</t>
  </si>
  <si>
    <t>18:39</t>
  </si>
  <si>
    <t>11:22</t>
  </si>
  <si>
    <t>10:18</t>
  </si>
  <si>
    <t>14:24</t>
  </si>
  <si>
    <t>12:14</t>
  </si>
  <si>
    <t>04:14</t>
  </si>
  <si>
    <t>06:50</t>
  </si>
  <si>
    <t>14:34</t>
  </si>
  <si>
    <t>01:53</t>
  </si>
  <si>
    <t>18:47</t>
  </si>
  <si>
    <t>11:51</t>
  </si>
  <si>
    <t>20:52</t>
  </si>
  <si>
    <t>11:24</t>
  </si>
  <si>
    <t>06:03</t>
  </si>
  <si>
    <t>16:09</t>
  </si>
  <si>
    <t>13:37</t>
  </si>
  <si>
    <t>11:58</t>
  </si>
  <si>
    <t>06:09</t>
  </si>
  <si>
    <t>18:37</t>
  </si>
  <si>
    <t>04:32</t>
  </si>
  <si>
    <t>11:08</t>
  </si>
  <si>
    <t>05:28</t>
  </si>
  <si>
    <t>02:06</t>
  </si>
  <si>
    <t>06:26</t>
  </si>
  <si>
    <t>03:07</t>
  </si>
  <si>
    <t>18:58</t>
  </si>
  <si>
    <t>03:39</t>
  </si>
  <si>
    <t>12:45</t>
  </si>
  <si>
    <t>20:29</t>
  </si>
  <si>
    <t>09:29</t>
  </si>
  <si>
    <t>19:58</t>
  </si>
  <si>
    <t>08:19</t>
  </si>
  <si>
    <t>01:43</t>
  </si>
  <si>
    <t>14:22</t>
  </si>
  <si>
    <t>05:01</t>
  </si>
  <si>
    <t>09:32</t>
  </si>
  <si>
    <t>12:56</t>
  </si>
  <si>
    <t>05:29</t>
  </si>
  <si>
    <t>07:11</t>
  </si>
  <si>
    <t>17:27</t>
  </si>
  <si>
    <t>18:14</t>
  </si>
  <si>
    <t>05:53</t>
  </si>
  <si>
    <t>15:56</t>
  </si>
  <si>
    <t>04:33</t>
  </si>
  <si>
    <t>04:03</t>
  </si>
  <si>
    <t>04:58</t>
  </si>
  <si>
    <t>08:02</t>
  </si>
  <si>
    <t>23:44</t>
  </si>
  <si>
    <t>04:40</t>
  </si>
  <si>
    <t>18:16</t>
  </si>
  <si>
    <t>02:28</t>
  </si>
  <si>
    <t>10:08</t>
  </si>
  <si>
    <t>13:33</t>
  </si>
  <si>
    <t>21:34</t>
  </si>
  <si>
    <t>00:43</t>
  </si>
  <si>
    <t>23:04</t>
  </si>
  <si>
    <t>18:25</t>
  </si>
  <si>
    <t>21:28</t>
  </si>
  <si>
    <t>04:42</t>
  </si>
  <si>
    <t>05:46</t>
  </si>
  <si>
    <t>16:52</t>
  </si>
  <si>
    <t>04:19</t>
  </si>
  <si>
    <t>19:41</t>
  </si>
  <si>
    <t>12:41</t>
  </si>
  <si>
    <t>11:49</t>
  </si>
  <si>
    <t>23:15</t>
  </si>
  <si>
    <t>12:09</t>
  </si>
  <si>
    <t>15:34</t>
  </si>
  <si>
    <t>14:31</t>
  </si>
  <si>
    <t>00:27</t>
  </si>
  <si>
    <t>00:16</t>
  </si>
  <si>
    <t>19:34</t>
  </si>
  <si>
    <t>19:27</t>
  </si>
  <si>
    <t>10:39</t>
  </si>
  <si>
    <t>08:16</t>
  </si>
  <si>
    <t>23:38</t>
  </si>
  <si>
    <t>11:44</t>
  </si>
  <si>
    <t>05:22</t>
  </si>
  <si>
    <t>05:15</t>
  </si>
  <si>
    <t>00:21</t>
  </si>
  <si>
    <t>14:18</t>
  </si>
  <si>
    <t>15:49</t>
  </si>
  <si>
    <t>10:35</t>
  </si>
  <si>
    <t>22:34</t>
  </si>
  <si>
    <t>22:18</t>
  </si>
  <si>
    <t>14:57</t>
  </si>
  <si>
    <t>04:11</t>
  </si>
  <si>
    <t>16:21</t>
  </si>
  <si>
    <t>02:13</t>
  </si>
  <si>
    <t>22:59</t>
  </si>
  <si>
    <t>23:21</t>
  </si>
  <si>
    <t>17:02</t>
  </si>
  <si>
    <t>16:19</t>
  </si>
  <si>
    <t>16:27</t>
  </si>
  <si>
    <t>22:15</t>
  </si>
  <si>
    <t>01:03</t>
  </si>
  <si>
    <t>07:44</t>
  </si>
  <si>
    <t>13:25</t>
  </si>
  <si>
    <t>07:24</t>
  </si>
  <si>
    <t>16:06</t>
  </si>
  <si>
    <t>04:55</t>
  </si>
  <si>
    <t>01:52</t>
  </si>
  <si>
    <t>10:14</t>
  </si>
  <si>
    <t>05:59</t>
  </si>
  <si>
    <t>09:48</t>
  </si>
  <si>
    <t>06:27</t>
  </si>
  <si>
    <t>00:57</t>
  </si>
  <si>
    <t>19:37</t>
  </si>
  <si>
    <t>12:46</t>
  </si>
  <si>
    <t>17:38</t>
  </si>
  <si>
    <t>13:58</t>
  </si>
  <si>
    <t>10:22</t>
  </si>
  <si>
    <t>12:28</t>
  </si>
  <si>
    <t>13:30</t>
  </si>
  <si>
    <t>14:01</t>
  </si>
  <si>
    <t>19:46</t>
  </si>
  <si>
    <t>14:15</t>
  </si>
  <si>
    <t>00:10</t>
  </si>
  <si>
    <t>14:30</t>
  </si>
  <si>
    <t>03:44</t>
  </si>
  <si>
    <t>22:52</t>
  </si>
  <si>
    <t>04:36</t>
  </si>
  <si>
    <t>22:43</t>
  </si>
  <si>
    <t>13:06</t>
  </si>
  <si>
    <t>02:36</t>
  </si>
  <si>
    <t>20:11</t>
  </si>
  <si>
    <t>17:46</t>
  </si>
  <si>
    <t>01:05</t>
  </si>
  <si>
    <t>02:22</t>
  </si>
  <si>
    <t>14:17</t>
  </si>
  <si>
    <t>11:18</t>
  </si>
  <si>
    <t>09:52</t>
  </si>
  <si>
    <t>21:36</t>
  </si>
  <si>
    <t>00:35</t>
  </si>
  <si>
    <t>01:57</t>
  </si>
  <si>
    <t>20:57</t>
  </si>
  <si>
    <t>12:08</t>
  </si>
  <si>
    <t>03:33</t>
  </si>
  <si>
    <t>00:17</t>
  </si>
  <si>
    <t>00:12</t>
  </si>
  <si>
    <t>06:59</t>
  </si>
  <si>
    <t>05:48</t>
  </si>
  <si>
    <t>01:42</t>
  </si>
  <si>
    <t>18:06</t>
  </si>
  <si>
    <t>22:09</t>
  </si>
  <si>
    <t>23:56</t>
  </si>
  <si>
    <t>12:32</t>
  </si>
  <si>
    <t>17:03</t>
  </si>
  <si>
    <t>08:55</t>
  </si>
  <si>
    <t>11:00</t>
  </si>
  <si>
    <t>16:20</t>
  </si>
  <si>
    <t>06:43</t>
  </si>
  <si>
    <t>23:05</t>
  </si>
  <si>
    <t>20:22</t>
  </si>
  <si>
    <t>03:35</t>
  </si>
  <si>
    <t>00:38</t>
  </si>
  <si>
    <t>23:18</t>
  </si>
  <si>
    <t>05:17</t>
  </si>
  <si>
    <t>00:55</t>
  </si>
  <si>
    <t>20:46</t>
  </si>
  <si>
    <t>17:12</t>
  </si>
  <si>
    <t>02:17</t>
  </si>
  <si>
    <t>17:34</t>
  </si>
  <si>
    <t>17:18</t>
  </si>
  <si>
    <t>20:26</t>
  </si>
  <si>
    <t>02:57</t>
  </si>
  <si>
    <t>17:56</t>
  </si>
  <si>
    <t>12:18</t>
  </si>
  <si>
    <t>19:55</t>
  </si>
  <si>
    <t>04:34</t>
  </si>
  <si>
    <t>07:08</t>
  </si>
  <si>
    <t>17:10</t>
  </si>
  <si>
    <t>16:03</t>
  </si>
  <si>
    <t>15:22</t>
  </si>
  <si>
    <t>04:50</t>
  </si>
  <si>
    <t>21:08</t>
  </si>
  <si>
    <t>01:13</t>
  </si>
  <si>
    <t>17:15</t>
  </si>
  <si>
    <t>13:57</t>
  </si>
  <si>
    <t>06:58</t>
  </si>
  <si>
    <t>13:20</t>
  </si>
  <si>
    <t>01:44</t>
  </si>
  <si>
    <t>22:58</t>
  </si>
  <si>
    <t>01:29</t>
  </si>
  <si>
    <t>05:27</t>
  </si>
  <si>
    <t>07:21</t>
  </si>
  <si>
    <t>19:47</t>
  </si>
  <si>
    <t>19:17</t>
  </si>
  <si>
    <t>18:33</t>
  </si>
  <si>
    <t>19:03</t>
  </si>
  <si>
    <t>21:15</t>
  </si>
  <si>
    <t>12:31</t>
  </si>
  <si>
    <t>15:39</t>
  </si>
  <si>
    <t>18:07</t>
  </si>
  <si>
    <t>12:43</t>
  </si>
  <si>
    <t>22:44</t>
  </si>
  <si>
    <t>11:40</t>
  </si>
  <si>
    <t>09:00</t>
  </si>
  <si>
    <t>21:31</t>
  </si>
  <si>
    <t>08:47</t>
  </si>
  <si>
    <t>17:44</t>
  </si>
  <si>
    <t>10:23</t>
  </si>
  <si>
    <t>19:05</t>
  </si>
  <si>
    <t>16:01</t>
  </si>
  <si>
    <t>12:07</t>
  </si>
  <si>
    <t>06:20</t>
  </si>
  <si>
    <t>05:20</t>
  </si>
  <si>
    <t>00:50</t>
  </si>
  <si>
    <t>12:57</t>
  </si>
  <si>
    <t>01:01</t>
  </si>
  <si>
    <t>22:26</t>
  </si>
  <si>
    <t>10:48</t>
  </si>
  <si>
    <t>11:04</t>
  </si>
  <si>
    <t>19:19</t>
  </si>
  <si>
    <t>01:09</t>
  </si>
  <si>
    <t>19:07</t>
  </si>
  <si>
    <t>16:57</t>
  </si>
  <si>
    <t>19:12</t>
  </si>
  <si>
    <t>11:13</t>
  </si>
  <si>
    <t>18:20</t>
  </si>
  <si>
    <t>02:50</t>
  </si>
  <si>
    <t>02:51</t>
  </si>
  <si>
    <t>12:30</t>
  </si>
  <si>
    <t>10:24</t>
  </si>
  <si>
    <t>00:34</t>
  </si>
  <si>
    <t>12:55</t>
  </si>
  <si>
    <t>12:34</t>
  </si>
  <si>
    <t>03:29</t>
  </si>
  <si>
    <t>10:15</t>
  </si>
  <si>
    <t>07:14</t>
  </si>
  <si>
    <t>14:40</t>
  </si>
  <si>
    <t>08:31</t>
  </si>
  <si>
    <t>19:00</t>
  </si>
  <si>
    <t>23:48</t>
  </si>
  <si>
    <t>23:11</t>
  </si>
  <si>
    <t>09:22</t>
  </si>
  <si>
    <t>04:41</t>
  </si>
  <si>
    <t>15:47</t>
  </si>
  <si>
    <t>20:34</t>
  </si>
  <si>
    <t>02:37</t>
  </si>
  <si>
    <t>20:36</t>
  </si>
  <si>
    <t>13:10</t>
  </si>
  <si>
    <t>06:24</t>
  </si>
  <si>
    <t>06:07</t>
  </si>
  <si>
    <t>02:01</t>
  </si>
  <si>
    <t>17:55</t>
  </si>
  <si>
    <t>05:19</t>
  </si>
  <si>
    <t>11:47</t>
  </si>
  <si>
    <t>05:52</t>
  </si>
  <si>
    <t>13:13</t>
  </si>
  <si>
    <t>18:55</t>
  </si>
  <si>
    <t>08:44</t>
  </si>
  <si>
    <t>12:02</t>
  </si>
  <si>
    <t>15:07</t>
  </si>
  <si>
    <t>05:38</t>
  </si>
  <si>
    <t>10:57</t>
  </si>
  <si>
    <t>05:40</t>
  </si>
  <si>
    <t>04:53</t>
  </si>
  <si>
    <t>05:50</t>
  </si>
  <si>
    <t>14:46</t>
  </si>
  <si>
    <t>20:13</t>
  </si>
  <si>
    <t>07:38</t>
  </si>
  <si>
    <t>13:05</t>
  </si>
  <si>
    <t>14:41</t>
  </si>
  <si>
    <t>21:49</t>
  </si>
  <si>
    <t>08:56</t>
  </si>
  <si>
    <t>15:57</t>
  </si>
  <si>
    <t>22:22</t>
  </si>
  <si>
    <t>13:41</t>
  </si>
  <si>
    <t>18:35</t>
  </si>
  <si>
    <t>18:38</t>
  </si>
  <si>
    <t>08:13</t>
  </si>
  <si>
    <t>22:46</t>
  </si>
  <si>
    <t>04:18</t>
  </si>
  <si>
    <t>22:05</t>
  </si>
  <si>
    <t>00:15</t>
  </si>
  <si>
    <t>05:24</t>
  </si>
  <si>
    <t>13:15</t>
  </si>
  <si>
    <t>10:17</t>
  </si>
  <si>
    <t>06:13</t>
  </si>
  <si>
    <t>19:52</t>
  </si>
  <si>
    <t>00:54</t>
  </si>
  <si>
    <t>05:11</t>
  </si>
  <si>
    <t>10:30</t>
  </si>
  <si>
    <t>06:17</t>
  </si>
  <si>
    <t>05:44</t>
  </si>
  <si>
    <t>23:31</t>
  </si>
  <si>
    <t>14:04</t>
  </si>
  <si>
    <t>14:45</t>
  </si>
  <si>
    <t>08:18</t>
  </si>
  <si>
    <t>17:01</t>
  </si>
  <si>
    <t>03:58</t>
  </si>
  <si>
    <t>09:13</t>
  </si>
  <si>
    <t>11:02</t>
  </si>
  <si>
    <t>04:22</t>
  </si>
  <si>
    <t>06:55</t>
  </si>
  <si>
    <t>01:00</t>
  </si>
  <si>
    <t>08:37</t>
  </si>
  <si>
    <t>23:52</t>
  </si>
  <si>
    <t>13:59</t>
  </si>
  <si>
    <t>13:00</t>
  </si>
  <si>
    <t>08:07</t>
  </si>
  <si>
    <t>04:06</t>
  </si>
  <si>
    <t>23:23</t>
  </si>
  <si>
    <t>04:09</t>
  </si>
  <si>
    <t>02:30</t>
  </si>
  <si>
    <t>20:31</t>
  </si>
  <si>
    <t>01:36</t>
  </si>
  <si>
    <t>00:03</t>
  </si>
  <si>
    <t>23:06</t>
  </si>
  <si>
    <t>Age_Group</t>
  </si>
  <si>
    <t>No_Show</t>
  </si>
  <si>
    <t>SMS_Received</t>
  </si>
  <si>
    <t>Handicap</t>
  </si>
  <si>
    <t>Alcoholism</t>
  </si>
  <si>
    <t>Diabetes</t>
  </si>
  <si>
    <t>Hypertension</t>
  </si>
  <si>
    <t>Scholarship</t>
  </si>
  <si>
    <t>Neighbourhood</t>
  </si>
  <si>
    <t>Age</t>
  </si>
  <si>
    <t>Appointment_Date</t>
  </si>
  <si>
    <t>Schedule_Time</t>
  </si>
  <si>
    <t>Schedule_Date</t>
  </si>
  <si>
    <t>Department</t>
  </si>
  <si>
    <t>Gender</t>
  </si>
  <si>
    <t>Patient_ID</t>
  </si>
  <si>
    <t>AppointmentID</t>
  </si>
  <si>
    <t>Top 5 neighbourhoods</t>
  </si>
  <si>
    <t>Monthly no-show trend</t>
  </si>
  <si>
    <t>No-show rate chronic vs non-chronic</t>
  </si>
  <si>
    <t>No-show rate by gender</t>
  </si>
  <si>
    <t>No-show rate by weekday</t>
  </si>
  <si>
    <t>No-show rate by age group</t>
  </si>
  <si>
    <t>No-show rate by department</t>
  </si>
  <si>
    <t>Overall no-show rate</t>
  </si>
  <si>
    <t>Analysis_Task</t>
  </si>
  <si>
    <t>Row Labels</t>
  </si>
  <si>
    <t>Grand Total</t>
  </si>
  <si>
    <t>Sum of No_Show</t>
  </si>
  <si>
    <t>Count of No_Show</t>
  </si>
  <si>
    <t>Overall no-show rate ( 1 = Patient did not come, 0 = Patient did come)</t>
  </si>
  <si>
    <t>No Show</t>
  </si>
  <si>
    <t>Count of No_Show2</t>
  </si>
  <si>
    <t xml:space="preserve">No Show % </t>
  </si>
  <si>
    <t>Count of Patient_ID</t>
  </si>
  <si>
    <t>(All)</t>
  </si>
  <si>
    <t>Total patient count</t>
  </si>
  <si>
    <t>No Show Count</t>
  </si>
  <si>
    <t>No Show %</t>
  </si>
  <si>
    <t>No Show count</t>
  </si>
  <si>
    <t>Age Group</t>
  </si>
  <si>
    <t>Weekday</t>
  </si>
  <si>
    <t>Sunday</t>
  </si>
  <si>
    <t>Monday</t>
  </si>
  <si>
    <t>Tuesday</t>
  </si>
  <si>
    <t>Wednesday</t>
  </si>
  <si>
    <t>Thursday</t>
  </si>
  <si>
    <t>Friday</t>
  </si>
  <si>
    <t>Saturday</t>
  </si>
  <si>
    <t>weekday</t>
  </si>
  <si>
    <t>total patient count</t>
  </si>
  <si>
    <t>no show count</t>
  </si>
  <si>
    <t>Total patient</t>
  </si>
  <si>
    <t>no show %</t>
  </si>
  <si>
    <t>chronic_condition</t>
  </si>
  <si>
    <t>Chronic</t>
  </si>
  <si>
    <t>Non Chronic</t>
  </si>
  <si>
    <t>Count of chronic_condition</t>
  </si>
  <si>
    <t>Chronic Condition</t>
  </si>
  <si>
    <t>Patient count</t>
  </si>
  <si>
    <t>No show count</t>
  </si>
  <si>
    <t>No show rate</t>
  </si>
  <si>
    <t>Jan</t>
  </si>
  <si>
    <t>Feb</t>
  </si>
  <si>
    <t>Mar</t>
  </si>
  <si>
    <t>Apr</t>
  </si>
  <si>
    <t>May</t>
  </si>
  <si>
    <t>Jun</t>
  </si>
  <si>
    <t>Nov</t>
  </si>
  <si>
    <t>Dec</t>
  </si>
  <si>
    <t>Months</t>
  </si>
  <si>
    <t>No Show rate %</t>
  </si>
  <si>
    <t>patient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</si>
</sst>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sz val="15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79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0" fontId="0" fillId="2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5" fillId="0" borderId="1" xfId="0" applyFont="1" applyBorder="1" applyAlignment="1">
      <alignment horizontal="center" vertical="top"/>
    </xf>
    <xf numFmtId="0" fontId="0" fillId="0" borderId="0" xfId="0" applyProtection="1">
      <protection locked="0"/>
    </xf>
  </cellXfs>
  <cellStyles count="2">
    <cellStyle name="Normal" xfId="0" builtinId="0"/>
    <cellStyle name="Percent" xfId="1" builtinId="5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ill>
        <patternFill patternType="solid">
          <bgColor rgb="FFFF7979"/>
        </patternFill>
      </fill>
    </dxf>
  </dxfs>
  <tableStyles count="0" defaultTableStyle="TableStyleMedium2" defaultPivotStyle="PivotStyleLight16"/>
  <colors>
    <mruColors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 Show rate</a:t>
            </a:r>
            <a:r>
              <a:rPr lang="en-US" b="1" baseline="0"/>
              <a:t> per Department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2"/>
          <c:order val="2"/>
          <c:tx>
            <c:strRef>
              <c:f>'Pivot tables'!$D$37</c:f>
              <c:strCache>
                <c:ptCount val="1"/>
                <c:pt idx="0">
                  <c:v>No Show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F86-4759-8313-38473F1BCEA5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F86-4759-8313-38473F1BCEA5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F86-4759-8313-38473F1BCEA5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86-4759-8313-38473F1BCEA5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F86-4759-8313-38473F1BCEA5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86-4759-8313-38473F1BCEA5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F86-4759-8313-38473F1BCEA5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F86-4759-8313-38473F1BCEA5}"/>
              </c:ext>
            </c:extLst>
          </c:dPt>
          <c:cat>
            <c:strRef>
              <c:f>'Pivot tables'!$A$38:$A$45</c:f>
              <c:strCache>
                <c:ptCount val="8"/>
                <c:pt idx="0">
                  <c:v>Dermatology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Pediatrics</c:v>
                </c:pt>
                <c:pt idx="4">
                  <c:v>Orthopedics</c:v>
                </c:pt>
                <c:pt idx="5">
                  <c:v>Dental</c:v>
                </c:pt>
                <c:pt idx="6">
                  <c:v>Psychiatry</c:v>
                </c:pt>
                <c:pt idx="7">
                  <c:v>Cardiology</c:v>
                </c:pt>
              </c:strCache>
            </c:strRef>
          </c:cat>
          <c:val>
            <c:numRef>
              <c:f>'Pivot tables'!$D$38:$D$45</c:f>
              <c:numCache>
                <c:formatCode>0.0%</c:formatCode>
                <c:ptCount val="8"/>
                <c:pt idx="0">
                  <c:v>0.12777777777777777</c:v>
                </c:pt>
                <c:pt idx="1">
                  <c:v>0.18681318681318682</c:v>
                </c:pt>
                <c:pt idx="2">
                  <c:v>0.19354838709677419</c:v>
                </c:pt>
                <c:pt idx="3">
                  <c:v>0.21978021978021978</c:v>
                </c:pt>
                <c:pt idx="4">
                  <c:v>0.23834196891191708</c:v>
                </c:pt>
                <c:pt idx="5">
                  <c:v>0.24644549763033174</c:v>
                </c:pt>
                <c:pt idx="6">
                  <c:v>0.27570093457943923</c:v>
                </c:pt>
                <c:pt idx="7">
                  <c:v>0.27631578947368424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6-4759-8313-38473F1BC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3368751"/>
        <c:axId val="52336923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'Pivot tables'!$B$37</c15:sqref>
                        </c15:formulaRef>
                      </c:ext>
                    </c:extLst>
                    <c:strCache>
                      <c:ptCount val="1"/>
                      <c:pt idx="0">
                        <c:v>Total patient count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'Pivot tables'!$A$38:$A$45</c15:sqref>
                        </c15:formulaRef>
                      </c:ext>
                    </c:extLst>
                    <c:strCache>
                      <c:ptCount val="8"/>
                      <c:pt idx="0">
                        <c:v>Dermatology</c:v>
                      </c:pt>
                      <c:pt idx="1">
                        <c:v>General Medicine</c:v>
                      </c:pt>
                      <c:pt idx="2">
                        <c:v>Neurology</c:v>
                      </c:pt>
                      <c:pt idx="3">
                        <c:v>Pediatrics</c:v>
                      </c:pt>
                      <c:pt idx="4">
                        <c:v>Orthopedics</c:v>
                      </c:pt>
                      <c:pt idx="5">
                        <c:v>Dental</c:v>
                      </c:pt>
                      <c:pt idx="6">
                        <c:v>Psychiatry</c:v>
                      </c:pt>
                      <c:pt idx="7">
                        <c:v>Cardiology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'Pivot tables'!$B$38:$B$45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180</c:v>
                      </c:pt>
                      <c:pt idx="1">
                        <c:v>182</c:v>
                      </c:pt>
                      <c:pt idx="2">
                        <c:v>186</c:v>
                      </c:pt>
                      <c:pt idx="3">
                        <c:v>182</c:v>
                      </c:pt>
                      <c:pt idx="4">
                        <c:v>193</c:v>
                      </c:pt>
                      <c:pt idx="5">
                        <c:v>211</c:v>
                      </c:pt>
                      <c:pt idx="6">
                        <c:v>214</c:v>
                      </c:pt>
                      <c:pt idx="7">
                        <c:v>152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F86-4759-8313-38473F1BCEA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tables'!$C$37</c15:sqref>
                        </c15:formulaRef>
                      </c:ext>
                    </c:extLst>
                    <c:strCache>
                      <c:ptCount val="1"/>
                      <c:pt idx="0">
                        <c:v>No Show Count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tables'!$A$38:$A$45</c15:sqref>
                        </c15:formulaRef>
                      </c:ext>
                    </c:extLst>
                    <c:strCache>
                      <c:ptCount val="8"/>
                      <c:pt idx="0">
                        <c:v>Dermatology</c:v>
                      </c:pt>
                      <c:pt idx="1">
                        <c:v>General Medicine</c:v>
                      </c:pt>
                      <c:pt idx="2">
                        <c:v>Neurology</c:v>
                      </c:pt>
                      <c:pt idx="3">
                        <c:v>Pediatrics</c:v>
                      </c:pt>
                      <c:pt idx="4">
                        <c:v>Orthopedics</c:v>
                      </c:pt>
                      <c:pt idx="5">
                        <c:v>Dental</c:v>
                      </c:pt>
                      <c:pt idx="6">
                        <c:v>Psychiatry</c:v>
                      </c:pt>
                      <c:pt idx="7">
                        <c:v>Cardiology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'Pivot tables'!$C$38:$C$45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23</c:v>
                      </c:pt>
                      <c:pt idx="1">
                        <c:v>34</c:v>
                      </c:pt>
                      <c:pt idx="2">
                        <c:v>36</c:v>
                      </c:pt>
                      <c:pt idx="3">
                        <c:v>40</c:v>
                      </c:pt>
                      <c:pt idx="4">
                        <c:v>46</c:v>
                      </c:pt>
                      <c:pt idx="5">
                        <c:v>52</c:v>
                      </c:pt>
                      <c:pt idx="6">
                        <c:v>59</c:v>
                      </c:pt>
                      <c:pt idx="7">
                        <c:v>42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F86-4759-8313-38473F1BCEA5}"/>
                  </c:ext>
                </c:extLst>
              </c15:ser>
            </c15:filteredBarSeries>
          </c:ext>
        </c:extLst>
      </c:barChart>
      <c:catAx>
        <c:axId val="523368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369231"/>
        <c:crosses val="autoZero"/>
        <c:auto val="1"/>
        <c:lblAlgn val="ctr"/>
        <c:lblOffset val="100"/>
        <c:noMultiLvlLbl val="0"/>
      </c:catAx>
      <c:valAx>
        <c:axId val="523369231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36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 Show rate per</a:t>
            </a:r>
            <a:r>
              <a:rPr lang="en-US" b="1" baseline="0"/>
              <a:t> Month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75010664989192"/>
          <c:y val="0.24258204426574337"/>
          <c:w val="0.77651894752825323"/>
          <c:h val="0.65033599523463825"/>
        </c:manualLayout>
      </c:layout>
      <c:lineChart>
        <c:grouping val="standard"/>
        <c:varyColors val="0"/>
        <c:ser>
          <c:idx val="2"/>
          <c:order val="2"/>
          <c:tx>
            <c:strRef>
              <c:f>'Pivot tables'!$D$177</c:f>
              <c:strCache>
                <c:ptCount val="1"/>
                <c:pt idx="0">
                  <c:v>No Show rate %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tables'!$A$178:$A$185</c:f>
              <c:strCache>
                <c:ptCount val="8"/>
                <c:pt idx="0">
                  <c:v>Jun</c:v>
                </c:pt>
                <c:pt idx="1">
                  <c:v>Jan</c:v>
                </c:pt>
                <c:pt idx="2">
                  <c:v>May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Dec</c:v>
                </c:pt>
                <c:pt idx="7">
                  <c:v>Nov</c:v>
                </c:pt>
              </c:strCache>
            </c:strRef>
          </c:cat>
          <c:val>
            <c:numRef>
              <c:f>'Pivot tables'!$D$178:$D$185</c:f>
              <c:numCache>
                <c:formatCode>0.0%</c:formatCode>
                <c:ptCount val="8"/>
                <c:pt idx="0">
                  <c:v>0.42857142857142855</c:v>
                </c:pt>
                <c:pt idx="1">
                  <c:v>0.27547169811320754</c:v>
                </c:pt>
                <c:pt idx="2">
                  <c:v>0.23245614035087719</c:v>
                </c:pt>
                <c:pt idx="3">
                  <c:v>0.22568093385214008</c:v>
                </c:pt>
                <c:pt idx="4">
                  <c:v>0.22123893805309736</c:v>
                </c:pt>
                <c:pt idx="5">
                  <c:v>0.1951219512195122</c:v>
                </c:pt>
                <c:pt idx="6">
                  <c:v>0.16956521739130434</c:v>
                </c:pt>
                <c:pt idx="7">
                  <c:v>0.14705882352941177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C-4BE0-85BC-C7238D749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2800671"/>
        <c:axId val="65279731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'Pivot tables'!$B$177</c15:sqref>
                        </c15:formulaRef>
                      </c:ext>
                    </c:extLst>
                    <c:strCache>
                      <c:ptCount val="1"/>
                      <c:pt idx="0">
                        <c:v>Patient count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'Pivot tables'!$A$178:$A$185</c15:sqref>
                        </c15:formulaRef>
                      </c:ext>
                    </c:extLst>
                    <c:strCache>
                      <c:ptCount val="8"/>
                      <c:pt idx="0">
                        <c:v>Jun</c:v>
                      </c:pt>
                      <c:pt idx="1">
                        <c:v>Jan</c:v>
                      </c:pt>
                      <c:pt idx="2">
                        <c:v>May</c:v>
                      </c:pt>
                      <c:pt idx="3">
                        <c:v>Feb</c:v>
                      </c:pt>
                      <c:pt idx="4">
                        <c:v>Mar</c:v>
                      </c:pt>
                      <c:pt idx="5">
                        <c:v>Apr</c:v>
                      </c:pt>
                      <c:pt idx="6">
                        <c:v>Dec</c:v>
                      </c:pt>
                      <c:pt idx="7">
                        <c:v>Nov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'Pivot tables'!$B$178:$B$185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14</c:v>
                      </c:pt>
                      <c:pt idx="1">
                        <c:v>265</c:v>
                      </c:pt>
                      <c:pt idx="2">
                        <c:v>228</c:v>
                      </c:pt>
                      <c:pt idx="3">
                        <c:v>257</c:v>
                      </c:pt>
                      <c:pt idx="4">
                        <c:v>226</c:v>
                      </c:pt>
                      <c:pt idx="5">
                        <c:v>246</c:v>
                      </c:pt>
                      <c:pt idx="6">
                        <c:v>230</c:v>
                      </c:pt>
                      <c:pt idx="7">
                        <c:v>34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87C-4BE0-85BC-C7238D749AD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tables'!$C$177</c15:sqref>
                        </c15:formulaRef>
                      </c:ext>
                    </c:extLst>
                    <c:strCache>
                      <c:ptCount val="1"/>
                      <c:pt idx="0">
                        <c:v>No Show Count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tables'!$A$178:$A$185</c15:sqref>
                        </c15:formulaRef>
                      </c:ext>
                    </c:extLst>
                    <c:strCache>
                      <c:ptCount val="8"/>
                      <c:pt idx="0">
                        <c:v>Jun</c:v>
                      </c:pt>
                      <c:pt idx="1">
                        <c:v>Jan</c:v>
                      </c:pt>
                      <c:pt idx="2">
                        <c:v>May</c:v>
                      </c:pt>
                      <c:pt idx="3">
                        <c:v>Feb</c:v>
                      </c:pt>
                      <c:pt idx="4">
                        <c:v>Mar</c:v>
                      </c:pt>
                      <c:pt idx="5">
                        <c:v>Apr</c:v>
                      </c:pt>
                      <c:pt idx="6">
                        <c:v>Dec</c:v>
                      </c:pt>
                      <c:pt idx="7">
                        <c:v>Nov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'Pivot tables'!$C$178:$C$185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6</c:v>
                      </c:pt>
                      <c:pt idx="1">
                        <c:v>73</c:v>
                      </c:pt>
                      <c:pt idx="2">
                        <c:v>53</c:v>
                      </c:pt>
                      <c:pt idx="3">
                        <c:v>58</c:v>
                      </c:pt>
                      <c:pt idx="4">
                        <c:v>50</c:v>
                      </c:pt>
                      <c:pt idx="5">
                        <c:v>48</c:v>
                      </c:pt>
                      <c:pt idx="6">
                        <c:v>39</c:v>
                      </c:pt>
                      <c:pt idx="7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87C-4BE0-85BC-C7238D749ADA}"/>
                  </c:ext>
                </c:extLst>
              </c15:ser>
            </c15:filteredLineSeries>
          </c:ext>
        </c:extLst>
      </c:lineChart>
      <c:catAx>
        <c:axId val="65280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797311"/>
        <c:crosses val="autoZero"/>
        <c:auto val="1"/>
        <c:lblAlgn val="ctr"/>
        <c:lblOffset val="100"/>
        <c:noMultiLvlLbl val="0"/>
      </c:catAx>
      <c:valAx>
        <c:axId val="65279731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80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No</a:t>
            </a:r>
            <a:r>
              <a:rPr lang="en-IN" b="1" baseline="0"/>
              <a:t> Show rate per Age Group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437900951658942"/>
          <c:y val="0.20236849136372922"/>
          <c:w val="0.44677458260824626"/>
          <c:h val="0.61130534207176213"/>
        </c:manualLayout>
      </c:layout>
      <c:pieChart>
        <c:varyColors val="1"/>
        <c:ser>
          <c:idx val="2"/>
          <c:order val="2"/>
          <c:tx>
            <c:strRef>
              <c:f>'Pivot tables'!$D$70</c:f>
              <c:strCache>
                <c:ptCount val="1"/>
                <c:pt idx="0">
                  <c:v>No Show %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</c:spPr>
          <c:dPt>
            <c:idx val="0"/>
            <c:bubble3D val="0"/>
            <c:explosion val="9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A0-4F28-AFC4-EAE07EED1E9E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A0-4F28-AFC4-EAE07EED1E9E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A0-4F28-AFC4-EAE07EED1E9E}"/>
              </c:ext>
            </c:extLst>
          </c:dPt>
          <c:dPt>
            <c:idx val="3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A0-4F28-AFC4-EAE07EED1E9E}"/>
              </c:ext>
            </c:extLst>
          </c:dPt>
          <c:dLbls>
            <c:dLbl>
              <c:idx val="0"/>
              <c:layout>
                <c:manualLayout>
                  <c:x val="3.7186789151356078E-2"/>
                  <c:y val="2.91728638086905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A0-4F28-AFC4-EAE07EED1E9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FA0-4F28-AFC4-EAE07EED1E9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FEDD476-7ED4-4D41-8293-184D13985A24}" type="VALUE">
                      <a:rPr lang="en-US" b="1"/>
                      <a:pPr/>
                      <a:t>[VALUE]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FA0-4F28-AFC4-EAE07EED1E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tables'!$A$71:$A$74</c:f>
              <c:strCache>
                <c:ptCount val="4"/>
                <c:pt idx="0">
                  <c:v>0-18</c:v>
                </c:pt>
                <c:pt idx="1">
                  <c:v>19-40</c:v>
                </c:pt>
                <c:pt idx="2">
                  <c:v>41-60</c:v>
                </c:pt>
                <c:pt idx="3">
                  <c:v>Above 60</c:v>
                </c:pt>
              </c:strCache>
            </c:strRef>
          </c:cat>
          <c:val>
            <c:numRef>
              <c:f>'Pivot tables'!$D$71:$D$74</c:f>
              <c:numCache>
                <c:formatCode>0.0%</c:formatCode>
                <c:ptCount val="4"/>
                <c:pt idx="0">
                  <c:v>0.23529411764705882</c:v>
                </c:pt>
                <c:pt idx="1">
                  <c:v>0.22416812609457093</c:v>
                </c:pt>
                <c:pt idx="2">
                  <c:v>0.22040816326530613</c:v>
                </c:pt>
                <c:pt idx="3">
                  <c:v>0.19900497512437812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A0-4F28-AFC4-EAE07EED1E9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'Pivot tables'!$B$70</c15:sqref>
                        </c15:formulaRef>
                      </c:ext>
                    </c:extLst>
                    <c:strCache>
                      <c:ptCount val="1"/>
                      <c:pt idx="0">
                        <c:v>Total patient count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bg1">
                        <a:lumMod val="8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A-6FA0-4F28-AFC4-EAE07EED1E9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6FA0-4F28-AFC4-EAE07EED1E9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6FA0-4F28-AFC4-EAE07EED1E9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bg1">
                        <a:lumMod val="8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6FA0-4F28-AFC4-EAE07EED1E9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'Pivot tables'!$A$71:$A$74</c15:sqref>
                        </c15:formulaRef>
                      </c:ext>
                    </c:extLst>
                    <c:strCache>
                      <c:ptCount val="4"/>
                      <c:pt idx="0">
                        <c:v>0-18</c:v>
                      </c:pt>
                      <c:pt idx="1">
                        <c:v>19-40</c:v>
                      </c:pt>
                      <c:pt idx="2">
                        <c:v>41-60</c:v>
                      </c:pt>
                      <c:pt idx="3">
                        <c:v>Above 60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'Pivot tables'!$B$71:$B$74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238</c:v>
                      </c:pt>
                      <c:pt idx="1">
                        <c:v>571</c:v>
                      </c:pt>
                      <c:pt idx="2">
                        <c:v>490</c:v>
                      </c:pt>
                      <c:pt idx="3">
                        <c:v>201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6FA0-4F28-AFC4-EAE07EED1E9E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tables'!$C$70</c15:sqref>
                        </c15:formulaRef>
                      </c:ext>
                    </c:extLst>
                    <c:strCache>
                      <c:ptCount val="1"/>
                      <c:pt idx="0">
                        <c:v>No Show count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6FA0-4F28-AFC4-EAE07EED1E9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6FA0-4F28-AFC4-EAE07EED1E9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6FA0-4F28-AFC4-EAE07EED1E9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6FA0-4F28-AFC4-EAE07EED1E9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tables'!$A$71:$A$74</c15:sqref>
                        </c15:formulaRef>
                      </c:ext>
                    </c:extLst>
                    <c:strCache>
                      <c:ptCount val="4"/>
                      <c:pt idx="0">
                        <c:v>0-18</c:v>
                      </c:pt>
                      <c:pt idx="1">
                        <c:v>19-40</c:v>
                      </c:pt>
                      <c:pt idx="2">
                        <c:v>41-60</c:v>
                      </c:pt>
                      <c:pt idx="3">
                        <c:v>Above 60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'Pivot tables'!$C$71:$C$74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56</c:v>
                      </c:pt>
                      <c:pt idx="1">
                        <c:v>128</c:v>
                      </c:pt>
                      <c:pt idx="2">
                        <c:v>108</c:v>
                      </c:pt>
                      <c:pt idx="3">
                        <c:v>40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A-6FA0-4F28-AFC4-EAE07EED1E9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 Show rate</a:t>
            </a:r>
            <a:r>
              <a:rPr lang="en-US" b="1" baseline="0"/>
              <a:t> per day of a week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8983633143418"/>
          <c:y val="0.21228420974192105"/>
          <c:w val="0.72151234260274433"/>
          <c:h val="0.64765145681710923"/>
        </c:manualLayout>
      </c:layout>
      <c:barChart>
        <c:barDir val="bar"/>
        <c:grouping val="clustered"/>
        <c:varyColors val="0"/>
        <c:ser>
          <c:idx val="2"/>
          <c:order val="2"/>
          <c:tx>
            <c:strRef>
              <c:f>'Pivot tables'!$D$101</c:f>
              <c:strCache>
                <c:ptCount val="1"/>
                <c:pt idx="0">
                  <c:v>No Show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0D-432C-870A-8C13F651CB8D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0D-432C-870A-8C13F651CB8D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0D-432C-870A-8C13F651CB8D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30D-432C-870A-8C13F651CB8D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30D-432C-870A-8C13F651CB8D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30D-432C-870A-8C13F651CB8D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30D-432C-870A-8C13F651CB8D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0D-432C-870A-8C13F651CB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tables'!$A$102:$A$108</c:f>
              <c:strCache>
                <c:ptCount val="7"/>
                <c:pt idx="0">
                  <c:v>Wednesday</c:v>
                </c:pt>
                <c:pt idx="1">
                  <c:v>Sunday</c:v>
                </c:pt>
                <c:pt idx="2">
                  <c:v>Tuesday</c:v>
                </c:pt>
                <c:pt idx="3">
                  <c:v>Thursday</c:v>
                </c:pt>
                <c:pt idx="4">
                  <c:v>Saturday</c:v>
                </c:pt>
                <c:pt idx="5">
                  <c:v>Monday</c:v>
                </c:pt>
                <c:pt idx="6">
                  <c:v>Friday</c:v>
                </c:pt>
              </c:strCache>
            </c:strRef>
          </c:cat>
          <c:val>
            <c:numRef>
              <c:f>'Pivot tables'!$D$102:$D$108</c:f>
              <c:numCache>
                <c:formatCode>0.0%</c:formatCode>
                <c:ptCount val="7"/>
                <c:pt idx="0">
                  <c:v>0.27053140096618356</c:v>
                </c:pt>
                <c:pt idx="1">
                  <c:v>0.23931623931623933</c:v>
                </c:pt>
                <c:pt idx="2">
                  <c:v>0.23333333333333334</c:v>
                </c:pt>
                <c:pt idx="3">
                  <c:v>0.23039215686274508</c:v>
                </c:pt>
                <c:pt idx="4">
                  <c:v>0.20873786407766989</c:v>
                </c:pt>
                <c:pt idx="5">
                  <c:v>0.19111111111111112</c:v>
                </c:pt>
                <c:pt idx="6">
                  <c:v>0.17757009345794392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30D-432C-870A-8C13F651C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3161727"/>
        <c:axId val="6531583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'Pivot tables'!$B$101</c15:sqref>
                        </c15:formulaRef>
                      </c:ext>
                    </c:extLst>
                    <c:strCache>
                      <c:ptCount val="1"/>
                      <c:pt idx="0">
                        <c:v>total patient count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'Pivot tables'!$A$102:$A$108</c15:sqref>
                        </c15:formulaRef>
                      </c:ext>
                    </c:extLst>
                    <c:strCache>
                      <c:ptCount val="7"/>
                      <c:pt idx="0">
                        <c:v>Wednesday</c:v>
                      </c:pt>
                      <c:pt idx="1">
                        <c:v>Sunday</c:v>
                      </c:pt>
                      <c:pt idx="2">
                        <c:v>Tuesday</c:v>
                      </c:pt>
                      <c:pt idx="3">
                        <c:v>Thursday</c:v>
                      </c:pt>
                      <c:pt idx="4">
                        <c:v>Saturday</c:v>
                      </c:pt>
                      <c:pt idx="5">
                        <c:v>Monday</c:v>
                      </c:pt>
                      <c:pt idx="6">
                        <c:v>Friday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'Pivot tables'!$B$102:$B$108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207</c:v>
                      </c:pt>
                      <c:pt idx="1">
                        <c:v>234</c:v>
                      </c:pt>
                      <c:pt idx="2">
                        <c:v>210</c:v>
                      </c:pt>
                      <c:pt idx="3">
                        <c:v>204</c:v>
                      </c:pt>
                      <c:pt idx="4">
                        <c:v>206</c:v>
                      </c:pt>
                      <c:pt idx="5">
                        <c:v>225</c:v>
                      </c:pt>
                      <c:pt idx="6">
                        <c:v>214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530D-432C-870A-8C13F651CB8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tables'!$C$101</c15:sqref>
                        </c15:formulaRef>
                      </c:ext>
                    </c:extLst>
                    <c:strCache>
                      <c:ptCount val="1"/>
                      <c:pt idx="0">
                        <c:v>no show count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tables'!$A$102:$A$108</c15:sqref>
                        </c15:formulaRef>
                      </c:ext>
                    </c:extLst>
                    <c:strCache>
                      <c:ptCount val="7"/>
                      <c:pt idx="0">
                        <c:v>Wednesday</c:v>
                      </c:pt>
                      <c:pt idx="1">
                        <c:v>Sunday</c:v>
                      </c:pt>
                      <c:pt idx="2">
                        <c:v>Tuesday</c:v>
                      </c:pt>
                      <c:pt idx="3">
                        <c:v>Thursday</c:v>
                      </c:pt>
                      <c:pt idx="4">
                        <c:v>Saturday</c:v>
                      </c:pt>
                      <c:pt idx="5">
                        <c:v>Monday</c:v>
                      </c:pt>
                      <c:pt idx="6">
                        <c:v>Friday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'Pivot tables'!$C$102:$C$108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56</c:v>
                      </c:pt>
                      <c:pt idx="1">
                        <c:v>56</c:v>
                      </c:pt>
                      <c:pt idx="2">
                        <c:v>49</c:v>
                      </c:pt>
                      <c:pt idx="3">
                        <c:v>47</c:v>
                      </c:pt>
                      <c:pt idx="4">
                        <c:v>43</c:v>
                      </c:pt>
                      <c:pt idx="5">
                        <c:v>43</c:v>
                      </c:pt>
                      <c:pt idx="6">
                        <c:v>38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0-530D-432C-870A-8C13F651CB8D}"/>
                  </c:ext>
                </c:extLst>
              </c15:ser>
            </c15:filteredBarSeries>
          </c:ext>
        </c:extLst>
      </c:barChart>
      <c:catAx>
        <c:axId val="653161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158367"/>
        <c:crosses val="autoZero"/>
        <c:auto val="1"/>
        <c:lblAlgn val="ctr"/>
        <c:lblOffset val="100"/>
        <c:noMultiLvlLbl val="0"/>
      </c:catAx>
      <c:valAx>
        <c:axId val="653158367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16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449580</xdr:colOff>
      <xdr:row>3</xdr:row>
      <xdr:rowOff>47204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DD1E743B-1DCC-4206-711B-EC5156D9854A}"/>
            </a:ext>
          </a:extLst>
        </xdr:cNvPr>
        <xdr:cNvSpPr/>
      </xdr:nvSpPr>
      <xdr:spPr>
        <a:xfrm>
          <a:off x="0" y="0"/>
          <a:ext cx="6210300" cy="595844"/>
        </a:xfrm>
        <a:prstGeom prst="flowChartAlternateProcess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195558</xdr:colOff>
      <xdr:row>1</xdr:row>
      <xdr:rowOff>13485</xdr:rowOff>
    </xdr:from>
    <xdr:to>
      <xdr:col>1</xdr:col>
      <xdr:colOff>107894</xdr:colOff>
      <xdr:row>2</xdr:row>
      <xdr:rowOff>134867</xdr:rowOff>
    </xdr:to>
    <xdr:pic>
      <xdr:nvPicPr>
        <xdr:cNvPr id="6" name="Picture 5" descr="Stethoscope with solid fill">
          <a:extLst>
            <a:ext uri="{FF2B5EF4-FFF2-40B4-BE49-F238E27FC236}">
              <a16:creationId xmlns:a16="http://schemas.microsoft.com/office/drawing/2014/main" id="{25EDE09B-E0CA-CC2E-73C5-9EE67F284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558" y="195556"/>
          <a:ext cx="519239" cy="303453"/>
        </a:xfrm>
        <a:prstGeom prst="rect">
          <a:avLst/>
        </a:prstGeom>
      </xdr:spPr>
    </xdr:pic>
    <xdr:clientData/>
  </xdr:twoCellAnchor>
  <xdr:twoCellAnchor>
    <xdr:from>
      <xdr:col>1</xdr:col>
      <xdr:colOff>510539</xdr:colOff>
      <xdr:row>0</xdr:row>
      <xdr:rowOff>106680</xdr:rowOff>
    </xdr:from>
    <xdr:to>
      <xdr:col>8</xdr:col>
      <xdr:colOff>60690</xdr:colOff>
      <xdr:row>2</xdr:row>
      <xdr:rowOff>167640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4E5CE013-2CEF-031C-C6E0-CF7B0ED46070}"/>
            </a:ext>
          </a:extLst>
        </xdr:cNvPr>
        <xdr:cNvSpPr txBox="1">
          <a:spLocks noChangeArrowheads="1"/>
        </xdr:cNvSpPr>
      </xdr:nvSpPr>
      <xdr:spPr bwMode="auto">
        <a:xfrm>
          <a:off x="1150619" y="106680"/>
          <a:ext cx="4030711" cy="4267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IN" sz="1800" b="1" i="0" u="none" strike="noStrike" baseline="0">
              <a:solidFill>
                <a:srgbClr val="000000"/>
              </a:solidFill>
              <a:latin typeface="Aptos Narrow"/>
            </a:rPr>
            <a:t>Hospital Appointment No Show Analysis</a:t>
          </a:r>
        </a:p>
      </xdr:txBody>
    </xdr:sp>
    <xdr:clientData/>
  </xdr:twoCellAnchor>
  <xdr:twoCellAnchor>
    <xdr:from>
      <xdr:col>0</xdr:col>
      <xdr:colOff>251461</xdr:colOff>
      <xdr:row>3</xdr:row>
      <xdr:rowOff>141611</xdr:rowOff>
    </xdr:from>
    <xdr:to>
      <xdr:col>4</xdr:col>
      <xdr:colOff>274321</xdr:colOff>
      <xdr:row>6</xdr:row>
      <xdr:rowOff>148355</xdr:rowOff>
    </xdr:to>
    <xdr:sp macro="" textlink="">
      <xdr:nvSpPr>
        <xdr:cNvPr id="8" name="Flowchart: Alternate Process 7">
          <a:extLst>
            <a:ext uri="{FF2B5EF4-FFF2-40B4-BE49-F238E27FC236}">
              <a16:creationId xmlns:a16="http://schemas.microsoft.com/office/drawing/2014/main" id="{050BE814-95A0-2DC2-4218-C633967171C8}"/>
            </a:ext>
          </a:extLst>
        </xdr:cNvPr>
        <xdr:cNvSpPr/>
      </xdr:nvSpPr>
      <xdr:spPr>
        <a:xfrm>
          <a:off x="251461" y="690251"/>
          <a:ext cx="2583180" cy="555384"/>
        </a:xfrm>
        <a:prstGeom prst="flowChartAlternateProcess">
          <a:avLst/>
        </a:prstGeom>
        <a:solidFill>
          <a:schemeClr val="bg2"/>
        </a:solidFill>
        <a:ln>
          <a:noFill/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404601</xdr:colOff>
      <xdr:row>4</xdr:row>
      <xdr:rowOff>58937</xdr:rowOff>
    </xdr:from>
    <xdr:to>
      <xdr:col>4</xdr:col>
      <xdr:colOff>141610</xdr:colOff>
      <xdr:row>5</xdr:row>
      <xdr:rowOff>146600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04B9B1E-26CB-8BB9-9EFE-44B7E00172B1}"/>
            </a:ext>
          </a:extLst>
        </xdr:cNvPr>
        <xdr:cNvSpPr txBox="1"/>
      </xdr:nvSpPr>
      <xdr:spPr>
        <a:xfrm>
          <a:off x="404601" y="790457"/>
          <a:ext cx="2297329" cy="2705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/>
            <a:t>  No Show Rate     -</a:t>
          </a:r>
          <a:r>
            <a:rPr lang="en-IN" sz="1300" baseline="0"/>
            <a:t>   </a:t>
          </a:r>
          <a:r>
            <a:rPr lang="en-IN" sz="1300" b="1"/>
            <a:t>22.13 %</a:t>
          </a:r>
        </a:p>
      </xdr:txBody>
    </xdr:sp>
    <xdr:clientData/>
  </xdr:twoCellAnchor>
  <xdr:twoCellAnchor>
    <xdr:from>
      <xdr:col>5</xdr:col>
      <xdr:colOff>119493</xdr:colOff>
      <xdr:row>3</xdr:row>
      <xdr:rowOff>129001</xdr:rowOff>
    </xdr:from>
    <xdr:to>
      <xdr:col>9</xdr:col>
      <xdr:colOff>129541</xdr:colOff>
      <xdr:row>6</xdr:row>
      <xdr:rowOff>135745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2687767-024F-AA95-188D-27852334E453}"/>
            </a:ext>
          </a:extLst>
        </xdr:cNvPr>
        <xdr:cNvSpPr/>
      </xdr:nvSpPr>
      <xdr:spPr>
        <a:xfrm>
          <a:off x="3319893" y="677641"/>
          <a:ext cx="2570368" cy="555384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610275</xdr:colOff>
      <xdr:row>4</xdr:row>
      <xdr:rowOff>48079</xdr:rowOff>
    </xdr:from>
    <xdr:to>
      <xdr:col>8</xdr:col>
      <xdr:colOff>314106</xdr:colOff>
      <xdr:row>6</xdr:row>
      <xdr:rowOff>21106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AC46DBF-16C3-B3E0-CBDD-D6C19172AAA0}"/>
            </a:ext>
          </a:extLst>
        </xdr:cNvPr>
        <xdr:cNvSpPr txBox="1"/>
      </xdr:nvSpPr>
      <xdr:spPr>
        <a:xfrm>
          <a:off x="3810675" y="779599"/>
          <a:ext cx="1624071" cy="3387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/>
            <a:t>Total</a:t>
          </a:r>
          <a:r>
            <a:rPr lang="en-IN" sz="1300" baseline="0"/>
            <a:t> Patients  -  </a:t>
          </a:r>
          <a:r>
            <a:rPr lang="en-IN" sz="1300" b="1" baseline="0"/>
            <a:t>1500</a:t>
          </a:r>
          <a:endParaRPr lang="en-IN" sz="1300" b="1"/>
        </a:p>
      </xdr:txBody>
    </xdr:sp>
    <xdr:clientData/>
  </xdr:twoCellAnchor>
  <xdr:twoCellAnchor>
    <xdr:from>
      <xdr:col>0</xdr:col>
      <xdr:colOff>0</xdr:colOff>
      <xdr:row>7</xdr:row>
      <xdr:rowOff>129540</xdr:rowOff>
    </xdr:from>
    <xdr:to>
      <xdr:col>5</xdr:col>
      <xdr:colOff>274320</xdr:colOff>
      <xdr:row>20</xdr:row>
      <xdr:rowOff>144780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912524C-F07E-461A-BA17-976193A74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342900</xdr:colOff>
      <xdr:row>7</xdr:row>
      <xdr:rowOff>152400</xdr:rowOff>
    </xdr:from>
    <xdr:to>
      <xdr:col>9</xdr:col>
      <xdr:colOff>624840</xdr:colOff>
      <xdr:row>20</xdr:row>
      <xdr:rowOff>121920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8817DF4-A107-433B-9C71-6CB067AD1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</xdr:colOff>
      <xdr:row>23</xdr:row>
      <xdr:rowOff>7620</xdr:rowOff>
    </xdr:from>
    <xdr:to>
      <xdr:col>4</xdr:col>
      <xdr:colOff>464820</xdr:colOff>
      <xdr:row>36</xdr:row>
      <xdr:rowOff>99060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8AC6C92-49AD-4D4D-9B3D-2CEB167F1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198120</xdr:colOff>
      <xdr:row>23</xdr:row>
      <xdr:rowOff>91440</xdr:rowOff>
    </xdr:from>
    <xdr:to>
      <xdr:col>10</xdr:col>
      <xdr:colOff>15240</xdr:colOff>
      <xdr:row>36</xdr:row>
      <xdr:rowOff>45720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41F005-5048-44B1-A469-5B0A0FEC6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15240</xdr:colOff>
      <xdr:row>2</xdr:row>
      <xdr:rowOff>160020</xdr:rowOff>
    </xdr:from>
    <xdr:to>
      <xdr:col>18</xdr:col>
      <xdr:colOff>106680</xdr:colOff>
      <xdr:row>13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EA9C166-6973-2A8B-D8B5-233BA3F7C0FF}"/>
            </a:ext>
          </a:extLst>
        </xdr:cNvPr>
        <xdr:cNvSpPr txBox="1"/>
      </xdr:nvSpPr>
      <xdr:spPr>
        <a:xfrm>
          <a:off x="6416040" y="525780"/>
          <a:ext cx="5212080" cy="20040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 b="1"/>
            <a:t>Key Findings</a:t>
          </a:r>
          <a:endParaRPr lang="en-IN" b="1"/>
        </a:p>
        <a:p>
          <a:endParaRPr lang="en-IN" b="1"/>
        </a:p>
        <a:p>
          <a:r>
            <a:rPr lang="en-IN"/>
            <a:t>• Overall no-show rate is 22.13%, indicating a significant operational challenge for appointment management.</a:t>
          </a:r>
        </a:p>
        <a:p>
          <a:endParaRPr lang="en-IN"/>
        </a:p>
        <a:p>
          <a:r>
            <a:rPr lang="en-IN"/>
            <a:t>• Psychiatry and Cardiology departments show the highest no-show rates among all specialties.</a:t>
          </a:r>
        </a:p>
        <a:p>
          <a:endParaRPr lang="en-IN"/>
        </a:p>
        <a:p>
          <a:r>
            <a:rPr lang="en-IN"/>
            <a:t>• Younger patients and mid-week appointments demonstrate relatively higher missed appointment patterns.</a:t>
          </a:r>
        </a:p>
        <a:p>
          <a:endParaRPr lang="en-IN" sz="1100"/>
        </a:p>
      </xdr:txBody>
    </xdr:sp>
    <xdr:clientData/>
  </xdr:twoCellAnchor>
  <xdr:twoCellAnchor>
    <xdr:from>
      <xdr:col>10</xdr:col>
      <xdr:colOff>60960</xdr:colOff>
      <xdr:row>17</xdr:row>
      <xdr:rowOff>114300</xdr:rowOff>
    </xdr:from>
    <xdr:to>
      <xdr:col>17</xdr:col>
      <xdr:colOff>312420</xdr:colOff>
      <xdr:row>29</xdr:row>
      <xdr:rowOff>22860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E3E8035-B5ED-94C3-EAB0-280C858A4F1C}"/>
            </a:ext>
          </a:extLst>
        </xdr:cNvPr>
        <xdr:cNvSpPr txBox="1"/>
      </xdr:nvSpPr>
      <xdr:spPr>
        <a:xfrm>
          <a:off x="6461760" y="3223260"/>
          <a:ext cx="4732020" cy="2103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 b="1"/>
            <a:t>Recommendations</a:t>
          </a:r>
        </a:p>
        <a:p>
          <a:endParaRPr lang="en-IN" b="1"/>
        </a:p>
        <a:p>
          <a:endParaRPr lang="en-IN" b="1"/>
        </a:p>
        <a:p>
          <a:r>
            <a:rPr lang="en-IN"/>
            <a:t>• Implement targeted reminder campaigns for high-risk patient groups and departments.</a:t>
          </a:r>
        </a:p>
        <a:p>
          <a:endParaRPr lang="en-IN"/>
        </a:p>
        <a:p>
          <a:r>
            <a:rPr lang="en-IN"/>
            <a:t>• Reduce long appointment waiting periods to improve attendance consistency.</a:t>
          </a:r>
        </a:p>
        <a:p>
          <a:endParaRPr lang="en-IN"/>
        </a:p>
        <a:p>
          <a:r>
            <a:rPr lang="en-IN"/>
            <a:t>• Monitor high no-show weekdays and optimize scheduling or overbooking strategies accordingly.</a:t>
          </a:r>
        </a:p>
        <a:p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Tirumani" refreshedDate="46164.693909027781" createdVersion="8" refreshedVersion="8" minRefreshableVersion="3" recordCount="1500" xr:uid="{412F99B7-1EBF-4094-BE8A-5B06BB25E0DC}">
  <cacheSource type="worksheet">
    <worksheetSource ref="A1:S1501" sheet="Appointments"/>
  </cacheSource>
  <cacheFields count="22">
    <cacheField name="AppointmentID" numFmtId="0">
      <sharedItems containsSemiMixedTypes="0" containsString="0" containsNumber="1" containsInteger="1" minValue="500001" maxValue="501500"/>
    </cacheField>
    <cacheField name="Patient_ID" numFmtId="0">
      <sharedItems containsSemiMixedTypes="0" containsString="0" containsNumber="1" containsInteger="1" minValue="10001" maxValue="99966"/>
    </cacheField>
    <cacheField name="Gender" numFmtId="0">
      <sharedItems count="2">
        <s v="Male"/>
        <s v="Female"/>
      </sharedItems>
    </cacheField>
    <cacheField name="Department" numFmtId="0">
      <sharedItems count="8">
        <s v="Cardiology"/>
        <s v="Dermatology"/>
        <s v="Pediatrics"/>
        <s v="Psychiatry"/>
        <s v="General Medicine"/>
        <s v="Orthopedics"/>
        <s v="Dental"/>
        <s v="Neurology"/>
      </sharedItems>
    </cacheField>
    <cacheField name="Schedule_Date" numFmtId="164">
      <sharedItems containsSemiMixedTypes="0" containsNonDate="0" containsDate="1" containsString="0" minDate="2025-11-20T00:00:00" maxDate="2026-05-22T00:00:00"/>
    </cacheField>
    <cacheField name="Schedule_Time" numFmtId="0">
      <sharedItems/>
    </cacheField>
    <cacheField name="Appointment_Date" numFmtId="164">
      <sharedItems containsSemiMixedTypes="0" containsNonDate="0" containsDate="1" containsString="0" minDate="2025-11-20T00:00:00" maxDate="2026-06-20T00:00:00" count="198">
        <d v="2026-04-09T00:00:00"/>
        <d v="2025-12-12T00:00:00"/>
        <d v="2026-02-17T00:00:00"/>
        <d v="2026-04-10T00:00:00"/>
        <d v="2026-05-04T00:00:00"/>
        <d v="2026-01-23T00:00:00"/>
        <d v="2026-01-06T00:00:00"/>
        <d v="2026-05-20T00:00:00"/>
        <d v="2026-04-08T00:00:00"/>
        <d v="2026-05-15T00:00:00"/>
        <d v="2026-05-13T00:00:00"/>
        <d v="2026-01-16T00:00:00"/>
        <d v="2026-03-08T00:00:00"/>
        <d v="2025-12-07T00:00:00"/>
        <d v="2026-05-23T00:00:00"/>
        <d v="2026-03-24T00:00:00"/>
        <d v="2026-03-26T00:00:00"/>
        <d v="2025-11-27T00:00:00"/>
        <d v="2026-05-03T00:00:00"/>
        <d v="2026-02-24T00:00:00"/>
        <d v="2026-02-05T00:00:00"/>
        <d v="2026-02-20T00:00:00"/>
        <d v="2026-01-01T00:00:00"/>
        <d v="2025-12-02T00:00:00"/>
        <d v="2025-12-10T00:00:00"/>
        <d v="2026-04-29T00:00:00"/>
        <d v="2026-03-19T00:00:00"/>
        <d v="2026-02-28T00:00:00"/>
        <d v="2026-02-22T00:00:00"/>
        <d v="2026-04-20T00:00:00"/>
        <d v="2025-12-29T00:00:00"/>
        <d v="2026-04-21T00:00:00"/>
        <d v="2026-05-17T00:00:00"/>
        <d v="2026-02-04T00:00:00"/>
        <d v="2026-05-30T00:00:00"/>
        <d v="2026-01-21T00:00:00"/>
        <d v="2026-04-27T00:00:00"/>
        <d v="2026-04-15T00:00:00"/>
        <d v="2026-01-03T00:00:00"/>
        <d v="2025-12-05T00:00:00"/>
        <d v="2026-02-11T00:00:00"/>
        <d v="2026-03-20T00:00:00"/>
        <d v="2026-02-01T00:00:00"/>
        <d v="2026-04-06T00:00:00"/>
        <d v="2026-02-19T00:00:00"/>
        <d v="2026-04-07T00:00:00"/>
        <d v="2026-05-06T00:00:00"/>
        <d v="2026-02-07T00:00:00"/>
        <d v="2026-05-08T00:00:00"/>
        <d v="2026-03-23T00:00:00"/>
        <d v="2026-01-04T00:00:00"/>
        <d v="2026-01-12T00:00:00"/>
        <d v="2026-02-06T00:00:00"/>
        <d v="2026-02-13T00:00:00"/>
        <d v="2026-01-24T00:00:00"/>
        <d v="2026-05-16T00:00:00"/>
        <d v="2026-02-16T00:00:00"/>
        <d v="2025-11-23T00:00:00"/>
        <d v="2026-03-27T00:00:00"/>
        <d v="2026-04-03T00:00:00"/>
        <d v="2026-01-11T00:00:00"/>
        <d v="2026-03-02T00:00:00"/>
        <d v="2026-04-28T00:00:00"/>
        <d v="2026-03-29T00:00:00"/>
        <d v="2025-11-28T00:00:00"/>
        <d v="2026-01-19T00:00:00"/>
        <d v="2026-03-07T00:00:00"/>
        <d v="2025-12-20T00:00:00"/>
        <d v="2026-04-05T00:00:00"/>
        <d v="2026-02-10T00:00:00"/>
        <d v="2026-01-02T00:00:00"/>
        <d v="2026-03-21T00:00:00"/>
        <d v="2026-03-04T00:00:00"/>
        <d v="2025-12-27T00:00:00"/>
        <d v="2026-01-30T00:00:00"/>
        <d v="2026-01-08T00:00:00"/>
        <d v="2026-05-09T00:00:00"/>
        <d v="2026-04-04T00:00:00"/>
        <d v="2025-12-21T00:00:00"/>
        <d v="2026-04-26T00:00:00"/>
        <d v="2025-12-25T00:00:00"/>
        <d v="2026-01-28T00:00:00"/>
        <d v="2025-12-04T00:00:00"/>
        <d v="2026-03-16T00:00:00"/>
        <d v="2026-01-05T00:00:00"/>
        <d v="2026-03-09T00:00:00"/>
        <d v="2025-12-14T00:00:00"/>
        <d v="2026-04-30T00:00:00"/>
        <d v="2026-03-10T00:00:00"/>
        <d v="2026-03-06T00:00:00"/>
        <d v="2026-04-12T00:00:00"/>
        <d v="2026-02-27T00:00:00"/>
        <d v="2026-02-23T00:00:00"/>
        <d v="2025-12-06T00:00:00"/>
        <d v="2026-01-17T00:00:00"/>
        <d v="2026-02-21T00:00:00"/>
        <d v="2026-01-29T00:00:00"/>
        <d v="2026-04-01T00:00:00"/>
        <d v="2026-01-13T00:00:00"/>
        <d v="2025-12-03T00:00:00"/>
        <d v="2026-01-15T00:00:00"/>
        <d v="2026-04-17T00:00:00"/>
        <d v="2026-03-25T00:00:00"/>
        <d v="2026-05-25T00:00:00"/>
        <d v="2026-05-18T00:00:00"/>
        <d v="2026-05-02T00:00:00"/>
        <d v="2026-01-25T00:00:00"/>
        <d v="2026-03-31T00:00:00"/>
        <d v="2026-05-24T00:00:00"/>
        <d v="2026-01-09T00:00:00"/>
        <d v="2025-11-30T00:00:00"/>
        <d v="2026-03-13T00:00:00"/>
        <d v="2026-03-11T00:00:00"/>
        <d v="2025-12-08T00:00:00"/>
        <d v="2025-12-11T00:00:00"/>
        <d v="2026-02-15T00:00:00"/>
        <d v="2026-04-25T00:00:00"/>
        <d v="2026-01-18T00:00:00"/>
        <d v="2025-12-16T00:00:00"/>
        <d v="2025-11-26T00:00:00"/>
        <d v="2026-02-03T00:00:00"/>
        <d v="2025-12-01T00:00:00"/>
        <d v="2025-12-15T00:00:00"/>
        <d v="2026-01-07T00:00:00"/>
        <d v="2026-05-14T00:00:00"/>
        <d v="2026-03-01T00:00:00"/>
        <d v="2026-02-02T00:00:00"/>
        <d v="2025-12-24T00:00:00"/>
        <d v="2026-03-12T00:00:00"/>
        <d v="2025-12-22T00:00:00"/>
        <d v="2026-01-10T00:00:00"/>
        <d v="2026-03-03T00:00:00"/>
        <d v="2026-05-10T00:00:00"/>
        <d v="2026-05-07T00:00:00"/>
        <d v="2026-04-19T00:00:00"/>
        <d v="2026-03-05T00:00:00"/>
        <d v="2026-03-17T00:00:00"/>
        <d v="2026-01-26T00:00:00"/>
        <d v="2026-05-22T00:00:00"/>
        <d v="2026-04-16T00:00:00"/>
        <d v="2025-12-23T00:00:00"/>
        <d v="2026-01-22T00:00:00"/>
        <d v="2026-05-31T00:00:00"/>
        <d v="2026-03-18T00:00:00"/>
        <d v="2026-05-27T00:00:00"/>
        <d v="2026-04-22T00:00:00"/>
        <d v="2026-01-31T00:00:00"/>
        <d v="2026-04-14T00:00:00"/>
        <d v="2025-12-30T00:00:00"/>
        <d v="2026-02-26T00:00:00"/>
        <d v="2026-01-20T00:00:00"/>
        <d v="2026-02-25T00:00:00"/>
        <d v="2025-12-17T00:00:00"/>
        <d v="2026-03-30T00:00:00"/>
        <d v="2026-02-08T00:00:00"/>
        <d v="2025-11-25T00:00:00"/>
        <d v="2025-12-28T00:00:00"/>
        <d v="2026-05-01T00:00:00"/>
        <d v="2025-12-31T00:00:00"/>
        <d v="2025-11-24T00:00:00"/>
        <d v="2026-04-11T00:00:00"/>
        <d v="2026-03-28T00:00:00"/>
        <d v="2026-05-19T00:00:00"/>
        <d v="2026-02-12T00:00:00"/>
        <d v="2026-06-02T00:00:00"/>
        <d v="2026-02-18T00:00:00"/>
        <d v="2026-05-26T00:00:00"/>
        <d v="2026-02-09T00:00:00"/>
        <d v="2026-05-21T00:00:00"/>
        <d v="2025-12-19T00:00:00"/>
        <d v="2025-12-26T00:00:00"/>
        <d v="2026-04-18T00:00:00"/>
        <d v="2026-04-24T00:00:00"/>
        <d v="2026-05-11T00:00:00"/>
        <d v="2026-06-03T00:00:00"/>
        <d v="2026-05-28T00:00:00"/>
        <d v="2026-04-13T00:00:00"/>
        <d v="2026-06-01T00:00:00"/>
        <d v="2026-02-14T00:00:00"/>
        <d v="2026-01-14T00:00:00"/>
        <d v="2025-12-18T00:00:00"/>
        <d v="2026-05-29T00:00:00"/>
        <d v="2026-05-05T00:00:00"/>
        <d v="2026-04-23T00:00:00"/>
        <d v="2026-03-15T00:00:00"/>
        <d v="2026-03-22T00:00:00"/>
        <d v="2026-04-02T00:00:00"/>
        <d v="2026-01-27T00:00:00"/>
        <d v="2025-12-09T00:00:00"/>
        <d v="2025-11-20T00:00:00"/>
        <d v="2026-05-12T00:00:00"/>
        <d v="2026-06-05T00:00:00"/>
        <d v="2025-12-13T00:00:00"/>
        <d v="2026-03-14T00:00:00"/>
        <d v="2026-06-09T00:00:00"/>
        <d v="2026-06-19T00:00:00"/>
        <d v="2026-06-13T00:00:00"/>
        <d v="2025-11-22T00:00:00"/>
      </sharedItems>
      <fieldGroup par="21"/>
    </cacheField>
    <cacheField name="Weekday" numFmtId="164">
      <sharedItems count="7">
        <s v="Thursday"/>
        <s v="Friday"/>
        <s v="Tuesday"/>
        <s v="Monday"/>
        <s v="Wednesday"/>
        <s v="Sunday"/>
        <s v="Saturday"/>
      </sharedItems>
    </cacheField>
    <cacheField name="Age" numFmtId="0">
      <sharedItems containsSemiMixedTypes="0" containsString="0" containsNumber="1" containsInteger="1" minValue="0" maxValue="90"/>
    </cacheField>
    <cacheField name="Neighbourhood" numFmtId="0">
      <sharedItems count="10">
        <s v="Lake View"/>
        <s v="River Side"/>
        <s v="North Hills"/>
        <s v="East Market"/>
        <s v="Old Town"/>
        <s v="Sunrise Colony"/>
        <s v="Green Park"/>
        <s v="Central City"/>
        <s v="West End"/>
        <s v="Hill Top"/>
      </sharedItems>
    </cacheField>
    <cacheField name="Scholarship" numFmtId="0">
      <sharedItems containsSemiMixedTypes="0" containsString="0" containsNumber="1" containsInteger="1" minValue="0" maxValue="1"/>
    </cacheField>
    <cacheField name="Hypertension" numFmtId="0">
      <sharedItems containsSemiMixedTypes="0" containsString="0" containsNumber="1" containsInteger="1" minValue="0" maxValue="1"/>
    </cacheField>
    <cacheField name="Diabetes" numFmtId="0">
      <sharedItems containsSemiMixedTypes="0" containsString="0" containsNumber="1" containsInteger="1" minValue="0" maxValue="1"/>
    </cacheField>
    <cacheField name="Alcoholism" numFmtId="0">
      <sharedItems containsSemiMixedTypes="0" containsString="0" containsNumber="1" containsInteger="1" minValue="0" maxValue="1"/>
    </cacheField>
    <cacheField name="Handicap" numFmtId="0">
      <sharedItems containsSemiMixedTypes="0" containsString="0" containsNumber="1" containsInteger="1" minValue="0" maxValue="1"/>
    </cacheField>
    <cacheField name="chronic_condition" numFmtId="0">
      <sharedItems count="2">
        <s v="Chronic"/>
        <s v="Non Chronic"/>
      </sharedItems>
    </cacheField>
    <cacheField name="SMS_Received" numFmtId="0">
      <sharedItems containsSemiMixedTypes="0" containsString="0" containsNumber="1" containsInteger="1" minValue="0" maxValue="1"/>
    </cacheField>
    <cacheField name="No_Show" numFmtId="0">
      <sharedItems containsSemiMixedTypes="0" containsString="0" containsNumber="1" containsInteger="1" minValue="0" maxValue="1" count="2">
        <n v="0"/>
        <n v="1"/>
      </sharedItems>
    </cacheField>
    <cacheField name="Age_Group" numFmtId="0">
      <sharedItems count="4">
        <s v="41-60"/>
        <s v="19-40"/>
        <s v="Above 60"/>
        <s v="0-18"/>
      </sharedItems>
    </cacheField>
    <cacheField name="Months (Appointment_Date)" numFmtId="0" databaseField="0">
      <fieldGroup base="6">
        <rangePr groupBy="months" startDate="2025-11-20T00:00:00" endDate="2026-06-20T00:00:00"/>
        <groupItems count="14">
          <s v="&lt;20-1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6-2026"/>
        </groupItems>
      </fieldGroup>
    </cacheField>
    <cacheField name="Quarters (Appointment_Date)" numFmtId="0" databaseField="0">
      <fieldGroup base="6">
        <rangePr groupBy="quarters" startDate="2025-11-20T00:00:00" endDate="2026-06-20T00:00:00"/>
        <groupItems count="6">
          <s v="&lt;20-11-2025"/>
          <s v="Qtr1"/>
          <s v="Qtr2"/>
          <s v="Qtr3"/>
          <s v="Qtr4"/>
          <s v="&gt;20-06-2026"/>
        </groupItems>
      </fieldGroup>
    </cacheField>
    <cacheField name="Years (Appointment_Date)" numFmtId="0" databaseField="0">
      <fieldGroup base="6">
        <rangePr groupBy="years" startDate="2025-11-20T00:00:00" endDate="2026-06-20T00:00:00"/>
        <groupItems count="4">
          <s v="&lt;20-11-2025"/>
          <s v="2025"/>
          <s v="2026"/>
          <s v="&gt;20-06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n v="500001"/>
    <n v="93810"/>
    <x v="0"/>
    <x v="0"/>
    <d v="2026-03-20T00:00:00"/>
    <s v="10:15"/>
    <x v="0"/>
    <x v="0"/>
    <n v="47"/>
    <x v="0"/>
    <n v="0"/>
    <n v="1"/>
    <n v="0"/>
    <n v="0"/>
    <n v="0"/>
    <x v="0"/>
    <n v="1"/>
    <x v="0"/>
    <x v="0"/>
  </r>
  <r>
    <n v="500002"/>
    <n v="13905"/>
    <x v="0"/>
    <x v="1"/>
    <d v="2025-12-02T00:00:00"/>
    <s v="02:23"/>
    <x v="1"/>
    <x v="1"/>
    <n v="35"/>
    <x v="1"/>
    <n v="0"/>
    <n v="0"/>
    <n v="0"/>
    <n v="0"/>
    <n v="0"/>
    <x v="1"/>
    <n v="1"/>
    <x v="0"/>
    <x v="1"/>
  </r>
  <r>
    <n v="500003"/>
    <n v="68878"/>
    <x v="1"/>
    <x v="0"/>
    <d v="2026-02-14T00:00:00"/>
    <s v="02:22"/>
    <x v="2"/>
    <x v="2"/>
    <n v="50"/>
    <x v="2"/>
    <n v="1"/>
    <n v="1"/>
    <n v="1"/>
    <n v="0"/>
    <n v="0"/>
    <x v="0"/>
    <n v="1"/>
    <x v="1"/>
    <x v="0"/>
  </r>
  <r>
    <n v="500004"/>
    <n v="55082"/>
    <x v="1"/>
    <x v="0"/>
    <d v="2026-04-03T00:00:00"/>
    <s v="23:06"/>
    <x v="3"/>
    <x v="1"/>
    <n v="68"/>
    <x v="3"/>
    <n v="0"/>
    <n v="0"/>
    <n v="0"/>
    <n v="0"/>
    <n v="0"/>
    <x v="1"/>
    <n v="0"/>
    <x v="0"/>
    <x v="2"/>
  </r>
  <r>
    <n v="500005"/>
    <n v="19116"/>
    <x v="0"/>
    <x v="1"/>
    <d v="2026-04-14T00:00:00"/>
    <s v="07:42"/>
    <x v="4"/>
    <x v="3"/>
    <n v="33"/>
    <x v="0"/>
    <n v="0"/>
    <n v="0"/>
    <n v="0"/>
    <n v="0"/>
    <n v="0"/>
    <x v="1"/>
    <n v="1"/>
    <x v="0"/>
    <x v="1"/>
  </r>
  <r>
    <n v="500006"/>
    <n v="57819"/>
    <x v="0"/>
    <x v="2"/>
    <d v="2026-01-13T00:00:00"/>
    <s v="06:20"/>
    <x v="5"/>
    <x v="1"/>
    <n v="33"/>
    <x v="4"/>
    <n v="0"/>
    <n v="0"/>
    <n v="0"/>
    <n v="0"/>
    <n v="0"/>
    <x v="1"/>
    <n v="1"/>
    <x v="1"/>
    <x v="1"/>
  </r>
  <r>
    <n v="500007"/>
    <n v="93227"/>
    <x v="0"/>
    <x v="1"/>
    <d v="2025-12-27T00:00:00"/>
    <s v="00:03"/>
    <x v="6"/>
    <x v="2"/>
    <n v="69"/>
    <x v="2"/>
    <n v="1"/>
    <n v="0"/>
    <n v="0"/>
    <n v="0"/>
    <n v="0"/>
    <x v="1"/>
    <n v="0"/>
    <x v="0"/>
    <x v="2"/>
  </r>
  <r>
    <n v="500008"/>
    <n v="40021"/>
    <x v="0"/>
    <x v="2"/>
    <d v="2026-05-10T00:00:00"/>
    <s v="01:36"/>
    <x v="7"/>
    <x v="4"/>
    <n v="53"/>
    <x v="5"/>
    <n v="1"/>
    <n v="1"/>
    <n v="0"/>
    <n v="0"/>
    <n v="0"/>
    <x v="0"/>
    <n v="1"/>
    <x v="0"/>
    <x v="0"/>
  </r>
  <r>
    <n v="500009"/>
    <n v="94259"/>
    <x v="1"/>
    <x v="3"/>
    <d v="2026-04-01T00:00:00"/>
    <s v="20:31"/>
    <x v="8"/>
    <x v="4"/>
    <n v="28"/>
    <x v="0"/>
    <n v="0"/>
    <n v="0"/>
    <n v="0"/>
    <n v="0"/>
    <n v="0"/>
    <x v="1"/>
    <n v="1"/>
    <x v="0"/>
    <x v="1"/>
  </r>
  <r>
    <n v="500010"/>
    <n v="86484"/>
    <x v="1"/>
    <x v="2"/>
    <d v="2026-05-14T00:00:00"/>
    <s v="00:54"/>
    <x v="9"/>
    <x v="1"/>
    <n v="48"/>
    <x v="1"/>
    <n v="0"/>
    <n v="0"/>
    <n v="1"/>
    <n v="1"/>
    <n v="0"/>
    <x v="0"/>
    <n v="1"/>
    <x v="0"/>
    <x v="0"/>
  </r>
  <r>
    <n v="500011"/>
    <n v="65333"/>
    <x v="0"/>
    <x v="4"/>
    <d v="2026-04-13T00:00:00"/>
    <s v="21:10"/>
    <x v="10"/>
    <x v="4"/>
    <n v="28"/>
    <x v="5"/>
    <n v="1"/>
    <n v="0"/>
    <n v="0"/>
    <n v="0"/>
    <n v="0"/>
    <x v="1"/>
    <n v="0"/>
    <x v="1"/>
    <x v="1"/>
  </r>
  <r>
    <n v="500012"/>
    <n v="25014"/>
    <x v="1"/>
    <x v="2"/>
    <d v="2026-01-11T00:00:00"/>
    <s v="02:30"/>
    <x v="11"/>
    <x v="1"/>
    <n v="28"/>
    <x v="6"/>
    <n v="1"/>
    <n v="0"/>
    <n v="0"/>
    <n v="0"/>
    <n v="0"/>
    <x v="1"/>
    <n v="0"/>
    <x v="0"/>
    <x v="1"/>
  </r>
  <r>
    <n v="500013"/>
    <n v="44522"/>
    <x v="0"/>
    <x v="5"/>
    <d v="2026-03-03T00:00:00"/>
    <s v="18:14"/>
    <x v="12"/>
    <x v="5"/>
    <n v="42"/>
    <x v="0"/>
    <n v="0"/>
    <n v="0"/>
    <n v="1"/>
    <n v="0"/>
    <n v="0"/>
    <x v="0"/>
    <n v="0"/>
    <x v="0"/>
    <x v="0"/>
  </r>
  <r>
    <n v="500014"/>
    <n v="10074"/>
    <x v="1"/>
    <x v="6"/>
    <d v="2025-12-06T00:00:00"/>
    <s v="22:56"/>
    <x v="13"/>
    <x v="5"/>
    <n v="0"/>
    <x v="7"/>
    <n v="0"/>
    <n v="0"/>
    <n v="0"/>
    <n v="0"/>
    <n v="0"/>
    <x v="1"/>
    <n v="1"/>
    <x v="0"/>
    <x v="3"/>
  </r>
  <r>
    <n v="500015"/>
    <n v="50306"/>
    <x v="0"/>
    <x v="0"/>
    <d v="2026-05-03T00:00:00"/>
    <s v="04:09"/>
    <x v="14"/>
    <x v="6"/>
    <n v="3"/>
    <x v="1"/>
    <n v="0"/>
    <n v="0"/>
    <n v="0"/>
    <n v="0"/>
    <n v="0"/>
    <x v="1"/>
    <n v="0"/>
    <x v="1"/>
    <x v="3"/>
  </r>
  <r>
    <n v="500016"/>
    <n v="73699"/>
    <x v="0"/>
    <x v="3"/>
    <d v="2026-03-23T00:00:00"/>
    <s v="15:34"/>
    <x v="15"/>
    <x v="2"/>
    <n v="26"/>
    <x v="2"/>
    <n v="1"/>
    <n v="0"/>
    <n v="0"/>
    <n v="0"/>
    <n v="0"/>
    <x v="1"/>
    <n v="1"/>
    <x v="0"/>
    <x v="1"/>
  </r>
  <r>
    <n v="500017"/>
    <n v="37760"/>
    <x v="0"/>
    <x v="7"/>
    <d v="2026-02-24T00:00:00"/>
    <s v="23:23"/>
    <x v="16"/>
    <x v="0"/>
    <n v="17"/>
    <x v="5"/>
    <n v="0"/>
    <n v="0"/>
    <n v="0"/>
    <n v="0"/>
    <n v="0"/>
    <x v="1"/>
    <n v="1"/>
    <x v="0"/>
    <x v="3"/>
  </r>
  <r>
    <n v="500018"/>
    <n v="77839"/>
    <x v="1"/>
    <x v="5"/>
    <d v="2025-11-22T00:00:00"/>
    <s v="04:06"/>
    <x v="17"/>
    <x v="0"/>
    <n v="44"/>
    <x v="1"/>
    <n v="0"/>
    <n v="0"/>
    <n v="1"/>
    <n v="1"/>
    <n v="0"/>
    <x v="0"/>
    <n v="1"/>
    <x v="1"/>
    <x v="0"/>
  </r>
  <r>
    <n v="500019"/>
    <n v="92719"/>
    <x v="0"/>
    <x v="1"/>
    <d v="2026-02-02T00:00:00"/>
    <s v="11:11"/>
    <x v="2"/>
    <x v="2"/>
    <n v="19"/>
    <x v="6"/>
    <n v="0"/>
    <n v="0"/>
    <n v="0"/>
    <n v="0"/>
    <n v="0"/>
    <x v="1"/>
    <n v="1"/>
    <x v="1"/>
    <x v="1"/>
  </r>
  <r>
    <n v="500020"/>
    <n v="97684"/>
    <x v="1"/>
    <x v="1"/>
    <d v="2026-01-22T00:00:00"/>
    <s v="03:53"/>
    <x v="5"/>
    <x v="1"/>
    <n v="9"/>
    <x v="8"/>
    <n v="0"/>
    <n v="0"/>
    <n v="0"/>
    <n v="0"/>
    <n v="0"/>
    <x v="1"/>
    <n v="0"/>
    <x v="0"/>
    <x v="3"/>
  </r>
  <r>
    <n v="500021"/>
    <n v="71953"/>
    <x v="0"/>
    <x v="6"/>
    <d v="2026-04-13T00:00:00"/>
    <s v="18:10"/>
    <x v="18"/>
    <x v="5"/>
    <n v="67"/>
    <x v="5"/>
    <n v="0"/>
    <n v="1"/>
    <n v="0"/>
    <n v="0"/>
    <n v="0"/>
    <x v="0"/>
    <n v="1"/>
    <x v="0"/>
    <x v="2"/>
  </r>
  <r>
    <n v="500022"/>
    <n v="94696"/>
    <x v="0"/>
    <x v="0"/>
    <d v="2026-02-23T00:00:00"/>
    <s v="09:56"/>
    <x v="19"/>
    <x v="2"/>
    <n v="33"/>
    <x v="5"/>
    <n v="1"/>
    <n v="0"/>
    <n v="0"/>
    <n v="0"/>
    <n v="0"/>
    <x v="1"/>
    <n v="1"/>
    <x v="0"/>
    <x v="1"/>
  </r>
  <r>
    <n v="500023"/>
    <n v="28373"/>
    <x v="1"/>
    <x v="3"/>
    <d v="2026-01-16T00:00:00"/>
    <s v="08:07"/>
    <x v="20"/>
    <x v="0"/>
    <n v="39"/>
    <x v="0"/>
    <n v="1"/>
    <n v="0"/>
    <n v="0"/>
    <n v="0"/>
    <n v="0"/>
    <x v="1"/>
    <n v="1"/>
    <x v="0"/>
    <x v="1"/>
  </r>
  <r>
    <n v="500024"/>
    <n v="82132"/>
    <x v="0"/>
    <x v="0"/>
    <d v="2026-02-05T00:00:00"/>
    <s v="17:47"/>
    <x v="21"/>
    <x v="1"/>
    <n v="9"/>
    <x v="8"/>
    <n v="0"/>
    <n v="0"/>
    <n v="0"/>
    <n v="0"/>
    <n v="0"/>
    <x v="1"/>
    <n v="0"/>
    <x v="0"/>
    <x v="3"/>
  </r>
  <r>
    <n v="500025"/>
    <n v="40982"/>
    <x v="0"/>
    <x v="4"/>
    <d v="2025-12-29T00:00:00"/>
    <s v="13:00"/>
    <x v="22"/>
    <x v="0"/>
    <n v="27"/>
    <x v="3"/>
    <n v="1"/>
    <n v="0"/>
    <n v="0"/>
    <n v="0"/>
    <n v="0"/>
    <x v="1"/>
    <n v="1"/>
    <x v="0"/>
    <x v="1"/>
  </r>
  <r>
    <n v="500026"/>
    <n v="61173"/>
    <x v="1"/>
    <x v="6"/>
    <d v="2025-11-22T00:00:00"/>
    <s v="15:56"/>
    <x v="23"/>
    <x v="2"/>
    <n v="40"/>
    <x v="0"/>
    <n v="1"/>
    <n v="0"/>
    <n v="0"/>
    <n v="0"/>
    <n v="0"/>
    <x v="1"/>
    <n v="0"/>
    <x v="0"/>
    <x v="1"/>
  </r>
  <r>
    <n v="500027"/>
    <n v="73788"/>
    <x v="0"/>
    <x v="1"/>
    <d v="2025-12-08T00:00:00"/>
    <s v="13:59"/>
    <x v="24"/>
    <x v="4"/>
    <n v="14"/>
    <x v="0"/>
    <n v="0"/>
    <n v="0"/>
    <n v="0"/>
    <n v="0"/>
    <n v="0"/>
    <x v="1"/>
    <n v="1"/>
    <x v="0"/>
    <x v="3"/>
  </r>
  <r>
    <n v="500028"/>
    <n v="17989"/>
    <x v="1"/>
    <x v="0"/>
    <d v="2026-04-28T00:00:00"/>
    <s v="23:52"/>
    <x v="25"/>
    <x v="4"/>
    <n v="45"/>
    <x v="7"/>
    <n v="1"/>
    <n v="0"/>
    <n v="0"/>
    <n v="0"/>
    <n v="0"/>
    <x v="1"/>
    <n v="0"/>
    <x v="1"/>
    <x v="0"/>
  </r>
  <r>
    <n v="500029"/>
    <n v="34356"/>
    <x v="0"/>
    <x v="5"/>
    <d v="2026-02-27T00:00:00"/>
    <s v="08:37"/>
    <x v="26"/>
    <x v="0"/>
    <n v="25"/>
    <x v="1"/>
    <n v="1"/>
    <n v="0"/>
    <n v="0"/>
    <n v="0"/>
    <n v="0"/>
    <x v="1"/>
    <n v="1"/>
    <x v="0"/>
    <x v="1"/>
  </r>
  <r>
    <n v="500030"/>
    <n v="91183"/>
    <x v="0"/>
    <x v="4"/>
    <d v="2026-02-26T00:00:00"/>
    <s v="03:09"/>
    <x v="27"/>
    <x v="6"/>
    <n v="32"/>
    <x v="9"/>
    <n v="1"/>
    <n v="0"/>
    <n v="0"/>
    <n v="0"/>
    <n v="0"/>
    <x v="1"/>
    <n v="1"/>
    <x v="0"/>
    <x v="1"/>
  </r>
  <r>
    <n v="500031"/>
    <n v="61876"/>
    <x v="0"/>
    <x v="7"/>
    <d v="2026-02-02T00:00:00"/>
    <s v="21:18"/>
    <x v="28"/>
    <x v="5"/>
    <n v="25"/>
    <x v="3"/>
    <n v="1"/>
    <n v="0"/>
    <n v="0"/>
    <n v="0"/>
    <n v="0"/>
    <x v="1"/>
    <n v="1"/>
    <x v="0"/>
    <x v="1"/>
  </r>
  <r>
    <n v="500032"/>
    <n v="83792"/>
    <x v="0"/>
    <x v="5"/>
    <d v="2026-04-18T00:00:00"/>
    <s v="01:00"/>
    <x v="29"/>
    <x v="3"/>
    <n v="75"/>
    <x v="8"/>
    <n v="0"/>
    <n v="0"/>
    <n v="1"/>
    <n v="0"/>
    <n v="0"/>
    <x v="0"/>
    <n v="1"/>
    <x v="0"/>
    <x v="2"/>
  </r>
  <r>
    <n v="500033"/>
    <n v="81200"/>
    <x v="1"/>
    <x v="0"/>
    <d v="2025-12-28T00:00:00"/>
    <s v="06:55"/>
    <x v="30"/>
    <x v="3"/>
    <n v="37"/>
    <x v="8"/>
    <n v="1"/>
    <n v="0"/>
    <n v="0"/>
    <n v="0"/>
    <n v="0"/>
    <x v="1"/>
    <n v="0"/>
    <x v="1"/>
    <x v="1"/>
  </r>
  <r>
    <n v="500034"/>
    <n v="24029"/>
    <x v="0"/>
    <x v="7"/>
    <d v="2026-04-14T00:00:00"/>
    <s v="08:30"/>
    <x v="31"/>
    <x v="2"/>
    <n v="16"/>
    <x v="0"/>
    <n v="0"/>
    <n v="0"/>
    <n v="0"/>
    <n v="0"/>
    <n v="0"/>
    <x v="1"/>
    <n v="1"/>
    <x v="0"/>
    <x v="3"/>
  </r>
  <r>
    <n v="500035"/>
    <n v="93130"/>
    <x v="1"/>
    <x v="6"/>
    <d v="2026-05-17T00:00:00"/>
    <s v="13:02"/>
    <x v="32"/>
    <x v="5"/>
    <n v="54"/>
    <x v="0"/>
    <n v="0"/>
    <n v="1"/>
    <n v="0"/>
    <n v="0"/>
    <n v="0"/>
    <x v="0"/>
    <n v="0"/>
    <x v="0"/>
    <x v="0"/>
  </r>
  <r>
    <n v="500036"/>
    <n v="44335"/>
    <x v="0"/>
    <x v="6"/>
    <d v="2026-01-25T00:00:00"/>
    <s v="04:22"/>
    <x v="33"/>
    <x v="4"/>
    <n v="13"/>
    <x v="8"/>
    <n v="0"/>
    <n v="0"/>
    <n v="0"/>
    <n v="0"/>
    <n v="0"/>
    <x v="1"/>
    <n v="1"/>
    <x v="1"/>
    <x v="3"/>
  </r>
  <r>
    <n v="500037"/>
    <n v="29536"/>
    <x v="0"/>
    <x v="2"/>
    <d v="2026-01-20T00:00:00"/>
    <s v="17:10"/>
    <x v="5"/>
    <x v="1"/>
    <n v="42"/>
    <x v="9"/>
    <n v="0"/>
    <n v="0"/>
    <n v="0"/>
    <n v="1"/>
    <n v="0"/>
    <x v="1"/>
    <n v="0"/>
    <x v="0"/>
    <x v="0"/>
  </r>
  <r>
    <n v="500038"/>
    <n v="15229"/>
    <x v="1"/>
    <x v="1"/>
    <d v="2026-05-20T00:00:00"/>
    <s v="19:34"/>
    <x v="34"/>
    <x v="6"/>
    <n v="0"/>
    <x v="1"/>
    <n v="0"/>
    <n v="0"/>
    <n v="0"/>
    <n v="0"/>
    <n v="0"/>
    <x v="1"/>
    <n v="1"/>
    <x v="0"/>
    <x v="3"/>
  </r>
  <r>
    <n v="500039"/>
    <n v="63264"/>
    <x v="0"/>
    <x v="1"/>
    <d v="2025-12-22T00:00:00"/>
    <s v="18:46"/>
    <x v="35"/>
    <x v="4"/>
    <n v="11"/>
    <x v="2"/>
    <n v="0"/>
    <n v="0"/>
    <n v="0"/>
    <n v="0"/>
    <n v="0"/>
    <x v="1"/>
    <n v="0"/>
    <x v="0"/>
    <x v="3"/>
  </r>
  <r>
    <n v="500040"/>
    <n v="13248"/>
    <x v="0"/>
    <x v="2"/>
    <d v="2026-04-26T00:00:00"/>
    <s v="15:32"/>
    <x v="36"/>
    <x v="3"/>
    <n v="41"/>
    <x v="5"/>
    <n v="0"/>
    <n v="0"/>
    <n v="0"/>
    <n v="0"/>
    <n v="0"/>
    <x v="1"/>
    <n v="0"/>
    <x v="0"/>
    <x v="0"/>
  </r>
  <r>
    <n v="500041"/>
    <n v="39154"/>
    <x v="0"/>
    <x v="6"/>
    <d v="2026-04-08T00:00:00"/>
    <s v="04:21"/>
    <x v="37"/>
    <x v="4"/>
    <n v="52"/>
    <x v="4"/>
    <n v="1"/>
    <n v="0"/>
    <n v="0"/>
    <n v="0"/>
    <n v="0"/>
    <x v="1"/>
    <n v="1"/>
    <x v="0"/>
    <x v="0"/>
  </r>
  <r>
    <n v="500042"/>
    <n v="19099"/>
    <x v="1"/>
    <x v="2"/>
    <d v="2025-12-31T00:00:00"/>
    <s v="12:03"/>
    <x v="38"/>
    <x v="6"/>
    <n v="41"/>
    <x v="8"/>
    <n v="1"/>
    <n v="0"/>
    <n v="0"/>
    <n v="0"/>
    <n v="0"/>
    <x v="1"/>
    <n v="1"/>
    <x v="0"/>
    <x v="0"/>
  </r>
  <r>
    <n v="500043"/>
    <n v="44237"/>
    <x v="0"/>
    <x v="7"/>
    <d v="2026-05-17T00:00:00"/>
    <s v="04:55"/>
    <x v="7"/>
    <x v="4"/>
    <n v="35"/>
    <x v="7"/>
    <n v="0"/>
    <n v="0"/>
    <n v="0"/>
    <n v="0"/>
    <n v="0"/>
    <x v="1"/>
    <n v="0"/>
    <x v="0"/>
    <x v="1"/>
  </r>
  <r>
    <n v="500044"/>
    <n v="77033"/>
    <x v="0"/>
    <x v="4"/>
    <d v="2025-11-25T00:00:00"/>
    <s v="11:02"/>
    <x v="39"/>
    <x v="1"/>
    <n v="31"/>
    <x v="9"/>
    <n v="0"/>
    <n v="0"/>
    <n v="0"/>
    <n v="0"/>
    <n v="0"/>
    <x v="1"/>
    <n v="1"/>
    <x v="0"/>
    <x v="1"/>
  </r>
  <r>
    <n v="500045"/>
    <n v="80575"/>
    <x v="0"/>
    <x v="2"/>
    <d v="2026-02-11T00:00:00"/>
    <s v="01:08"/>
    <x v="40"/>
    <x v="4"/>
    <n v="8"/>
    <x v="5"/>
    <n v="0"/>
    <n v="0"/>
    <n v="0"/>
    <n v="0"/>
    <n v="0"/>
    <x v="1"/>
    <n v="1"/>
    <x v="0"/>
    <x v="3"/>
  </r>
  <r>
    <n v="500046"/>
    <n v="51145"/>
    <x v="0"/>
    <x v="7"/>
    <d v="2026-03-17T00:00:00"/>
    <s v="04:36"/>
    <x v="41"/>
    <x v="1"/>
    <n v="23"/>
    <x v="8"/>
    <n v="1"/>
    <n v="0"/>
    <n v="0"/>
    <n v="0"/>
    <n v="0"/>
    <x v="1"/>
    <n v="1"/>
    <x v="0"/>
    <x v="1"/>
  </r>
  <r>
    <n v="500047"/>
    <n v="35144"/>
    <x v="1"/>
    <x v="4"/>
    <d v="2026-01-17T00:00:00"/>
    <s v="09:13"/>
    <x v="42"/>
    <x v="5"/>
    <n v="28"/>
    <x v="2"/>
    <n v="1"/>
    <n v="0"/>
    <n v="0"/>
    <n v="0"/>
    <n v="0"/>
    <x v="1"/>
    <n v="1"/>
    <x v="1"/>
    <x v="1"/>
  </r>
  <r>
    <n v="500048"/>
    <n v="86019"/>
    <x v="1"/>
    <x v="6"/>
    <d v="2026-03-27T00:00:00"/>
    <s v="03:58"/>
    <x v="43"/>
    <x v="3"/>
    <n v="59"/>
    <x v="3"/>
    <n v="1"/>
    <n v="0"/>
    <n v="0"/>
    <n v="0"/>
    <n v="0"/>
    <x v="1"/>
    <n v="1"/>
    <x v="0"/>
    <x v="0"/>
  </r>
  <r>
    <n v="500049"/>
    <n v="97012"/>
    <x v="1"/>
    <x v="5"/>
    <d v="2026-02-19T00:00:00"/>
    <s v="17:01"/>
    <x v="44"/>
    <x v="0"/>
    <n v="44"/>
    <x v="1"/>
    <n v="1"/>
    <n v="0"/>
    <n v="0"/>
    <n v="0"/>
    <n v="0"/>
    <x v="1"/>
    <n v="1"/>
    <x v="0"/>
    <x v="0"/>
  </r>
  <r>
    <n v="500050"/>
    <n v="19545"/>
    <x v="1"/>
    <x v="4"/>
    <d v="2026-04-05T00:00:00"/>
    <s v="09:44"/>
    <x v="45"/>
    <x v="2"/>
    <n v="2"/>
    <x v="9"/>
    <n v="0"/>
    <n v="0"/>
    <n v="0"/>
    <n v="0"/>
    <n v="0"/>
    <x v="1"/>
    <n v="1"/>
    <x v="0"/>
    <x v="3"/>
  </r>
  <r>
    <n v="500051"/>
    <n v="41979"/>
    <x v="0"/>
    <x v="0"/>
    <d v="2026-02-18T00:00:00"/>
    <s v="08:00"/>
    <x v="27"/>
    <x v="6"/>
    <n v="44"/>
    <x v="6"/>
    <n v="1"/>
    <n v="0"/>
    <n v="1"/>
    <n v="0"/>
    <n v="0"/>
    <x v="0"/>
    <n v="1"/>
    <x v="0"/>
    <x v="0"/>
  </r>
  <r>
    <n v="500052"/>
    <n v="25906"/>
    <x v="1"/>
    <x v="3"/>
    <d v="2026-04-16T00:00:00"/>
    <s v="08:18"/>
    <x v="46"/>
    <x v="4"/>
    <n v="30"/>
    <x v="3"/>
    <n v="1"/>
    <n v="0"/>
    <n v="0"/>
    <n v="0"/>
    <n v="0"/>
    <x v="1"/>
    <n v="1"/>
    <x v="0"/>
    <x v="1"/>
  </r>
  <r>
    <n v="500053"/>
    <n v="76162"/>
    <x v="1"/>
    <x v="6"/>
    <d v="2026-01-28T00:00:00"/>
    <s v="00:58"/>
    <x v="47"/>
    <x v="6"/>
    <n v="24"/>
    <x v="2"/>
    <n v="1"/>
    <n v="0"/>
    <n v="0"/>
    <n v="0"/>
    <n v="0"/>
    <x v="1"/>
    <n v="0"/>
    <x v="1"/>
    <x v="1"/>
  </r>
  <r>
    <n v="500054"/>
    <n v="78327"/>
    <x v="1"/>
    <x v="1"/>
    <d v="2026-05-05T00:00:00"/>
    <s v="14:45"/>
    <x v="48"/>
    <x v="1"/>
    <n v="50"/>
    <x v="0"/>
    <n v="1"/>
    <n v="1"/>
    <n v="0"/>
    <n v="0"/>
    <n v="0"/>
    <x v="0"/>
    <n v="1"/>
    <x v="1"/>
    <x v="0"/>
  </r>
  <r>
    <n v="500055"/>
    <n v="40311"/>
    <x v="1"/>
    <x v="3"/>
    <d v="2026-03-08T00:00:00"/>
    <s v="14:04"/>
    <x v="49"/>
    <x v="3"/>
    <n v="58"/>
    <x v="1"/>
    <n v="0"/>
    <n v="0"/>
    <n v="0"/>
    <n v="0"/>
    <n v="0"/>
    <x v="1"/>
    <n v="1"/>
    <x v="0"/>
    <x v="0"/>
  </r>
  <r>
    <n v="500056"/>
    <n v="12560"/>
    <x v="1"/>
    <x v="6"/>
    <d v="2025-12-30T00:00:00"/>
    <s v="23:31"/>
    <x v="50"/>
    <x v="5"/>
    <n v="56"/>
    <x v="7"/>
    <n v="1"/>
    <n v="1"/>
    <n v="0"/>
    <n v="0"/>
    <n v="0"/>
    <x v="0"/>
    <n v="0"/>
    <x v="0"/>
    <x v="0"/>
  </r>
  <r>
    <n v="500057"/>
    <n v="38906"/>
    <x v="1"/>
    <x v="1"/>
    <d v="2026-01-09T00:00:00"/>
    <s v="05:44"/>
    <x v="51"/>
    <x v="3"/>
    <n v="21"/>
    <x v="0"/>
    <n v="1"/>
    <n v="0"/>
    <n v="0"/>
    <n v="0"/>
    <n v="0"/>
    <x v="1"/>
    <n v="1"/>
    <x v="0"/>
    <x v="1"/>
  </r>
  <r>
    <n v="500058"/>
    <n v="31632"/>
    <x v="1"/>
    <x v="3"/>
    <d v="2026-01-30T00:00:00"/>
    <s v="04:30"/>
    <x v="52"/>
    <x v="1"/>
    <n v="31"/>
    <x v="9"/>
    <n v="0"/>
    <n v="0"/>
    <n v="0"/>
    <n v="0"/>
    <n v="0"/>
    <x v="1"/>
    <n v="1"/>
    <x v="1"/>
    <x v="1"/>
  </r>
  <r>
    <n v="500059"/>
    <n v="66179"/>
    <x v="0"/>
    <x v="6"/>
    <d v="2026-03-15T00:00:00"/>
    <s v="14:44"/>
    <x v="41"/>
    <x v="1"/>
    <n v="44"/>
    <x v="2"/>
    <n v="0"/>
    <n v="0"/>
    <n v="0"/>
    <n v="0"/>
    <n v="0"/>
    <x v="1"/>
    <n v="1"/>
    <x v="0"/>
    <x v="0"/>
  </r>
  <r>
    <n v="500060"/>
    <n v="46471"/>
    <x v="1"/>
    <x v="7"/>
    <d v="2026-02-06T00:00:00"/>
    <s v="13:19"/>
    <x v="53"/>
    <x v="1"/>
    <n v="57"/>
    <x v="6"/>
    <n v="1"/>
    <n v="1"/>
    <n v="0"/>
    <n v="0"/>
    <n v="0"/>
    <x v="0"/>
    <n v="0"/>
    <x v="0"/>
    <x v="0"/>
  </r>
  <r>
    <n v="500061"/>
    <n v="14067"/>
    <x v="0"/>
    <x v="1"/>
    <d v="2026-01-19T00:00:00"/>
    <s v="06:17"/>
    <x v="54"/>
    <x v="6"/>
    <n v="28"/>
    <x v="7"/>
    <n v="0"/>
    <n v="0"/>
    <n v="0"/>
    <n v="0"/>
    <n v="0"/>
    <x v="1"/>
    <n v="1"/>
    <x v="0"/>
    <x v="1"/>
  </r>
  <r>
    <n v="500062"/>
    <n v="70952"/>
    <x v="1"/>
    <x v="2"/>
    <d v="2026-02-04T00:00:00"/>
    <s v="02:51"/>
    <x v="20"/>
    <x v="0"/>
    <n v="34"/>
    <x v="2"/>
    <n v="0"/>
    <n v="0"/>
    <n v="0"/>
    <n v="0"/>
    <n v="0"/>
    <x v="1"/>
    <n v="1"/>
    <x v="0"/>
    <x v="1"/>
  </r>
  <r>
    <n v="500063"/>
    <n v="50888"/>
    <x v="1"/>
    <x v="4"/>
    <d v="2026-05-16T00:00:00"/>
    <s v="14:40"/>
    <x v="55"/>
    <x v="6"/>
    <n v="15"/>
    <x v="1"/>
    <n v="0"/>
    <n v="0"/>
    <n v="0"/>
    <n v="0"/>
    <n v="0"/>
    <x v="1"/>
    <n v="1"/>
    <x v="0"/>
    <x v="3"/>
  </r>
  <r>
    <n v="500064"/>
    <n v="23356"/>
    <x v="1"/>
    <x v="5"/>
    <d v="2026-04-14T00:00:00"/>
    <s v="07:02"/>
    <x v="25"/>
    <x v="4"/>
    <n v="14"/>
    <x v="9"/>
    <n v="0"/>
    <n v="0"/>
    <n v="0"/>
    <n v="0"/>
    <n v="0"/>
    <x v="1"/>
    <n v="1"/>
    <x v="0"/>
    <x v="3"/>
  </r>
  <r>
    <n v="500065"/>
    <n v="58571"/>
    <x v="0"/>
    <x v="2"/>
    <d v="2026-02-09T00:00:00"/>
    <s v="05:50"/>
    <x v="56"/>
    <x v="3"/>
    <n v="54"/>
    <x v="7"/>
    <n v="1"/>
    <n v="0"/>
    <n v="1"/>
    <n v="0"/>
    <n v="0"/>
    <x v="0"/>
    <n v="0"/>
    <x v="0"/>
    <x v="0"/>
  </r>
  <r>
    <n v="500066"/>
    <n v="67080"/>
    <x v="0"/>
    <x v="7"/>
    <d v="2025-11-21T00:00:00"/>
    <s v="05:27"/>
    <x v="57"/>
    <x v="5"/>
    <n v="65"/>
    <x v="9"/>
    <n v="1"/>
    <n v="0"/>
    <n v="0"/>
    <n v="0"/>
    <n v="0"/>
    <x v="1"/>
    <n v="0"/>
    <x v="0"/>
    <x v="2"/>
  </r>
  <r>
    <n v="500067"/>
    <n v="69087"/>
    <x v="0"/>
    <x v="6"/>
    <d v="2026-03-22T00:00:00"/>
    <s v="10:30"/>
    <x v="58"/>
    <x v="1"/>
    <n v="36"/>
    <x v="9"/>
    <n v="1"/>
    <n v="0"/>
    <n v="0"/>
    <n v="0"/>
    <n v="0"/>
    <x v="1"/>
    <n v="1"/>
    <x v="0"/>
    <x v="1"/>
  </r>
  <r>
    <n v="500068"/>
    <n v="56507"/>
    <x v="1"/>
    <x v="2"/>
    <d v="2026-05-14T00:00:00"/>
    <s v="03:16"/>
    <x v="32"/>
    <x v="5"/>
    <n v="58"/>
    <x v="0"/>
    <n v="1"/>
    <n v="0"/>
    <n v="0"/>
    <n v="0"/>
    <n v="0"/>
    <x v="1"/>
    <n v="1"/>
    <x v="0"/>
    <x v="0"/>
  </r>
  <r>
    <n v="500069"/>
    <n v="72402"/>
    <x v="1"/>
    <x v="6"/>
    <d v="2026-04-01T00:00:00"/>
    <s v="08:09"/>
    <x v="59"/>
    <x v="1"/>
    <n v="45"/>
    <x v="7"/>
    <n v="0"/>
    <n v="0"/>
    <n v="0"/>
    <n v="0"/>
    <n v="0"/>
    <x v="1"/>
    <n v="1"/>
    <x v="0"/>
    <x v="0"/>
  </r>
  <r>
    <n v="500070"/>
    <n v="82544"/>
    <x v="1"/>
    <x v="4"/>
    <d v="2026-03-15T00:00:00"/>
    <s v="00:21"/>
    <x v="41"/>
    <x v="1"/>
    <n v="25"/>
    <x v="8"/>
    <n v="1"/>
    <n v="0"/>
    <n v="0"/>
    <n v="0"/>
    <n v="0"/>
    <x v="1"/>
    <n v="1"/>
    <x v="0"/>
    <x v="1"/>
  </r>
  <r>
    <n v="500071"/>
    <n v="35242"/>
    <x v="1"/>
    <x v="5"/>
    <d v="2026-01-09T00:00:00"/>
    <s v="05:11"/>
    <x v="60"/>
    <x v="5"/>
    <n v="45"/>
    <x v="8"/>
    <n v="0"/>
    <n v="0"/>
    <n v="1"/>
    <n v="0"/>
    <n v="0"/>
    <x v="0"/>
    <n v="1"/>
    <x v="0"/>
    <x v="0"/>
  </r>
  <r>
    <n v="500072"/>
    <n v="88222"/>
    <x v="1"/>
    <x v="5"/>
    <d v="2026-05-18T00:00:00"/>
    <s v="17:03"/>
    <x v="7"/>
    <x v="4"/>
    <n v="68"/>
    <x v="1"/>
    <n v="1"/>
    <n v="1"/>
    <n v="1"/>
    <n v="1"/>
    <n v="0"/>
    <x v="0"/>
    <n v="0"/>
    <x v="0"/>
    <x v="2"/>
  </r>
  <r>
    <n v="500073"/>
    <n v="26551"/>
    <x v="1"/>
    <x v="5"/>
    <d v="2026-01-08T00:00:00"/>
    <s v="01:56"/>
    <x v="60"/>
    <x v="5"/>
    <n v="37"/>
    <x v="7"/>
    <n v="1"/>
    <n v="0"/>
    <n v="0"/>
    <n v="0"/>
    <n v="0"/>
    <x v="1"/>
    <n v="1"/>
    <x v="1"/>
    <x v="1"/>
  </r>
  <r>
    <n v="500074"/>
    <n v="72616"/>
    <x v="0"/>
    <x v="5"/>
    <d v="2026-02-23T00:00:00"/>
    <s v="00:54"/>
    <x v="61"/>
    <x v="3"/>
    <n v="69"/>
    <x v="5"/>
    <n v="1"/>
    <n v="1"/>
    <n v="0"/>
    <n v="1"/>
    <n v="0"/>
    <x v="0"/>
    <n v="1"/>
    <x v="0"/>
    <x v="2"/>
  </r>
  <r>
    <n v="500075"/>
    <n v="25525"/>
    <x v="1"/>
    <x v="1"/>
    <d v="2026-04-25T00:00:00"/>
    <s v="19:52"/>
    <x v="62"/>
    <x v="2"/>
    <n v="0"/>
    <x v="8"/>
    <n v="0"/>
    <n v="0"/>
    <n v="0"/>
    <n v="0"/>
    <n v="0"/>
    <x v="1"/>
    <n v="0"/>
    <x v="1"/>
    <x v="3"/>
  </r>
  <r>
    <n v="500076"/>
    <n v="87139"/>
    <x v="1"/>
    <x v="7"/>
    <d v="2026-05-01T00:00:00"/>
    <s v="20:01"/>
    <x v="18"/>
    <x v="5"/>
    <n v="54"/>
    <x v="9"/>
    <n v="0"/>
    <n v="0"/>
    <n v="0"/>
    <n v="0"/>
    <n v="0"/>
    <x v="1"/>
    <n v="1"/>
    <x v="0"/>
    <x v="0"/>
  </r>
  <r>
    <n v="500077"/>
    <n v="30585"/>
    <x v="0"/>
    <x v="3"/>
    <d v="2026-03-26T00:00:00"/>
    <s v="06:13"/>
    <x v="63"/>
    <x v="5"/>
    <n v="39"/>
    <x v="8"/>
    <n v="0"/>
    <n v="0"/>
    <n v="0"/>
    <n v="0"/>
    <n v="0"/>
    <x v="1"/>
    <n v="1"/>
    <x v="0"/>
    <x v="1"/>
  </r>
  <r>
    <n v="500078"/>
    <n v="14278"/>
    <x v="0"/>
    <x v="7"/>
    <d v="2026-02-04T00:00:00"/>
    <s v="10:17"/>
    <x v="52"/>
    <x v="1"/>
    <n v="32"/>
    <x v="0"/>
    <n v="1"/>
    <n v="0"/>
    <n v="0"/>
    <n v="1"/>
    <n v="0"/>
    <x v="1"/>
    <n v="1"/>
    <x v="0"/>
    <x v="1"/>
  </r>
  <r>
    <n v="500079"/>
    <n v="87304"/>
    <x v="0"/>
    <x v="4"/>
    <d v="2025-11-22T00:00:00"/>
    <s v="13:15"/>
    <x v="1"/>
    <x v="1"/>
    <n v="39"/>
    <x v="6"/>
    <n v="0"/>
    <n v="0"/>
    <n v="0"/>
    <n v="0"/>
    <n v="0"/>
    <x v="1"/>
    <n v="0"/>
    <x v="1"/>
    <x v="1"/>
  </r>
  <r>
    <n v="500080"/>
    <n v="31747"/>
    <x v="1"/>
    <x v="7"/>
    <d v="2025-11-27T00:00:00"/>
    <s v="15:48"/>
    <x v="64"/>
    <x v="1"/>
    <n v="0"/>
    <x v="3"/>
    <n v="0"/>
    <n v="0"/>
    <n v="0"/>
    <n v="0"/>
    <n v="0"/>
    <x v="1"/>
    <n v="1"/>
    <x v="0"/>
    <x v="3"/>
  </r>
  <r>
    <n v="500081"/>
    <n v="45683"/>
    <x v="1"/>
    <x v="6"/>
    <d v="2026-01-09T00:00:00"/>
    <s v="22:19"/>
    <x v="65"/>
    <x v="3"/>
    <n v="33"/>
    <x v="6"/>
    <n v="0"/>
    <n v="0"/>
    <n v="0"/>
    <n v="0"/>
    <n v="0"/>
    <x v="1"/>
    <n v="1"/>
    <x v="1"/>
    <x v="1"/>
  </r>
  <r>
    <n v="500082"/>
    <n v="40005"/>
    <x v="0"/>
    <x v="7"/>
    <d v="2026-03-02T00:00:00"/>
    <s v="07:56"/>
    <x v="66"/>
    <x v="6"/>
    <n v="45"/>
    <x v="9"/>
    <n v="0"/>
    <n v="0"/>
    <n v="0"/>
    <n v="0"/>
    <n v="0"/>
    <x v="1"/>
    <n v="1"/>
    <x v="0"/>
    <x v="0"/>
  </r>
  <r>
    <n v="500083"/>
    <n v="86720"/>
    <x v="1"/>
    <x v="6"/>
    <d v="2025-12-17T00:00:00"/>
    <s v="05:24"/>
    <x v="67"/>
    <x v="6"/>
    <n v="67"/>
    <x v="6"/>
    <n v="1"/>
    <n v="1"/>
    <n v="0"/>
    <n v="0"/>
    <n v="0"/>
    <x v="0"/>
    <n v="1"/>
    <x v="0"/>
    <x v="2"/>
  </r>
  <r>
    <n v="500084"/>
    <n v="62488"/>
    <x v="0"/>
    <x v="6"/>
    <d v="2026-04-04T00:00:00"/>
    <s v="04:42"/>
    <x v="68"/>
    <x v="5"/>
    <n v="27"/>
    <x v="6"/>
    <n v="1"/>
    <n v="0"/>
    <n v="0"/>
    <n v="0"/>
    <n v="0"/>
    <x v="1"/>
    <n v="0"/>
    <x v="0"/>
    <x v="1"/>
  </r>
  <r>
    <n v="500085"/>
    <n v="10150"/>
    <x v="1"/>
    <x v="4"/>
    <d v="2026-01-16T00:00:00"/>
    <s v="16:52"/>
    <x v="5"/>
    <x v="1"/>
    <n v="21"/>
    <x v="7"/>
    <n v="0"/>
    <n v="0"/>
    <n v="0"/>
    <n v="0"/>
    <n v="0"/>
    <x v="1"/>
    <n v="1"/>
    <x v="0"/>
    <x v="1"/>
  </r>
  <r>
    <n v="500086"/>
    <n v="16764"/>
    <x v="0"/>
    <x v="7"/>
    <d v="2026-01-20T00:00:00"/>
    <s v="16:49"/>
    <x v="5"/>
    <x v="1"/>
    <n v="27"/>
    <x v="8"/>
    <n v="0"/>
    <n v="0"/>
    <n v="0"/>
    <n v="0"/>
    <n v="0"/>
    <x v="1"/>
    <n v="1"/>
    <x v="1"/>
    <x v="1"/>
  </r>
  <r>
    <n v="500087"/>
    <n v="92578"/>
    <x v="0"/>
    <x v="3"/>
    <d v="2026-02-05T00:00:00"/>
    <s v="17:04"/>
    <x v="69"/>
    <x v="2"/>
    <n v="56"/>
    <x v="0"/>
    <n v="0"/>
    <n v="0"/>
    <n v="1"/>
    <n v="0"/>
    <n v="0"/>
    <x v="0"/>
    <n v="1"/>
    <x v="0"/>
    <x v="0"/>
  </r>
  <r>
    <n v="500088"/>
    <n v="75323"/>
    <x v="1"/>
    <x v="7"/>
    <d v="2025-12-28T00:00:00"/>
    <s v="22:46"/>
    <x v="70"/>
    <x v="1"/>
    <n v="44"/>
    <x v="5"/>
    <n v="1"/>
    <n v="0"/>
    <n v="0"/>
    <n v="0"/>
    <n v="0"/>
    <x v="1"/>
    <n v="1"/>
    <x v="0"/>
    <x v="0"/>
  </r>
  <r>
    <n v="500089"/>
    <n v="76616"/>
    <x v="0"/>
    <x v="5"/>
    <d v="2026-03-06T00:00:00"/>
    <s v="12:52"/>
    <x v="71"/>
    <x v="6"/>
    <n v="27"/>
    <x v="0"/>
    <n v="1"/>
    <n v="0"/>
    <n v="0"/>
    <n v="0"/>
    <n v="0"/>
    <x v="1"/>
    <n v="1"/>
    <x v="1"/>
    <x v="1"/>
  </r>
  <r>
    <n v="500090"/>
    <n v="49132"/>
    <x v="1"/>
    <x v="3"/>
    <d v="2026-02-27T00:00:00"/>
    <s v="06:42"/>
    <x v="72"/>
    <x v="4"/>
    <n v="48"/>
    <x v="3"/>
    <n v="1"/>
    <n v="1"/>
    <n v="0"/>
    <n v="0"/>
    <n v="0"/>
    <x v="0"/>
    <n v="1"/>
    <x v="1"/>
    <x v="0"/>
  </r>
  <r>
    <n v="500091"/>
    <n v="41300"/>
    <x v="1"/>
    <x v="1"/>
    <d v="2025-12-22T00:00:00"/>
    <s v="00:58"/>
    <x v="73"/>
    <x v="6"/>
    <n v="39"/>
    <x v="5"/>
    <n v="0"/>
    <n v="0"/>
    <n v="0"/>
    <n v="0"/>
    <n v="0"/>
    <x v="1"/>
    <n v="0"/>
    <x v="0"/>
    <x v="1"/>
  </r>
  <r>
    <n v="500092"/>
    <n v="96991"/>
    <x v="0"/>
    <x v="6"/>
    <d v="2026-01-27T00:00:00"/>
    <s v="00:15"/>
    <x v="74"/>
    <x v="1"/>
    <n v="57"/>
    <x v="7"/>
    <n v="0"/>
    <n v="0"/>
    <n v="0"/>
    <n v="0"/>
    <n v="0"/>
    <x v="1"/>
    <n v="1"/>
    <x v="0"/>
    <x v="0"/>
  </r>
  <r>
    <n v="500093"/>
    <n v="28894"/>
    <x v="1"/>
    <x v="3"/>
    <d v="2026-01-06T00:00:00"/>
    <s v="22:05"/>
    <x v="75"/>
    <x v="0"/>
    <n v="23"/>
    <x v="6"/>
    <n v="1"/>
    <n v="0"/>
    <n v="0"/>
    <n v="0"/>
    <n v="0"/>
    <x v="1"/>
    <n v="1"/>
    <x v="0"/>
    <x v="1"/>
  </r>
  <r>
    <n v="500094"/>
    <n v="20527"/>
    <x v="1"/>
    <x v="4"/>
    <d v="2026-05-09T00:00:00"/>
    <s v="04:18"/>
    <x v="76"/>
    <x v="6"/>
    <n v="31"/>
    <x v="4"/>
    <n v="1"/>
    <n v="0"/>
    <n v="0"/>
    <n v="0"/>
    <n v="0"/>
    <x v="1"/>
    <n v="1"/>
    <x v="0"/>
    <x v="1"/>
  </r>
  <r>
    <n v="500095"/>
    <n v="47667"/>
    <x v="0"/>
    <x v="5"/>
    <d v="2026-03-25T00:00:00"/>
    <s v="17:18"/>
    <x v="77"/>
    <x v="6"/>
    <n v="30"/>
    <x v="5"/>
    <n v="0"/>
    <n v="0"/>
    <n v="0"/>
    <n v="0"/>
    <n v="0"/>
    <x v="1"/>
    <n v="1"/>
    <x v="0"/>
    <x v="1"/>
  </r>
  <r>
    <n v="500096"/>
    <n v="49251"/>
    <x v="0"/>
    <x v="0"/>
    <d v="2025-12-06T00:00:00"/>
    <s v="22:46"/>
    <x v="78"/>
    <x v="5"/>
    <n v="8"/>
    <x v="4"/>
    <n v="0"/>
    <n v="0"/>
    <n v="0"/>
    <n v="0"/>
    <n v="0"/>
    <x v="1"/>
    <n v="1"/>
    <x v="1"/>
    <x v="3"/>
  </r>
  <r>
    <n v="500097"/>
    <n v="29080"/>
    <x v="0"/>
    <x v="4"/>
    <d v="2026-04-06T00:00:00"/>
    <s v="08:13"/>
    <x v="79"/>
    <x v="5"/>
    <n v="43"/>
    <x v="9"/>
    <n v="0"/>
    <n v="0"/>
    <n v="1"/>
    <n v="1"/>
    <n v="0"/>
    <x v="0"/>
    <n v="1"/>
    <x v="1"/>
    <x v="0"/>
  </r>
  <r>
    <n v="500098"/>
    <n v="86435"/>
    <x v="0"/>
    <x v="1"/>
    <d v="2026-03-03T00:00:00"/>
    <s v="01:03"/>
    <x v="49"/>
    <x v="3"/>
    <n v="43"/>
    <x v="3"/>
    <n v="1"/>
    <n v="0"/>
    <n v="0"/>
    <n v="0"/>
    <n v="0"/>
    <x v="1"/>
    <n v="1"/>
    <x v="1"/>
    <x v="0"/>
  </r>
  <r>
    <n v="500099"/>
    <n v="81643"/>
    <x v="0"/>
    <x v="5"/>
    <d v="2026-02-11T00:00:00"/>
    <s v="23:18"/>
    <x v="53"/>
    <x v="1"/>
    <n v="38"/>
    <x v="3"/>
    <n v="1"/>
    <n v="0"/>
    <n v="0"/>
    <n v="0"/>
    <n v="0"/>
    <x v="1"/>
    <n v="0"/>
    <x v="0"/>
    <x v="1"/>
  </r>
  <r>
    <n v="500100"/>
    <n v="69878"/>
    <x v="1"/>
    <x v="1"/>
    <d v="2026-02-10T00:00:00"/>
    <s v="18:38"/>
    <x v="53"/>
    <x v="1"/>
    <n v="33"/>
    <x v="5"/>
    <n v="1"/>
    <n v="0"/>
    <n v="0"/>
    <n v="0"/>
    <n v="0"/>
    <x v="1"/>
    <n v="1"/>
    <x v="0"/>
    <x v="1"/>
  </r>
  <r>
    <n v="500101"/>
    <n v="48696"/>
    <x v="0"/>
    <x v="4"/>
    <d v="2025-12-25T00:00:00"/>
    <s v="07:44"/>
    <x v="80"/>
    <x v="0"/>
    <n v="9"/>
    <x v="0"/>
    <n v="0"/>
    <n v="0"/>
    <n v="0"/>
    <n v="0"/>
    <n v="0"/>
    <x v="1"/>
    <n v="0"/>
    <x v="0"/>
    <x v="3"/>
  </r>
  <r>
    <n v="500102"/>
    <n v="16428"/>
    <x v="1"/>
    <x v="7"/>
    <d v="2026-01-26T00:00:00"/>
    <s v="18:35"/>
    <x v="81"/>
    <x v="4"/>
    <n v="29"/>
    <x v="1"/>
    <n v="1"/>
    <n v="0"/>
    <n v="0"/>
    <n v="0"/>
    <n v="0"/>
    <x v="1"/>
    <n v="1"/>
    <x v="0"/>
    <x v="1"/>
  </r>
  <r>
    <n v="500103"/>
    <n v="96400"/>
    <x v="0"/>
    <x v="5"/>
    <d v="2025-12-04T00:00:00"/>
    <s v="23:09"/>
    <x v="82"/>
    <x v="0"/>
    <n v="31"/>
    <x v="7"/>
    <n v="1"/>
    <n v="0"/>
    <n v="0"/>
    <n v="0"/>
    <n v="0"/>
    <x v="1"/>
    <n v="1"/>
    <x v="1"/>
    <x v="1"/>
  </r>
  <r>
    <n v="500104"/>
    <n v="48680"/>
    <x v="1"/>
    <x v="4"/>
    <d v="2026-05-03T00:00:00"/>
    <s v="13:41"/>
    <x v="48"/>
    <x v="1"/>
    <n v="21"/>
    <x v="2"/>
    <n v="0"/>
    <n v="0"/>
    <n v="0"/>
    <n v="0"/>
    <n v="0"/>
    <x v="1"/>
    <n v="0"/>
    <x v="0"/>
    <x v="1"/>
  </r>
  <r>
    <n v="500105"/>
    <n v="45720"/>
    <x v="0"/>
    <x v="7"/>
    <d v="2026-05-03T00:00:00"/>
    <s v="14:53"/>
    <x v="46"/>
    <x v="4"/>
    <n v="34"/>
    <x v="3"/>
    <n v="1"/>
    <n v="0"/>
    <n v="0"/>
    <n v="0"/>
    <n v="0"/>
    <x v="1"/>
    <n v="1"/>
    <x v="0"/>
    <x v="1"/>
  </r>
  <r>
    <n v="500106"/>
    <n v="28449"/>
    <x v="0"/>
    <x v="4"/>
    <d v="2026-01-18T00:00:00"/>
    <s v="22:22"/>
    <x v="65"/>
    <x v="3"/>
    <n v="46"/>
    <x v="8"/>
    <n v="1"/>
    <n v="1"/>
    <n v="0"/>
    <n v="0"/>
    <n v="0"/>
    <x v="0"/>
    <n v="1"/>
    <x v="0"/>
    <x v="0"/>
  </r>
  <r>
    <n v="500107"/>
    <n v="44362"/>
    <x v="1"/>
    <x v="2"/>
    <d v="2026-03-09T00:00:00"/>
    <s v="19:33"/>
    <x v="83"/>
    <x v="3"/>
    <n v="75"/>
    <x v="6"/>
    <n v="0"/>
    <n v="0"/>
    <n v="0"/>
    <n v="0"/>
    <n v="0"/>
    <x v="1"/>
    <n v="1"/>
    <x v="0"/>
    <x v="2"/>
  </r>
  <r>
    <n v="500108"/>
    <n v="70852"/>
    <x v="1"/>
    <x v="4"/>
    <d v="2025-12-06T00:00:00"/>
    <s v="15:57"/>
    <x v="84"/>
    <x v="3"/>
    <n v="41"/>
    <x v="6"/>
    <n v="0"/>
    <n v="0"/>
    <n v="1"/>
    <n v="1"/>
    <n v="0"/>
    <x v="0"/>
    <n v="1"/>
    <x v="1"/>
    <x v="0"/>
  </r>
  <r>
    <n v="500109"/>
    <n v="80457"/>
    <x v="0"/>
    <x v="4"/>
    <d v="2026-03-17T00:00:00"/>
    <s v="18:21"/>
    <x v="43"/>
    <x v="3"/>
    <n v="43"/>
    <x v="3"/>
    <n v="1"/>
    <n v="0"/>
    <n v="0"/>
    <n v="0"/>
    <n v="0"/>
    <x v="1"/>
    <n v="1"/>
    <x v="0"/>
    <x v="0"/>
  </r>
  <r>
    <n v="500110"/>
    <n v="30253"/>
    <x v="1"/>
    <x v="5"/>
    <d v="2026-03-24T00:00:00"/>
    <s v="12:43"/>
    <x v="16"/>
    <x v="0"/>
    <n v="36"/>
    <x v="3"/>
    <n v="1"/>
    <n v="0"/>
    <n v="0"/>
    <n v="0"/>
    <n v="0"/>
    <x v="1"/>
    <n v="1"/>
    <x v="0"/>
    <x v="1"/>
  </r>
  <r>
    <n v="500111"/>
    <n v="68287"/>
    <x v="0"/>
    <x v="2"/>
    <d v="2026-02-07T00:00:00"/>
    <s v="08:02"/>
    <x v="85"/>
    <x v="3"/>
    <n v="0"/>
    <x v="6"/>
    <n v="0"/>
    <n v="0"/>
    <n v="0"/>
    <n v="0"/>
    <n v="0"/>
    <x v="1"/>
    <n v="1"/>
    <x v="0"/>
    <x v="3"/>
  </r>
  <r>
    <n v="500112"/>
    <n v="94518"/>
    <x v="1"/>
    <x v="0"/>
    <d v="2025-12-13T00:00:00"/>
    <s v="08:56"/>
    <x v="86"/>
    <x v="5"/>
    <n v="37"/>
    <x v="5"/>
    <n v="1"/>
    <n v="0"/>
    <n v="0"/>
    <n v="0"/>
    <n v="0"/>
    <x v="1"/>
    <n v="0"/>
    <x v="0"/>
    <x v="1"/>
  </r>
  <r>
    <n v="500113"/>
    <n v="96870"/>
    <x v="0"/>
    <x v="0"/>
    <d v="2026-04-06T00:00:00"/>
    <s v="04:46"/>
    <x v="45"/>
    <x v="2"/>
    <n v="39"/>
    <x v="7"/>
    <n v="1"/>
    <n v="0"/>
    <n v="0"/>
    <n v="0"/>
    <n v="0"/>
    <x v="1"/>
    <n v="1"/>
    <x v="1"/>
    <x v="1"/>
  </r>
  <r>
    <n v="500114"/>
    <n v="82641"/>
    <x v="0"/>
    <x v="1"/>
    <d v="2025-12-25T00:00:00"/>
    <s v="21:49"/>
    <x v="54"/>
    <x v="6"/>
    <n v="87"/>
    <x v="1"/>
    <n v="1"/>
    <n v="0"/>
    <n v="0"/>
    <n v="0"/>
    <n v="0"/>
    <x v="1"/>
    <n v="0"/>
    <x v="0"/>
    <x v="2"/>
  </r>
  <r>
    <n v="500115"/>
    <n v="32871"/>
    <x v="0"/>
    <x v="0"/>
    <d v="2026-04-15T00:00:00"/>
    <s v="14:41"/>
    <x v="87"/>
    <x v="0"/>
    <n v="34"/>
    <x v="2"/>
    <n v="0"/>
    <n v="0"/>
    <n v="0"/>
    <n v="0"/>
    <n v="0"/>
    <x v="1"/>
    <n v="1"/>
    <x v="1"/>
    <x v="1"/>
  </r>
  <r>
    <n v="500116"/>
    <n v="44782"/>
    <x v="0"/>
    <x v="3"/>
    <d v="2026-02-23T00:00:00"/>
    <s v="23:32"/>
    <x v="88"/>
    <x v="2"/>
    <n v="44"/>
    <x v="5"/>
    <n v="0"/>
    <n v="0"/>
    <n v="0"/>
    <n v="0"/>
    <n v="0"/>
    <x v="1"/>
    <n v="1"/>
    <x v="1"/>
    <x v="0"/>
  </r>
  <r>
    <n v="500117"/>
    <n v="76039"/>
    <x v="0"/>
    <x v="0"/>
    <d v="2026-02-04T00:00:00"/>
    <s v="13:05"/>
    <x v="89"/>
    <x v="1"/>
    <n v="37"/>
    <x v="8"/>
    <n v="1"/>
    <n v="0"/>
    <n v="0"/>
    <n v="0"/>
    <n v="0"/>
    <x v="1"/>
    <n v="1"/>
    <x v="0"/>
    <x v="1"/>
  </r>
  <r>
    <n v="500118"/>
    <n v="62640"/>
    <x v="1"/>
    <x v="5"/>
    <d v="2026-04-02T00:00:00"/>
    <s v="07:38"/>
    <x v="90"/>
    <x v="5"/>
    <n v="14"/>
    <x v="3"/>
    <n v="0"/>
    <n v="0"/>
    <n v="0"/>
    <n v="0"/>
    <n v="0"/>
    <x v="1"/>
    <n v="1"/>
    <x v="0"/>
    <x v="3"/>
  </r>
  <r>
    <n v="500119"/>
    <n v="52219"/>
    <x v="0"/>
    <x v="5"/>
    <d v="2026-02-20T00:00:00"/>
    <s v="19:55"/>
    <x v="91"/>
    <x v="1"/>
    <n v="60"/>
    <x v="2"/>
    <n v="1"/>
    <n v="0"/>
    <n v="0"/>
    <n v="0"/>
    <n v="0"/>
    <x v="1"/>
    <n v="1"/>
    <x v="0"/>
    <x v="0"/>
  </r>
  <r>
    <n v="500120"/>
    <n v="66387"/>
    <x v="0"/>
    <x v="5"/>
    <d v="2026-02-08T00:00:00"/>
    <s v="20:13"/>
    <x v="92"/>
    <x v="3"/>
    <n v="53"/>
    <x v="8"/>
    <n v="0"/>
    <n v="0"/>
    <n v="0"/>
    <n v="0"/>
    <n v="0"/>
    <x v="1"/>
    <n v="1"/>
    <x v="0"/>
    <x v="0"/>
  </r>
  <r>
    <n v="500121"/>
    <n v="50966"/>
    <x v="1"/>
    <x v="2"/>
    <d v="2025-12-11T00:00:00"/>
    <s v="14:46"/>
    <x v="1"/>
    <x v="1"/>
    <n v="53"/>
    <x v="0"/>
    <n v="1"/>
    <n v="0"/>
    <n v="0"/>
    <n v="0"/>
    <n v="0"/>
    <x v="1"/>
    <n v="1"/>
    <x v="0"/>
    <x v="0"/>
  </r>
  <r>
    <n v="500122"/>
    <n v="58843"/>
    <x v="0"/>
    <x v="0"/>
    <d v="2026-02-26T00:00:00"/>
    <s v="01:34"/>
    <x v="12"/>
    <x v="5"/>
    <n v="19"/>
    <x v="9"/>
    <n v="1"/>
    <n v="0"/>
    <n v="0"/>
    <n v="0"/>
    <n v="0"/>
    <x v="1"/>
    <n v="1"/>
    <x v="0"/>
    <x v="1"/>
  </r>
  <r>
    <n v="500123"/>
    <n v="65435"/>
    <x v="0"/>
    <x v="7"/>
    <d v="2025-11-25T00:00:00"/>
    <s v="10:18"/>
    <x v="17"/>
    <x v="0"/>
    <n v="66"/>
    <x v="9"/>
    <n v="1"/>
    <n v="0"/>
    <n v="0"/>
    <n v="0"/>
    <n v="0"/>
    <x v="1"/>
    <n v="1"/>
    <x v="0"/>
    <x v="2"/>
  </r>
  <r>
    <n v="500124"/>
    <n v="58176"/>
    <x v="0"/>
    <x v="7"/>
    <d v="2026-02-22T00:00:00"/>
    <s v="11:11"/>
    <x v="19"/>
    <x v="2"/>
    <n v="9"/>
    <x v="9"/>
    <n v="0"/>
    <n v="0"/>
    <n v="0"/>
    <n v="0"/>
    <n v="0"/>
    <x v="1"/>
    <n v="1"/>
    <x v="0"/>
    <x v="3"/>
  </r>
  <r>
    <n v="500125"/>
    <n v="91490"/>
    <x v="0"/>
    <x v="7"/>
    <d v="2025-12-03T00:00:00"/>
    <s v="05:50"/>
    <x v="93"/>
    <x v="6"/>
    <n v="49"/>
    <x v="7"/>
    <n v="0"/>
    <n v="1"/>
    <n v="0"/>
    <n v="0"/>
    <n v="0"/>
    <x v="0"/>
    <n v="1"/>
    <x v="0"/>
    <x v="0"/>
  </r>
  <r>
    <n v="500126"/>
    <n v="96159"/>
    <x v="1"/>
    <x v="5"/>
    <d v="2026-01-16T00:00:00"/>
    <s v="03:25"/>
    <x v="94"/>
    <x v="6"/>
    <n v="81"/>
    <x v="2"/>
    <n v="0"/>
    <n v="1"/>
    <n v="0"/>
    <n v="0"/>
    <n v="0"/>
    <x v="0"/>
    <n v="1"/>
    <x v="0"/>
    <x v="2"/>
  </r>
  <r>
    <n v="500127"/>
    <n v="84395"/>
    <x v="0"/>
    <x v="0"/>
    <d v="2026-02-20T00:00:00"/>
    <s v="04:53"/>
    <x v="95"/>
    <x v="6"/>
    <n v="18"/>
    <x v="2"/>
    <n v="0"/>
    <n v="0"/>
    <n v="0"/>
    <n v="0"/>
    <n v="0"/>
    <x v="1"/>
    <n v="1"/>
    <x v="0"/>
    <x v="3"/>
  </r>
  <r>
    <n v="500128"/>
    <n v="45665"/>
    <x v="1"/>
    <x v="4"/>
    <d v="2026-01-27T00:00:00"/>
    <s v="17:00"/>
    <x v="96"/>
    <x v="0"/>
    <n v="26"/>
    <x v="3"/>
    <n v="1"/>
    <n v="0"/>
    <n v="0"/>
    <n v="0"/>
    <n v="0"/>
    <x v="1"/>
    <n v="1"/>
    <x v="0"/>
    <x v="1"/>
  </r>
  <r>
    <n v="500129"/>
    <n v="24534"/>
    <x v="1"/>
    <x v="6"/>
    <d v="2026-05-03T00:00:00"/>
    <s v="10:50"/>
    <x v="46"/>
    <x v="4"/>
    <n v="39"/>
    <x v="8"/>
    <n v="1"/>
    <n v="0"/>
    <n v="0"/>
    <n v="1"/>
    <n v="0"/>
    <x v="1"/>
    <n v="1"/>
    <x v="1"/>
    <x v="1"/>
  </r>
  <r>
    <n v="500130"/>
    <n v="49507"/>
    <x v="0"/>
    <x v="3"/>
    <d v="2026-03-08T00:00:00"/>
    <s v="05:40"/>
    <x v="12"/>
    <x v="5"/>
    <n v="27"/>
    <x v="0"/>
    <n v="1"/>
    <n v="0"/>
    <n v="0"/>
    <n v="0"/>
    <n v="0"/>
    <x v="1"/>
    <n v="0"/>
    <x v="1"/>
    <x v="1"/>
  </r>
  <r>
    <n v="500131"/>
    <n v="59834"/>
    <x v="0"/>
    <x v="2"/>
    <d v="2025-12-22T00:00:00"/>
    <s v="10:48"/>
    <x v="80"/>
    <x v="0"/>
    <n v="6"/>
    <x v="6"/>
    <n v="0"/>
    <n v="0"/>
    <n v="0"/>
    <n v="0"/>
    <n v="0"/>
    <x v="1"/>
    <n v="0"/>
    <x v="0"/>
    <x v="3"/>
  </r>
  <r>
    <n v="500132"/>
    <n v="70260"/>
    <x v="0"/>
    <x v="2"/>
    <d v="2026-03-22T00:00:00"/>
    <s v="10:57"/>
    <x v="97"/>
    <x v="4"/>
    <n v="39"/>
    <x v="9"/>
    <n v="1"/>
    <n v="0"/>
    <n v="0"/>
    <n v="0"/>
    <n v="0"/>
    <x v="1"/>
    <n v="1"/>
    <x v="1"/>
    <x v="1"/>
  </r>
  <r>
    <n v="500133"/>
    <n v="12733"/>
    <x v="1"/>
    <x v="3"/>
    <d v="2026-01-25T00:00:00"/>
    <s v="05:38"/>
    <x v="74"/>
    <x v="1"/>
    <n v="16"/>
    <x v="9"/>
    <n v="0"/>
    <n v="0"/>
    <n v="0"/>
    <n v="0"/>
    <n v="0"/>
    <x v="1"/>
    <n v="1"/>
    <x v="0"/>
    <x v="3"/>
  </r>
  <r>
    <n v="500134"/>
    <n v="67240"/>
    <x v="0"/>
    <x v="1"/>
    <d v="2026-01-10T00:00:00"/>
    <s v="07:57"/>
    <x v="98"/>
    <x v="2"/>
    <n v="47"/>
    <x v="5"/>
    <n v="1"/>
    <n v="0"/>
    <n v="0"/>
    <n v="0"/>
    <n v="0"/>
    <x v="1"/>
    <n v="1"/>
    <x v="1"/>
    <x v="0"/>
  </r>
  <r>
    <n v="500135"/>
    <n v="76910"/>
    <x v="0"/>
    <x v="1"/>
    <d v="2026-04-28T00:00:00"/>
    <s v="15:07"/>
    <x v="48"/>
    <x v="1"/>
    <n v="19"/>
    <x v="4"/>
    <n v="1"/>
    <n v="0"/>
    <n v="0"/>
    <n v="0"/>
    <n v="0"/>
    <x v="1"/>
    <n v="0"/>
    <x v="0"/>
    <x v="1"/>
  </r>
  <r>
    <n v="500136"/>
    <n v="40968"/>
    <x v="0"/>
    <x v="3"/>
    <d v="2026-03-10T00:00:00"/>
    <s v="12:02"/>
    <x v="0"/>
    <x v="0"/>
    <n v="68"/>
    <x v="0"/>
    <n v="0"/>
    <n v="1"/>
    <n v="1"/>
    <n v="0"/>
    <n v="0"/>
    <x v="0"/>
    <n v="1"/>
    <x v="0"/>
    <x v="2"/>
  </r>
  <r>
    <n v="500137"/>
    <n v="83889"/>
    <x v="1"/>
    <x v="2"/>
    <d v="2025-11-28T00:00:00"/>
    <s v="08:44"/>
    <x v="99"/>
    <x v="4"/>
    <n v="22"/>
    <x v="4"/>
    <n v="0"/>
    <n v="0"/>
    <n v="0"/>
    <n v="0"/>
    <n v="0"/>
    <x v="1"/>
    <n v="1"/>
    <x v="0"/>
    <x v="1"/>
  </r>
  <r>
    <n v="500138"/>
    <n v="87518"/>
    <x v="0"/>
    <x v="2"/>
    <d v="2025-11-30T00:00:00"/>
    <s v="18:55"/>
    <x v="39"/>
    <x v="1"/>
    <n v="31"/>
    <x v="8"/>
    <n v="0"/>
    <n v="0"/>
    <n v="0"/>
    <n v="0"/>
    <n v="0"/>
    <x v="1"/>
    <n v="1"/>
    <x v="0"/>
    <x v="1"/>
  </r>
  <r>
    <n v="500139"/>
    <n v="20057"/>
    <x v="0"/>
    <x v="4"/>
    <d v="2026-01-12T00:00:00"/>
    <s v="07:08"/>
    <x v="100"/>
    <x v="0"/>
    <n v="54"/>
    <x v="3"/>
    <n v="0"/>
    <n v="0"/>
    <n v="0"/>
    <n v="0"/>
    <n v="0"/>
    <x v="1"/>
    <n v="1"/>
    <x v="0"/>
    <x v="0"/>
  </r>
  <r>
    <n v="500140"/>
    <n v="18109"/>
    <x v="1"/>
    <x v="5"/>
    <d v="2026-03-18T00:00:00"/>
    <s v="15:59"/>
    <x v="101"/>
    <x v="1"/>
    <n v="13"/>
    <x v="4"/>
    <n v="0"/>
    <n v="0"/>
    <n v="0"/>
    <n v="0"/>
    <n v="0"/>
    <x v="1"/>
    <n v="1"/>
    <x v="0"/>
    <x v="3"/>
  </r>
  <r>
    <n v="500141"/>
    <n v="15130"/>
    <x v="0"/>
    <x v="6"/>
    <d v="2025-12-03T00:00:00"/>
    <s v="12:50"/>
    <x v="93"/>
    <x v="6"/>
    <n v="42"/>
    <x v="3"/>
    <n v="0"/>
    <n v="0"/>
    <n v="0"/>
    <n v="0"/>
    <n v="0"/>
    <x v="1"/>
    <n v="0"/>
    <x v="0"/>
    <x v="0"/>
  </r>
  <r>
    <n v="500142"/>
    <n v="16863"/>
    <x v="1"/>
    <x v="5"/>
    <d v="2026-01-18T00:00:00"/>
    <s v="04:41"/>
    <x v="2"/>
    <x v="2"/>
    <n v="64"/>
    <x v="4"/>
    <n v="0"/>
    <n v="0"/>
    <n v="0"/>
    <n v="0"/>
    <n v="0"/>
    <x v="1"/>
    <n v="1"/>
    <x v="1"/>
    <x v="2"/>
  </r>
  <r>
    <n v="500143"/>
    <n v="20682"/>
    <x v="0"/>
    <x v="2"/>
    <d v="2026-03-06T00:00:00"/>
    <s v="13:13"/>
    <x v="68"/>
    <x v="5"/>
    <n v="5"/>
    <x v="0"/>
    <n v="0"/>
    <n v="0"/>
    <n v="0"/>
    <n v="0"/>
    <n v="0"/>
    <x v="1"/>
    <n v="1"/>
    <x v="0"/>
    <x v="3"/>
  </r>
  <r>
    <n v="500144"/>
    <n v="87993"/>
    <x v="0"/>
    <x v="7"/>
    <d v="2026-03-24T00:00:00"/>
    <s v="05:52"/>
    <x v="102"/>
    <x v="4"/>
    <n v="41"/>
    <x v="8"/>
    <n v="1"/>
    <n v="0"/>
    <n v="0"/>
    <n v="0"/>
    <n v="0"/>
    <x v="1"/>
    <n v="1"/>
    <x v="0"/>
    <x v="0"/>
  </r>
  <r>
    <n v="500145"/>
    <n v="99838"/>
    <x v="0"/>
    <x v="4"/>
    <d v="2026-01-24T00:00:00"/>
    <s v="11:47"/>
    <x v="92"/>
    <x v="3"/>
    <n v="43"/>
    <x v="8"/>
    <n v="1"/>
    <n v="0"/>
    <n v="1"/>
    <n v="0"/>
    <n v="0"/>
    <x v="0"/>
    <n v="1"/>
    <x v="0"/>
    <x v="0"/>
  </r>
  <r>
    <n v="500146"/>
    <n v="35166"/>
    <x v="0"/>
    <x v="3"/>
    <d v="2026-05-20T00:00:00"/>
    <s v="05:19"/>
    <x v="103"/>
    <x v="3"/>
    <n v="53"/>
    <x v="2"/>
    <n v="0"/>
    <n v="1"/>
    <n v="0"/>
    <n v="0"/>
    <n v="0"/>
    <x v="0"/>
    <n v="0"/>
    <x v="0"/>
    <x v="0"/>
  </r>
  <r>
    <n v="500147"/>
    <n v="96760"/>
    <x v="1"/>
    <x v="3"/>
    <d v="2026-05-15T00:00:00"/>
    <s v="18:06"/>
    <x v="104"/>
    <x v="3"/>
    <n v="13"/>
    <x v="9"/>
    <n v="0"/>
    <n v="0"/>
    <n v="0"/>
    <n v="0"/>
    <n v="0"/>
    <x v="1"/>
    <n v="1"/>
    <x v="0"/>
    <x v="3"/>
  </r>
  <r>
    <n v="500148"/>
    <n v="91885"/>
    <x v="0"/>
    <x v="6"/>
    <d v="2026-04-09T00:00:00"/>
    <s v="17:55"/>
    <x v="90"/>
    <x v="5"/>
    <n v="11"/>
    <x v="7"/>
    <n v="0"/>
    <n v="0"/>
    <n v="0"/>
    <n v="0"/>
    <n v="0"/>
    <x v="1"/>
    <n v="1"/>
    <x v="0"/>
    <x v="3"/>
  </r>
  <r>
    <n v="500149"/>
    <n v="68222"/>
    <x v="1"/>
    <x v="6"/>
    <d v="2026-04-17T00:00:00"/>
    <s v="21:56"/>
    <x v="105"/>
    <x v="6"/>
    <n v="48"/>
    <x v="1"/>
    <n v="0"/>
    <n v="1"/>
    <n v="0"/>
    <n v="0"/>
    <n v="0"/>
    <x v="0"/>
    <n v="1"/>
    <x v="0"/>
    <x v="0"/>
  </r>
  <r>
    <n v="500150"/>
    <n v="67749"/>
    <x v="1"/>
    <x v="7"/>
    <d v="2026-01-10T00:00:00"/>
    <s v="16:55"/>
    <x v="106"/>
    <x v="5"/>
    <n v="43"/>
    <x v="5"/>
    <n v="1"/>
    <n v="0"/>
    <n v="0"/>
    <n v="0"/>
    <n v="0"/>
    <x v="1"/>
    <n v="1"/>
    <x v="1"/>
    <x v="0"/>
  </r>
  <r>
    <n v="500151"/>
    <n v="94040"/>
    <x v="1"/>
    <x v="2"/>
    <d v="2026-03-30T00:00:00"/>
    <s v="02:01"/>
    <x v="107"/>
    <x v="2"/>
    <n v="43"/>
    <x v="8"/>
    <n v="0"/>
    <n v="0"/>
    <n v="0"/>
    <n v="0"/>
    <n v="0"/>
    <x v="1"/>
    <n v="1"/>
    <x v="1"/>
    <x v="0"/>
  </r>
  <r>
    <n v="500152"/>
    <n v="68893"/>
    <x v="0"/>
    <x v="4"/>
    <d v="2026-01-28T00:00:00"/>
    <s v="06:07"/>
    <x v="2"/>
    <x v="2"/>
    <n v="44"/>
    <x v="6"/>
    <n v="0"/>
    <n v="0"/>
    <n v="0"/>
    <n v="0"/>
    <n v="0"/>
    <x v="1"/>
    <n v="1"/>
    <x v="0"/>
    <x v="0"/>
  </r>
  <r>
    <n v="500153"/>
    <n v="59015"/>
    <x v="0"/>
    <x v="4"/>
    <d v="2026-02-18T00:00:00"/>
    <s v="12:21"/>
    <x v="95"/>
    <x v="6"/>
    <n v="24"/>
    <x v="6"/>
    <n v="1"/>
    <n v="0"/>
    <n v="0"/>
    <n v="0"/>
    <n v="0"/>
    <x v="1"/>
    <n v="1"/>
    <x v="0"/>
    <x v="1"/>
  </r>
  <r>
    <n v="500154"/>
    <n v="53947"/>
    <x v="0"/>
    <x v="3"/>
    <d v="2026-05-09T00:00:00"/>
    <s v="06:24"/>
    <x v="108"/>
    <x v="5"/>
    <n v="42"/>
    <x v="7"/>
    <n v="1"/>
    <n v="0"/>
    <n v="0"/>
    <n v="0"/>
    <n v="0"/>
    <x v="1"/>
    <n v="0"/>
    <x v="0"/>
    <x v="0"/>
  </r>
  <r>
    <n v="500155"/>
    <n v="90654"/>
    <x v="0"/>
    <x v="5"/>
    <d v="2026-02-04T00:00:00"/>
    <s v="01:15"/>
    <x v="19"/>
    <x v="2"/>
    <n v="43"/>
    <x v="7"/>
    <n v="1"/>
    <n v="0"/>
    <n v="1"/>
    <n v="0"/>
    <n v="0"/>
    <x v="0"/>
    <n v="1"/>
    <x v="0"/>
    <x v="0"/>
  </r>
  <r>
    <n v="500156"/>
    <n v="47762"/>
    <x v="0"/>
    <x v="7"/>
    <d v="2026-01-02T00:00:00"/>
    <s v="14:38"/>
    <x v="109"/>
    <x v="1"/>
    <n v="23"/>
    <x v="6"/>
    <n v="0"/>
    <n v="0"/>
    <n v="0"/>
    <n v="0"/>
    <n v="0"/>
    <x v="1"/>
    <n v="1"/>
    <x v="1"/>
    <x v="1"/>
  </r>
  <r>
    <n v="500157"/>
    <n v="75513"/>
    <x v="0"/>
    <x v="1"/>
    <d v="2025-11-20T00:00:00"/>
    <s v="13:10"/>
    <x v="110"/>
    <x v="5"/>
    <n v="75"/>
    <x v="2"/>
    <n v="1"/>
    <n v="0"/>
    <n v="0"/>
    <n v="0"/>
    <n v="0"/>
    <x v="1"/>
    <n v="1"/>
    <x v="0"/>
    <x v="2"/>
  </r>
  <r>
    <n v="500158"/>
    <n v="18870"/>
    <x v="0"/>
    <x v="4"/>
    <d v="2026-01-19T00:00:00"/>
    <s v="20:36"/>
    <x v="65"/>
    <x v="3"/>
    <n v="47"/>
    <x v="3"/>
    <n v="0"/>
    <n v="0"/>
    <n v="0"/>
    <n v="0"/>
    <n v="0"/>
    <x v="1"/>
    <n v="0"/>
    <x v="0"/>
    <x v="0"/>
  </r>
  <r>
    <n v="500159"/>
    <n v="96127"/>
    <x v="0"/>
    <x v="2"/>
    <d v="2026-03-13T00:00:00"/>
    <s v="12:55"/>
    <x v="111"/>
    <x v="1"/>
    <n v="14"/>
    <x v="2"/>
    <n v="0"/>
    <n v="0"/>
    <n v="0"/>
    <n v="0"/>
    <n v="0"/>
    <x v="1"/>
    <n v="1"/>
    <x v="0"/>
    <x v="3"/>
  </r>
  <r>
    <n v="500160"/>
    <n v="32949"/>
    <x v="1"/>
    <x v="6"/>
    <d v="2026-03-09T00:00:00"/>
    <s v="16:38"/>
    <x v="112"/>
    <x v="4"/>
    <n v="51"/>
    <x v="2"/>
    <n v="0"/>
    <n v="1"/>
    <n v="0"/>
    <n v="0"/>
    <n v="0"/>
    <x v="0"/>
    <n v="1"/>
    <x v="0"/>
    <x v="0"/>
  </r>
  <r>
    <n v="500161"/>
    <n v="15492"/>
    <x v="1"/>
    <x v="7"/>
    <d v="2026-02-19T00:00:00"/>
    <s v="15:56"/>
    <x v="28"/>
    <x v="5"/>
    <n v="18"/>
    <x v="8"/>
    <n v="0"/>
    <n v="0"/>
    <n v="0"/>
    <n v="0"/>
    <n v="0"/>
    <x v="1"/>
    <n v="0"/>
    <x v="0"/>
    <x v="3"/>
  </r>
  <r>
    <n v="500162"/>
    <n v="14799"/>
    <x v="0"/>
    <x v="7"/>
    <d v="2026-04-23T00:00:00"/>
    <s v="07:21"/>
    <x v="79"/>
    <x v="5"/>
    <n v="53"/>
    <x v="4"/>
    <n v="0"/>
    <n v="0"/>
    <n v="0"/>
    <n v="0"/>
    <n v="0"/>
    <x v="1"/>
    <n v="0"/>
    <x v="0"/>
    <x v="0"/>
  </r>
  <r>
    <n v="500163"/>
    <n v="60678"/>
    <x v="1"/>
    <x v="3"/>
    <d v="2026-01-16T00:00:00"/>
    <s v="02:37"/>
    <x v="65"/>
    <x v="3"/>
    <n v="61"/>
    <x v="3"/>
    <n v="1"/>
    <n v="0"/>
    <n v="0"/>
    <n v="0"/>
    <n v="0"/>
    <x v="1"/>
    <n v="1"/>
    <x v="0"/>
    <x v="2"/>
  </r>
  <r>
    <n v="500164"/>
    <n v="33652"/>
    <x v="1"/>
    <x v="2"/>
    <d v="2026-01-06T00:00:00"/>
    <s v="07:18"/>
    <x v="75"/>
    <x v="0"/>
    <n v="21"/>
    <x v="6"/>
    <n v="0"/>
    <n v="0"/>
    <n v="0"/>
    <n v="0"/>
    <n v="0"/>
    <x v="1"/>
    <n v="1"/>
    <x v="0"/>
    <x v="1"/>
  </r>
  <r>
    <n v="500165"/>
    <n v="31842"/>
    <x v="1"/>
    <x v="2"/>
    <d v="2026-03-25T00:00:00"/>
    <s v="20:34"/>
    <x v="97"/>
    <x v="4"/>
    <n v="57"/>
    <x v="3"/>
    <n v="0"/>
    <n v="0"/>
    <n v="0"/>
    <n v="0"/>
    <n v="0"/>
    <x v="1"/>
    <n v="0"/>
    <x v="1"/>
    <x v="0"/>
  </r>
  <r>
    <n v="500166"/>
    <n v="97973"/>
    <x v="1"/>
    <x v="2"/>
    <d v="2025-11-23T00:00:00"/>
    <s v="15:47"/>
    <x v="113"/>
    <x v="3"/>
    <n v="46"/>
    <x v="8"/>
    <n v="0"/>
    <n v="0"/>
    <n v="1"/>
    <n v="0"/>
    <n v="0"/>
    <x v="0"/>
    <n v="1"/>
    <x v="1"/>
    <x v="0"/>
  </r>
  <r>
    <n v="500167"/>
    <n v="94562"/>
    <x v="1"/>
    <x v="2"/>
    <d v="2025-12-08T00:00:00"/>
    <s v="13:31"/>
    <x v="114"/>
    <x v="0"/>
    <n v="54"/>
    <x v="5"/>
    <n v="0"/>
    <n v="0"/>
    <n v="0"/>
    <n v="0"/>
    <n v="0"/>
    <x v="1"/>
    <n v="0"/>
    <x v="0"/>
    <x v="0"/>
  </r>
  <r>
    <n v="500168"/>
    <n v="79397"/>
    <x v="1"/>
    <x v="4"/>
    <d v="2025-12-07T00:00:00"/>
    <s v="13:50"/>
    <x v="24"/>
    <x v="4"/>
    <n v="75"/>
    <x v="4"/>
    <n v="1"/>
    <n v="1"/>
    <n v="1"/>
    <n v="0"/>
    <n v="0"/>
    <x v="0"/>
    <n v="1"/>
    <x v="0"/>
    <x v="2"/>
  </r>
  <r>
    <n v="500169"/>
    <n v="44116"/>
    <x v="1"/>
    <x v="1"/>
    <d v="2026-01-16T00:00:00"/>
    <s v="13:21"/>
    <x v="115"/>
    <x v="5"/>
    <n v="33"/>
    <x v="9"/>
    <n v="1"/>
    <n v="0"/>
    <n v="0"/>
    <n v="0"/>
    <n v="0"/>
    <x v="1"/>
    <n v="1"/>
    <x v="1"/>
    <x v="1"/>
  </r>
  <r>
    <n v="500170"/>
    <n v="19706"/>
    <x v="1"/>
    <x v="3"/>
    <d v="2026-03-26T00:00:00"/>
    <s v="10:11"/>
    <x v="116"/>
    <x v="6"/>
    <n v="22"/>
    <x v="3"/>
    <n v="0"/>
    <n v="0"/>
    <n v="0"/>
    <n v="0"/>
    <n v="0"/>
    <x v="1"/>
    <n v="0"/>
    <x v="0"/>
    <x v="1"/>
  </r>
  <r>
    <n v="500171"/>
    <n v="18511"/>
    <x v="1"/>
    <x v="7"/>
    <d v="2025-12-24T00:00:00"/>
    <s v="02:59"/>
    <x v="75"/>
    <x v="0"/>
    <n v="20"/>
    <x v="2"/>
    <n v="0"/>
    <n v="0"/>
    <n v="0"/>
    <n v="0"/>
    <n v="0"/>
    <x v="1"/>
    <n v="1"/>
    <x v="1"/>
    <x v="1"/>
  </r>
  <r>
    <n v="500172"/>
    <n v="36342"/>
    <x v="0"/>
    <x v="1"/>
    <d v="2026-04-05T00:00:00"/>
    <s v="22:01"/>
    <x v="90"/>
    <x v="5"/>
    <n v="21"/>
    <x v="3"/>
    <n v="0"/>
    <n v="0"/>
    <n v="0"/>
    <n v="0"/>
    <n v="0"/>
    <x v="1"/>
    <n v="1"/>
    <x v="0"/>
    <x v="1"/>
  </r>
  <r>
    <n v="500173"/>
    <n v="27009"/>
    <x v="0"/>
    <x v="5"/>
    <d v="2026-03-29T00:00:00"/>
    <s v="03:39"/>
    <x v="8"/>
    <x v="4"/>
    <n v="36"/>
    <x v="0"/>
    <n v="1"/>
    <n v="0"/>
    <n v="0"/>
    <n v="0"/>
    <n v="0"/>
    <x v="1"/>
    <n v="1"/>
    <x v="0"/>
    <x v="1"/>
  </r>
  <r>
    <n v="500174"/>
    <n v="85353"/>
    <x v="0"/>
    <x v="3"/>
    <d v="2026-03-16T00:00:00"/>
    <s v="04:41"/>
    <x v="26"/>
    <x v="0"/>
    <n v="44"/>
    <x v="4"/>
    <n v="0"/>
    <n v="0"/>
    <n v="0"/>
    <n v="0"/>
    <n v="0"/>
    <x v="1"/>
    <n v="0"/>
    <x v="0"/>
    <x v="0"/>
  </r>
  <r>
    <n v="500175"/>
    <n v="93859"/>
    <x v="0"/>
    <x v="3"/>
    <d v="2026-01-22T00:00:00"/>
    <s v="00:50"/>
    <x v="54"/>
    <x v="6"/>
    <n v="43"/>
    <x v="5"/>
    <n v="0"/>
    <n v="0"/>
    <n v="0"/>
    <n v="0"/>
    <n v="0"/>
    <x v="1"/>
    <n v="1"/>
    <x v="0"/>
    <x v="0"/>
  </r>
  <r>
    <n v="500176"/>
    <n v="39552"/>
    <x v="1"/>
    <x v="7"/>
    <d v="2026-03-12T00:00:00"/>
    <s v="18:44"/>
    <x v="26"/>
    <x v="0"/>
    <n v="54"/>
    <x v="6"/>
    <n v="1"/>
    <n v="1"/>
    <n v="0"/>
    <n v="0"/>
    <n v="0"/>
    <x v="0"/>
    <n v="1"/>
    <x v="1"/>
    <x v="0"/>
  </r>
  <r>
    <n v="500177"/>
    <n v="94015"/>
    <x v="0"/>
    <x v="3"/>
    <d v="2026-04-18T00:00:00"/>
    <s v="16:32"/>
    <x v="116"/>
    <x v="6"/>
    <n v="38"/>
    <x v="2"/>
    <n v="1"/>
    <n v="0"/>
    <n v="0"/>
    <n v="0"/>
    <n v="0"/>
    <x v="1"/>
    <n v="0"/>
    <x v="1"/>
    <x v="1"/>
  </r>
  <r>
    <n v="500178"/>
    <n v="15958"/>
    <x v="1"/>
    <x v="1"/>
    <d v="2026-01-11T00:00:00"/>
    <s v="21:57"/>
    <x v="117"/>
    <x v="5"/>
    <n v="67"/>
    <x v="9"/>
    <n v="1"/>
    <n v="0"/>
    <n v="1"/>
    <n v="0"/>
    <n v="0"/>
    <x v="0"/>
    <n v="1"/>
    <x v="0"/>
    <x v="2"/>
  </r>
  <r>
    <n v="500179"/>
    <n v="99783"/>
    <x v="1"/>
    <x v="7"/>
    <d v="2026-05-12T00:00:00"/>
    <s v="09:22"/>
    <x v="10"/>
    <x v="4"/>
    <n v="32"/>
    <x v="3"/>
    <n v="0"/>
    <n v="0"/>
    <n v="0"/>
    <n v="0"/>
    <n v="0"/>
    <x v="1"/>
    <n v="1"/>
    <x v="0"/>
    <x v="1"/>
  </r>
  <r>
    <n v="500180"/>
    <n v="54589"/>
    <x v="0"/>
    <x v="2"/>
    <d v="2025-12-13T00:00:00"/>
    <s v="23:11"/>
    <x v="118"/>
    <x v="2"/>
    <n v="90"/>
    <x v="4"/>
    <n v="1"/>
    <n v="0"/>
    <n v="1"/>
    <n v="0"/>
    <n v="0"/>
    <x v="0"/>
    <n v="1"/>
    <x v="0"/>
    <x v="2"/>
  </r>
  <r>
    <n v="500181"/>
    <n v="42495"/>
    <x v="0"/>
    <x v="5"/>
    <d v="2026-02-04T00:00:00"/>
    <s v="03:06"/>
    <x v="89"/>
    <x v="1"/>
    <n v="50"/>
    <x v="7"/>
    <n v="1"/>
    <n v="0"/>
    <n v="0"/>
    <n v="0"/>
    <n v="0"/>
    <x v="1"/>
    <n v="0"/>
    <x v="0"/>
    <x v="0"/>
  </r>
  <r>
    <n v="500182"/>
    <n v="85718"/>
    <x v="1"/>
    <x v="1"/>
    <d v="2026-03-09T00:00:00"/>
    <s v="20:22"/>
    <x v="8"/>
    <x v="4"/>
    <n v="20"/>
    <x v="2"/>
    <n v="1"/>
    <n v="0"/>
    <n v="0"/>
    <n v="0"/>
    <n v="0"/>
    <x v="1"/>
    <n v="1"/>
    <x v="0"/>
    <x v="1"/>
  </r>
  <r>
    <n v="500183"/>
    <n v="75191"/>
    <x v="0"/>
    <x v="5"/>
    <d v="2025-12-09T00:00:00"/>
    <s v="23:48"/>
    <x v="86"/>
    <x v="5"/>
    <n v="16"/>
    <x v="5"/>
    <n v="0"/>
    <n v="0"/>
    <n v="0"/>
    <n v="0"/>
    <n v="0"/>
    <x v="1"/>
    <n v="0"/>
    <x v="1"/>
    <x v="3"/>
  </r>
  <r>
    <n v="500184"/>
    <n v="56254"/>
    <x v="0"/>
    <x v="0"/>
    <d v="2026-05-04T00:00:00"/>
    <s v="20:18"/>
    <x v="46"/>
    <x v="4"/>
    <n v="47"/>
    <x v="0"/>
    <n v="1"/>
    <n v="0"/>
    <n v="0"/>
    <n v="0"/>
    <n v="0"/>
    <x v="1"/>
    <n v="1"/>
    <x v="1"/>
    <x v="0"/>
  </r>
  <r>
    <n v="500185"/>
    <n v="27555"/>
    <x v="1"/>
    <x v="2"/>
    <d v="2026-03-08T00:00:00"/>
    <s v="03:39"/>
    <x v="12"/>
    <x v="5"/>
    <n v="33"/>
    <x v="5"/>
    <n v="1"/>
    <n v="0"/>
    <n v="0"/>
    <n v="1"/>
    <n v="0"/>
    <x v="1"/>
    <n v="1"/>
    <x v="0"/>
    <x v="1"/>
  </r>
  <r>
    <n v="500186"/>
    <n v="47827"/>
    <x v="0"/>
    <x v="4"/>
    <d v="2026-01-14T00:00:00"/>
    <s v="19:00"/>
    <x v="54"/>
    <x v="6"/>
    <n v="52"/>
    <x v="8"/>
    <n v="1"/>
    <n v="0"/>
    <n v="0"/>
    <n v="0"/>
    <n v="0"/>
    <x v="1"/>
    <n v="1"/>
    <x v="0"/>
    <x v="0"/>
  </r>
  <r>
    <n v="500187"/>
    <n v="61629"/>
    <x v="1"/>
    <x v="2"/>
    <d v="2025-11-21T00:00:00"/>
    <s v="08:31"/>
    <x v="119"/>
    <x v="4"/>
    <n v="47"/>
    <x v="8"/>
    <n v="1"/>
    <n v="0"/>
    <n v="1"/>
    <n v="0"/>
    <n v="0"/>
    <x v="0"/>
    <n v="1"/>
    <x v="1"/>
    <x v="0"/>
  </r>
  <r>
    <n v="500188"/>
    <n v="53652"/>
    <x v="1"/>
    <x v="6"/>
    <d v="2025-12-29T00:00:00"/>
    <s v="03:12"/>
    <x v="84"/>
    <x v="3"/>
    <n v="36"/>
    <x v="2"/>
    <n v="0"/>
    <n v="0"/>
    <n v="0"/>
    <n v="0"/>
    <n v="0"/>
    <x v="1"/>
    <n v="1"/>
    <x v="0"/>
    <x v="1"/>
  </r>
  <r>
    <n v="500189"/>
    <n v="49221"/>
    <x v="1"/>
    <x v="6"/>
    <d v="2026-05-16T00:00:00"/>
    <s v="05:29"/>
    <x v="55"/>
    <x v="6"/>
    <n v="21"/>
    <x v="9"/>
    <n v="1"/>
    <n v="0"/>
    <n v="0"/>
    <n v="0"/>
    <n v="0"/>
    <x v="1"/>
    <n v="1"/>
    <x v="1"/>
    <x v="1"/>
  </r>
  <r>
    <n v="500190"/>
    <n v="64596"/>
    <x v="1"/>
    <x v="0"/>
    <d v="2026-02-22T00:00:00"/>
    <s v="17:47"/>
    <x v="91"/>
    <x v="1"/>
    <n v="7"/>
    <x v="9"/>
    <n v="0"/>
    <n v="0"/>
    <n v="0"/>
    <n v="0"/>
    <n v="0"/>
    <x v="1"/>
    <n v="0"/>
    <x v="0"/>
    <x v="3"/>
  </r>
  <r>
    <n v="500191"/>
    <n v="85821"/>
    <x v="0"/>
    <x v="0"/>
    <d v="2025-11-25T00:00:00"/>
    <s v="14:40"/>
    <x v="23"/>
    <x v="2"/>
    <n v="29"/>
    <x v="9"/>
    <n v="1"/>
    <n v="0"/>
    <n v="0"/>
    <n v="0"/>
    <n v="0"/>
    <x v="1"/>
    <n v="1"/>
    <x v="0"/>
    <x v="1"/>
  </r>
  <r>
    <n v="500192"/>
    <n v="29369"/>
    <x v="0"/>
    <x v="0"/>
    <d v="2026-01-31T00:00:00"/>
    <s v="07:14"/>
    <x v="120"/>
    <x v="2"/>
    <n v="55"/>
    <x v="9"/>
    <n v="0"/>
    <n v="1"/>
    <n v="0"/>
    <n v="0"/>
    <n v="0"/>
    <x v="0"/>
    <n v="1"/>
    <x v="0"/>
    <x v="0"/>
  </r>
  <r>
    <n v="500193"/>
    <n v="90147"/>
    <x v="1"/>
    <x v="0"/>
    <d v="2025-11-26T00:00:00"/>
    <s v="16:21"/>
    <x v="121"/>
    <x v="3"/>
    <n v="42"/>
    <x v="2"/>
    <n v="0"/>
    <n v="0"/>
    <n v="0"/>
    <n v="0"/>
    <n v="0"/>
    <x v="1"/>
    <n v="1"/>
    <x v="0"/>
    <x v="0"/>
  </r>
  <r>
    <n v="500194"/>
    <n v="70249"/>
    <x v="1"/>
    <x v="2"/>
    <d v="2025-12-08T00:00:00"/>
    <s v="10:15"/>
    <x v="122"/>
    <x v="3"/>
    <n v="13"/>
    <x v="0"/>
    <n v="0"/>
    <n v="0"/>
    <n v="0"/>
    <n v="0"/>
    <n v="0"/>
    <x v="1"/>
    <n v="1"/>
    <x v="0"/>
    <x v="3"/>
  </r>
  <r>
    <n v="500195"/>
    <n v="83149"/>
    <x v="1"/>
    <x v="1"/>
    <d v="2026-01-02T00:00:00"/>
    <s v="14:22"/>
    <x v="123"/>
    <x v="4"/>
    <n v="41"/>
    <x v="0"/>
    <n v="1"/>
    <n v="0"/>
    <n v="0"/>
    <n v="0"/>
    <n v="0"/>
    <x v="1"/>
    <n v="1"/>
    <x v="0"/>
    <x v="0"/>
  </r>
  <r>
    <n v="500196"/>
    <n v="45842"/>
    <x v="1"/>
    <x v="5"/>
    <d v="2026-05-11T00:00:00"/>
    <s v="17:24"/>
    <x v="124"/>
    <x v="0"/>
    <n v="45"/>
    <x v="9"/>
    <n v="1"/>
    <n v="0"/>
    <n v="0"/>
    <n v="0"/>
    <n v="0"/>
    <x v="1"/>
    <n v="0"/>
    <x v="1"/>
    <x v="0"/>
  </r>
  <r>
    <n v="500197"/>
    <n v="15513"/>
    <x v="1"/>
    <x v="5"/>
    <d v="2026-02-22T00:00:00"/>
    <s v="03:29"/>
    <x v="125"/>
    <x v="5"/>
    <n v="20"/>
    <x v="4"/>
    <n v="1"/>
    <n v="0"/>
    <n v="0"/>
    <n v="0"/>
    <n v="0"/>
    <x v="1"/>
    <n v="0"/>
    <x v="1"/>
    <x v="1"/>
  </r>
  <r>
    <n v="500198"/>
    <n v="80592"/>
    <x v="1"/>
    <x v="7"/>
    <d v="2026-01-31T00:00:00"/>
    <s v="20:57"/>
    <x v="126"/>
    <x v="3"/>
    <n v="41"/>
    <x v="2"/>
    <n v="0"/>
    <n v="0"/>
    <n v="0"/>
    <n v="0"/>
    <n v="0"/>
    <x v="1"/>
    <n v="1"/>
    <x v="0"/>
    <x v="0"/>
  </r>
  <r>
    <n v="500199"/>
    <n v="93616"/>
    <x v="0"/>
    <x v="0"/>
    <d v="2026-05-01T00:00:00"/>
    <s v="14:31"/>
    <x v="46"/>
    <x v="4"/>
    <n v="39"/>
    <x v="6"/>
    <n v="1"/>
    <n v="0"/>
    <n v="0"/>
    <n v="0"/>
    <n v="0"/>
    <x v="1"/>
    <n v="1"/>
    <x v="1"/>
    <x v="1"/>
  </r>
  <r>
    <n v="500200"/>
    <n v="82135"/>
    <x v="0"/>
    <x v="4"/>
    <d v="2026-01-04T00:00:00"/>
    <s v="12:34"/>
    <x v="109"/>
    <x v="1"/>
    <n v="15"/>
    <x v="3"/>
    <n v="0"/>
    <n v="0"/>
    <n v="0"/>
    <n v="0"/>
    <n v="0"/>
    <x v="1"/>
    <n v="1"/>
    <x v="0"/>
    <x v="3"/>
  </r>
  <r>
    <n v="500201"/>
    <n v="52096"/>
    <x v="1"/>
    <x v="0"/>
    <d v="2025-12-04T00:00:00"/>
    <s v="12:55"/>
    <x v="127"/>
    <x v="4"/>
    <n v="45"/>
    <x v="6"/>
    <n v="0"/>
    <n v="0"/>
    <n v="0"/>
    <n v="0"/>
    <n v="0"/>
    <x v="1"/>
    <n v="0"/>
    <x v="1"/>
    <x v="0"/>
  </r>
  <r>
    <n v="500202"/>
    <n v="33040"/>
    <x v="0"/>
    <x v="4"/>
    <d v="2026-04-19T00:00:00"/>
    <s v="00:34"/>
    <x v="76"/>
    <x v="6"/>
    <n v="49"/>
    <x v="3"/>
    <n v="0"/>
    <n v="0"/>
    <n v="0"/>
    <n v="0"/>
    <n v="0"/>
    <x v="1"/>
    <n v="1"/>
    <x v="0"/>
    <x v="0"/>
  </r>
  <r>
    <n v="500203"/>
    <n v="24064"/>
    <x v="1"/>
    <x v="7"/>
    <d v="2026-04-06T00:00:00"/>
    <s v="10:24"/>
    <x v="31"/>
    <x v="2"/>
    <n v="59"/>
    <x v="3"/>
    <n v="1"/>
    <n v="0"/>
    <n v="1"/>
    <n v="0"/>
    <n v="0"/>
    <x v="0"/>
    <n v="1"/>
    <x v="0"/>
    <x v="0"/>
  </r>
  <r>
    <n v="500204"/>
    <n v="94972"/>
    <x v="1"/>
    <x v="3"/>
    <d v="2026-05-03T00:00:00"/>
    <s v="12:30"/>
    <x v="104"/>
    <x v="3"/>
    <n v="59"/>
    <x v="7"/>
    <n v="1"/>
    <n v="0"/>
    <n v="0"/>
    <n v="0"/>
    <n v="0"/>
    <x v="1"/>
    <n v="0"/>
    <x v="0"/>
    <x v="0"/>
  </r>
  <r>
    <n v="500205"/>
    <n v="77538"/>
    <x v="1"/>
    <x v="5"/>
    <d v="2025-12-24T00:00:00"/>
    <s v="02:51"/>
    <x v="38"/>
    <x v="6"/>
    <n v="10"/>
    <x v="5"/>
    <n v="0"/>
    <n v="0"/>
    <n v="0"/>
    <n v="0"/>
    <n v="0"/>
    <x v="1"/>
    <n v="1"/>
    <x v="1"/>
    <x v="3"/>
  </r>
  <r>
    <n v="500206"/>
    <n v="52415"/>
    <x v="0"/>
    <x v="0"/>
    <d v="2025-12-02T00:00:00"/>
    <s v="09:44"/>
    <x v="82"/>
    <x v="0"/>
    <n v="19"/>
    <x v="0"/>
    <n v="1"/>
    <n v="0"/>
    <n v="0"/>
    <n v="0"/>
    <n v="0"/>
    <x v="1"/>
    <n v="0"/>
    <x v="0"/>
    <x v="1"/>
  </r>
  <r>
    <n v="500207"/>
    <n v="49576"/>
    <x v="0"/>
    <x v="7"/>
    <d v="2026-03-09T00:00:00"/>
    <s v="04:50"/>
    <x v="128"/>
    <x v="0"/>
    <n v="48"/>
    <x v="4"/>
    <n v="0"/>
    <n v="1"/>
    <n v="1"/>
    <n v="0"/>
    <n v="0"/>
    <x v="0"/>
    <n v="1"/>
    <x v="0"/>
    <x v="0"/>
  </r>
  <r>
    <n v="500208"/>
    <n v="50760"/>
    <x v="0"/>
    <x v="7"/>
    <d v="2026-03-10T00:00:00"/>
    <s v="02:50"/>
    <x v="41"/>
    <x v="1"/>
    <n v="48"/>
    <x v="4"/>
    <n v="0"/>
    <n v="1"/>
    <n v="1"/>
    <n v="0"/>
    <n v="0"/>
    <x v="0"/>
    <n v="1"/>
    <x v="0"/>
    <x v="0"/>
  </r>
  <r>
    <n v="500209"/>
    <n v="81989"/>
    <x v="1"/>
    <x v="1"/>
    <d v="2026-04-24T00:00:00"/>
    <s v="00:21"/>
    <x v="124"/>
    <x v="0"/>
    <n v="48"/>
    <x v="1"/>
    <n v="0"/>
    <n v="0"/>
    <n v="0"/>
    <n v="0"/>
    <n v="0"/>
    <x v="1"/>
    <n v="1"/>
    <x v="0"/>
    <x v="0"/>
  </r>
  <r>
    <n v="500210"/>
    <n v="76255"/>
    <x v="0"/>
    <x v="3"/>
    <d v="2026-03-20T00:00:00"/>
    <s v="13:25"/>
    <x v="102"/>
    <x v="4"/>
    <n v="90"/>
    <x v="2"/>
    <n v="1"/>
    <n v="0"/>
    <n v="0"/>
    <n v="0"/>
    <n v="0"/>
    <x v="1"/>
    <n v="0"/>
    <x v="0"/>
    <x v="2"/>
  </r>
  <r>
    <n v="500211"/>
    <n v="17292"/>
    <x v="1"/>
    <x v="3"/>
    <d v="2025-12-07T00:00:00"/>
    <s v="21:40"/>
    <x v="129"/>
    <x v="3"/>
    <n v="49"/>
    <x v="8"/>
    <n v="1"/>
    <n v="0"/>
    <n v="1"/>
    <n v="0"/>
    <n v="0"/>
    <x v="0"/>
    <n v="0"/>
    <x v="1"/>
    <x v="0"/>
  </r>
  <r>
    <n v="500212"/>
    <n v="10395"/>
    <x v="0"/>
    <x v="5"/>
    <d v="2026-01-15T00:00:00"/>
    <s v="14:44"/>
    <x v="100"/>
    <x v="0"/>
    <n v="60"/>
    <x v="7"/>
    <n v="1"/>
    <n v="1"/>
    <n v="1"/>
    <n v="0"/>
    <n v="0"/>
    <x v="0"/>
    <n v="0"/>
    <x v="1"/>
    <x v="0"/>
  </r>
  <r>
    <n v="500213"/>
    <n v="63591"/>
    <x v="0"/>
    <x v="3"/>
    <d v="2026-01-30T00:00:00"/>
    <s v="11:08"/>
    <x v="126"/>
    <x v="3"/>
    <n v="57"/>
    <x v="5"/>
    <n v="1"/>
    <n v="0"/>
    <n v="0"/>
    <n v="0"/>
    <n v="0"/>
    <x v="1"/>
    <n v="1"/>
    <x v="0"/>
    <x v="0"/>
  </r>
  <r>
    <n v="500214"/>
    <n v="80687"/>
    <x v="0"/>
    <x v="2"/>
    <d v="2025-12-11T00:00:00"/>
    <s v="18:20"/>
    <x v="130"/>
    <x v="6"/>
    <n v="51"/>
    <x v="6"/>
    <n v="0"/>
    <n v="0"/>
    <n v="0"/>
    <n v="0"/>
    <n v="0"/>
    <x v="1"/>
    <n v="0"/>
    <x v="0"/>
    <x v="0"/>
  </r>
  <r>
    <n v="500215"/>
    <n v="49107"/>
    <x v="1"/>
    <x v="4"/>
    <d v="2026-03-01T00:00:00"/>
    <s v="14:48"/>
    <x v="131"/>
    <x v="2"/>
    <n v="31"/>
    <x v="8"/>
    <n v="1"/>
    <n v="0"/>
    <n v="0"/>
    <n v="0"/>
    <n v="0"/>
    <x v="1"/>
    <n v="1"/>
    <x v="0"/>
    <x v="1"/>
  </r>
  <r>
    <n v="500216"/>
    <n v="24790"/>
    <x v="0"/>
    <x v="4"/>
    <d v="2026-05-05T00:00:00"/>
    <s v="11:13"/>
    <x v="132"/>
    <x v="5"/>
    <n v="53"/>
    <x v="9"/>
    <n v="0"/>
    <n v="1"/>
    <n v="1"/>
    <n v="0"/>
    <n v="0"/>
    <x v="0"/>
    <n v="1"/>
    <x v="0"/>
    <x v="0"/>
  </r>
  <r>
    <n v="500217"/>
    <n v="42077"/>
    <x v="0"/>
    <x v="4"/>
    <d v="2026-04-27T00:00:00"/>
    <s v="09:27"/>
    <x v="133"/>
    <x v="0"/>
    <n v="22"/>
    <x v="3"/>
    <n v="0"/>
    <n v="0"/>
    <n v="0"/>
    <n v="0"/>
    <n v="0"/>
    <x v="1"/>
    <n v="0"/>
    <x v="1"/>
    <x v="1"/>
  </r>
  <r>
    <n v="500218"/>
    <n v="47914"/>
    <x v="0"/>
    <x v="2"/>
    <d v="2026-04-18T00:00:00"/>
    <s v="14:06"/>
    <x v="48"/>
    <x v="1"/>
    <n v="33"/>
    <x v="9"/>
    <n v="1"/>
    <n v="0"/>
    <n v="0"/>
    <n v="0"/>
    <n v="0"/>
    <x v="1"/>
    <n v="0"/>
    <x v="0"/>
    <x v="1"/>
  </r>
  <r>
    <n v="500219"/>
    <n v="64206"/>
    <x v="1"/>
    <x v="7"/>
    <d v="2026-04-16T00:00:00"/>
    <s v="10:39"/>
    <x v="134"/>
    <x v="5"/>
    <n v="28"/>
    <x v="7"/>
    <n v="0"/>
    <n v="0"/>
    <n v="0"/>
    <n v="0"/>
    <n v="0"/>
    <x v="1"/>
    <n v="1"/>
    <x v="0"/>
    <x v="1"/>
  </r>
  <r>
    <n v="500220"/>
    <n v="94320"/>
    <x v="1"/>
    <x v="2"/>
    <d v="2026-03-02T00:00:00"/>
    <s v="19:12"/>
    <x v="135"/>
    <x v="0"/>
    <n v="39"/>
    <x v="5"/>
    <n v="1"/>
    <n v="0"/>
    <n v="0"/>
    <n v="0"/>
    <n v="0"/>
    <x v="1"/>
    <n v="0"/>
    <x v="0"/>
    <x v="1"/>
  </r>
  <r>
    <n v="500221"/>
    <n v="39536"/>
    <x v="1"/>
    <x v="3"/>
    <d v="2025-12-08T00:00:00"/>
    <s v="02:21"/>
    <x v="24"/>
    <x v="4"/>
    <n v="84"/>
    <x v="3"/>
    <n v="0"/>
    <n v="0"/>
    <n v="0"/>
    <n v="0"/>
    <n v="0"/>
    <x v="1"/>
    <n v="1"/>
    <x v="0"/>
    <x v="2"/>
  </r>
  <r>
    <n v="500222"/>
    <n v="68954"/>
    <x v="1"/>
    <x v="5"/>
    <d v="2026-03-31T00:00:00"/>
    <s v="16:57"/>
    <x v="3"/>
    <x v="1"/>
    <n v="0"/>
    <x v="8"/>
    <n v="0"/>
    <n v="0"/>
    <n v="0"/>
    <n v="0"/>
    <n v="0"/>
    <x v="1"/>
    <n v="1"/>
    <x v="0"/>
    <x v="3"/>
  </r>
  <r>
    <n v="500223"/>
    <n v="98299"/>
    <x v="0"/>
    <x v="5"/>
    <d v="2026-02-15T00:00:00"/>
    <s v="19:07"/>
    <x v="136"/>
    <x v="2"/>
    <n v="51"/>
    <x v="1"/>
    <n v="0"/>
    <n v="0"/>
    <n v="0"/>
    <n v="0"/>
    <n v="0"/>
    <x v="1"/>
    <n v="1"/>
    <x v="0"/>
    <x v="0"/>
  </r>
  <r>
    <n v="500224"/>
    <n v="25376"/>
    <x v="1"/>
    <x v="1"/>
    <d v="2025-11-30T00:00:00"/>
    <s v="01:09"/>
    <x v="24"/>
    <x v="4"/>
    <n v="5"/>
    <x v="9"/>
    <n v="0"/>
    <n v="0"/>
    <n v="0"/>
    <n v="0"/>
    <n v="0"/>
    <x v="1"/>
    <n v="1"/>
    <x v="0"/>
    <x v="3"/>
  </r>
  <r>
    <n v="500225"/>
    <n v="52154"/>
    <x v="1"/>
    <x v="4"/>
    <d v="2026-01-23T00:00:00"/>
    <s v="19:19"/>
    <x v="137"/>
    <x v="3"/>
    <n v="28"/>
    <x v="3"/>
    <n v="1"/>
    <n v="0"/>
    <n v="0"/>
    <n v="0"/>
    <n v="0"/>
    <x v="1"/>
    <n v="0"/>
    <x v="0"/>
    <x v="1"/>
  </r>
  <r>
    <n v="500226"/>
    <n v="71537"/>
    <x v="1"/>
    <x v="1"/>
    <d v="2026-03-15T00:00:00"/>
    <s v="02:05"/>
    <x v="136"/>
    <x v="2"/>
    <n v="59"/>
    <x v="4"/>
    <n v="1"/>
    <n v="0"/>
    <n v="0"/>
    <n v="0"/>
    <n v="0"/>
    <x v="1"/>
    <n v="0"/>
    <x v="0"/>
    <x v="0"/>
  </r>
  <r>
    <n v="500227"/>
    <n v="64732"/>
    <x v="1"/>
    <x v="3"/>
    <d v="2026-05-15T00:00:00"/>
    <s v="20:01"/>
    <x v="138"/>
    <x v="1"/>
    <n v="39"/>
    <x v="1"/>
    <n v="1"/>
    <n v="0"/>
    <n v="0"/>
    <n v="0"/>
    <n v="0"/>
    <x v="1"/>
    <n v="1"/>
    <x v="0"/>
    <x v="1"/>
  </r>
  <r>
    <n v="500228"/>
    <n v="99764"/>
    <x v="1"/>
    <x v="7"/>
    <d v="2026-02-19T00:00:00"/>
    <s v="05:46"/>
    <x v="71"/>
    <x v="6"/>
    <n v="16"/>
    <x v="3"/>
    <n v="0"/>
    <n v="0"/>
    <n v="0"/>
    <n v="0"/>
    <n v="0"/>
    <x v="1"/>
    <n v="1"/>
    <x v="0"/>
    <x v="3"/>
  </r>
  <r>
    <n v="500229"/>
    <n v="32050"/>
    <x v="1"/>
    <x v="3"/>
    <d v="2025-12-05T00:00:00"/>
    <s v="11:04"/>
    <x v="80"/>
    <x v="0"/>
    <n v="23"/>
    <x v="2"/>
    <n v="1"/>
    <n v="0"/>
    <n v="0"/>
    <n v="0"/>
    <n v="0"/>
    <x v="1"/>
    <n v="0"/>
    <x v="0"/>
    <x v="1"/>
  </r>
  <r>
    <n v="500230"/>
    <n v="78674"/>
    <x v="0"/>
    <x v="5"/>
    <d v="2025-12-01T00:00:00"/>
    <s v="10:48"/>
    <x v="114"/>
    <x v="0"/>
    <n v="51"/>
    <x v="7"/>
    <n v="0"/>
    <n v="0"/>
    <n v="0"/>
    <n v="0"/>
    <n v="0"/>
    <x v="1"/>
    <n v="1"/>
    <x v="0"/>
    <x v="0"/>
  </r>
  <r>
    <n v="500231"/>
    <n v="58916"/>
    <x v="0"/>
    <x v="6"/>
    <d v="2026-03-04T00:00:00"/>
    <s v="22:26"/>
    <x v="85"/>
    <x v="3"/>
    <n v="23"/>
    <x v="3"/>
    <n v="0"/>
    <n v="0"/>
    <n v="0"/>
    <n v="1"/>
    <n v="0"/>
    <x v="1"/>
    <n v="1"/>
    <x v="0"/>
    <x v="1"/>
  </r>
  <r>
    <n v="500232"/>
    <n v="46010"/>
    <x v="1"/>
    <x v="0"/>
    <d v="2026-02-14T00:00:00"/>
    <s v="01:01"/>
    <x v="115"/>
    <x v="5"/>
    <n v="42"/>
    <x v="8"/>
    <n v="1"/>
    <n v="0"/>
    <n v="0"/>
    <n v="0"/>
    <n v="0"/>
    <x v="1"/>
    <n v="1"/>
    <x v="1"/>
    <x v="0"/>
  </r>
  <r>
    <n v="500233"/>
    <n v="35156"/>
    <x v="1"/>
    <x v="2"/>
    <d v="2026-04-13T00:00:00"/>
    <s v="12:57"/>
    <x v="10"/>
    <x v="4"/>
    <n v="38"/>
    <x v="0"/>
    <n v="1"/>
    <n v="0"/>
    <n v="0"/>
    <n v="1"/>
    <n v="0"/>
    <x v="1"/>
    <n v="1"/>
    <x v="1"/>
    <x v="1"/>
  </r>
  <r>
    <n v="500234"/>
    <n v="39603"/>
    <x v="1"/>
    <x v="5"/>
    <d v="2025-12-07T00:00:00"/>
    <s v="00:50"/>
    <x v="24"/>
    <x v="4"/>
    <n v="24"/>
    <x v="7"/>
    <n v="0"/>
    <n v="0"/>
    <n v="0"/>
    <n v="0"/>
    <n v="0"/>
    <x v="1"/>
    <n v="1"/>
    <x v="0"/>
    <x v="1"/>
  </r>
  <r>
    <n v="500235"/>
    <n v="32463"/>
    <x v="0"/>
    <x v="6"/>
    <d v="2026-04-05T00:00:00"/>
    <s v="05:20"/>
    <x v="68"/>
    <x v="5"/>
    <n v="80"/>
    <x v="5"/>
    <n v="1"/>
    <n v="0"/>
    <n v="0"/>
    <n v="0"/>
    <n v="0"/>
    <x v="1"/>
    <n v="1"/>
    <x v="0"/>
    <x v="2"/>
  </r>
  <r>
    <n v="500236"/>
    <n v="84289"/>
    <x v="1"/>
    <x v="7"/>
    <d v="2025-12-26T00:00:00"/>
    <s v="18:56"/>
    <x v="70"/>
    <x v="1"/>
    <n v="50"/>
    <x v="7"/>
    <n v="0"/>
    <n v="0"/>
    <n v="0"/>
    <n v="0"/>
    <n v="0"/>
    <x v="1"/>
    <n v="1"/>
    <x v="0"/>
    <x v="0"/>
  </r>
  <r>
    <n v="500237"/>
    <n v="12052"/>
    <x v="0"/>
    <x v="3"/>
    <d v="2026-03-17T00:00:00"/>
    <s v="17:44"/>
    <x v="43"/>
    <x v="3"/>
    <n v="0"/>
    <x v="5"/>
    <n v="0"/>
    <n v="0"/>
    <n v="0"/>
    <n v="0"/>
    <n v="0"/>
    <x v="1"/>
    <n v="1"/>
    <x v="0"/>
    <x v="3"/>
  </r>
  <r>
    <n v="500238"/>
    <n v="84277"/>
    <x v="1"/>
    <x v="2"/>
    <d v="2026-03-23T00:00:00"/>
    <s v="00:55"/>
    <x v="49"/>
    <x v="3"/>
    <n v="41"/>
    <x v="5"/>
    <n v="0"/>
    <n v="0"/>
    <n v="0"/>
    <n v="0"/>
    <n v="0"/>
    <x v="1"/>
    <n v="0"/>
    <x v="0"/>
    <x v="0"/>
  </r>
  <r>
    <n v="500239"/>
    <n v="22803"/>
    <x v="1"/>
    <x v="1"/>
    <d v="2026-04-13T00:00:00"/>
    <s v="06:20"/>
    <x v="29"/>
    <x v="3"/>
    <n v="24"/>
    <x v="6"/>
    <n v="1"/>
    <n v="0"/>
    <n v="0"/>
    <n v="0"/>
    <n v="0"/>
    <x v="1"/>
    <n v="1"/>
    <x v="0"/>
    <x v="1"/>
  </r>
  <r>
    <n v="500240"/>
    <n v="52778"/>
    <x v="0"/>
    <x v="7"/>
    <d v="2026-04-15T00:00:00"/>
    <s v="12:07"/>
    <x v="139"/>
    <x v="0"/>
    <n v="55"/>
    <x v="3"/>
    <n v="1"/>
    <n v="1"/>
    <n v="0"/>
    <n v="0"/>
    <n v="0"/>
    <x v="0"/>
    <n v="1"/>
    <x v="0"/>
    <x v="0"/>
  </r>
  <r>
    <n v="500241"/>
    <n v="91083"/>
    <x v="1"/>
    <x v="1"/>
    <d v="2025-12-20T00:00:00"/>
    <s v="16:01"/>
    <x v="140"/>
    <x v="2"/>
    <n v="22"/>
    <x v="6"/>
    <n v="0"/>
    <n v="0"/>
    <n v="0"/>
    <n v="0"/>
    <n v="0"/>
    <x v="1"/>
    <n v="0"/>
    <x v="1"/>
    <x v="1"/>
  </r>
  <r>
    <n v="500242"/>
    <n v="61068"/>
    <x v="1"/>
    <x v="2"/>
    <d v="2026-02-13T00:00:00"/>
    <s v="19:05"/>
    <x v="115"/>
    <x v="5"/>
    <n v="35"/>
    <x v="6"/>
    <n v="0"/>
    <n v="0"/>
    <n v="0"/>
    <n v="1"/>
    <n v="0"/>
    <x v="1"/>
    <n v="1"/>
    <x v="0"/>
    <x v="1"/>
  </r>
  <r>
    <n v="500243"/>
    <n v="27367"/>
    <x v="0"/>
    <x v="3"/>
    <d v="2026-01-21T00:00:00"/>
    <s v="21:24"/>
    <x v="141"/>
    <x v="0"/>
    <n v="48"/>
    <x v="5"/>
    <n v="1"/>
    <n v="0"/>
    <n v="0"/>
    <n v="0"/>
    <n v="0"/>
    <x v="1"/>
    <n v="1"/>
    <x v="0"/>
    <x v="0"/>
  </r>
  <r>
    <n v="500244"/>
    <n v="52523"/>
    <x v="1"/>
    <x v="0"/>
    <d v="2026-03-18T00:00:00"/>
    <s v="02:15"/>
    <x v="45"/>
    <x v="2"/>
    <n v="55"/>
    <x v="0"/>
    <n v="1"/>
    <n v="0"/>
    <n v="1"/>
    <n v="0"/>
    <n v="0"/>
    <x v="0"/>
    <n v="0"/>
    <x v="0"/>
    <x v="0"/>
  </r>
  <r>
    <n v="500245"/>
    <n v="32227"/>
    <x v="1"/>
    <x v="3"/>
    <d v="2026-01-23T00:00:00"/>
    <s v="10:23"/>
    <x v="106"/>
    <x v="5"/>
    <n v="13"/>
    <x v="2"/>
    <n v="0"/>
    <n v="0"/>
    <n v="0"/>
    <n v="0"/>
    <n v="0"/>
    <x v="1"/>
    <n v="1"/>
    <x v="1"/>
    <x v="3"/>
  </r>
  <r>
    <n v="500246"/>
    <n v="31916"/>
    <x v="1"/>
    <x v="7"/>
    <d v="2026-04-07T00:00:00"/>
    <s v="17:44"/>
    <x v="45"/>
    <x v="2"/>
    <n v="31"/>
    <x v="5"/>
    <n v="1"/>
    <n v="0"/>
    <n v="0"/>
    <n v="0"/>
    <n v="0"/>
    <x v="1"/>
    <n v="1"/>
    <x v="0"/>
    <x v="1"/>
  </r>
  <r>
    <n v="500247"/>
    <n v="91924"/>
    <x v="1"/>
    <x v="1"/>
    <d v="2026-01-21T00:00:00"/>
    <s v="16:20"/>
    <x v="35"/>
    <x v="4"/>
    <n v="28"/>
    <x v="3"/>
    <n v="0"/>
    <n v="0"/>
    <n v="0"/>
    <n v="0"/>
    <n v="0"/>
    <x v="1"/>
    <n v="1"/>
    <x v="0"/>
    <x v="1"/>
  </r>
  <r>
    <n v="500248"/>
    <n v="59792"/>
    <x v="1"/>
    <x v="6"/>
    <d v="2026-04-22T00:00:00"/>
    <s v="11:09"/>
    <x v="133"/>
    <x v="0"/>
    <n v="24"/>
    <x v="4"/>
    <n v="1"/>
    <n v="0"/>
    <n v="0"/>
    <n v="0"/>
    <n v="0"/>
    <x v="1"/>
    <n v="0"/>
    <x v="1"/>
    <x v="1"/>
  </r>
  <r>
    <n v="500249"/>
    <n v="52030"/>
    <x v="0"/>
    <x v="6"/>
    <d v="2025-12-22T00:00:00"/>
    <s v="08:47"/>
    <x v="73"/>
    <x v="6"/>
    <n v="73"/>
    <x v="4"/>
    <n v="0"/>
    <n v="0"/>
    <n v="0"/>
    <n v="0"/>
    <n v="0"/>
    <x v="1"/>
    <n v="1"/>
    <x v="0"/>
    <x v="2"/>
  </r>
  <r>
    <n v="500250"/>
    <n v="59290"/>
    <x v="1"/>
    <x v="4"/>
    <d v="2026-04-25T00:00:00"/>
    <s v="21:31"/>
    <x v="79"/>
    <x v="5"/>
    <n v="46"/>
    <x v="4"/>
    <n v="0"/>
    <n v="0"/>
    <n v="1"/>
    <n v="0"/>
    <n v="0"/>
    <x v="0"/>
    <n v="0"/>
    <x v="1"/>
    <x v="0"/>
  </r>
  <r>
    <n v="500251"/>
    <n v="70505"/>
    <x v="0"/>
    <x v="6"/>
    <d v="2026-05-16T00:00:00"/>
    <s v="17:25"/>
    <x v="142"/>
    <x v="5"/>
    <n v="12"/>
    <x v="0"/>
    <n v="0"/>
    <n v="0"/>
    <n v="0"/>
    <n v="0"/>
    <n v="0"/>
    <x v="1"/>
    <n v="1"/>
    <x v="0"/>
    <x v="3"/>
  </r>
  <r>
    <n v="500252"/>
    <n v="63627"/>
    <x v="1"/>
    <x v="3"/>
    <d v="2026-03-03T00:00:00"/>
    <s v="09:00"/>
    <x v="12"/>
    <x v="5"/>
    <n v="56"/>
    <x v="0"/>
    <n v="0"/>
    <n v="1"/>
    <n v="1"/>
    <n v="0"/>
    <n v="0"/>
    <x v="0"/>
    <n v="1"/>
    <x v="0"/>
    <x v="0"/>
  </r>
  <r>
    <n v="500253"/>
    <n v="80040"/>
    <x v="1"/>
    <x v="0"/>
    <d v="2026-03-11T00:00:00"/>
    <s v="20:54"/>
    <x v="143"/>
    <x v="4"/>
    <n v="80"/>
    <x v="4"/>
    <n v="0"/>
    <n v="1"/>
    <n v="0"/>
    <n v="0"/>
    <n v="0"/>
    <x v="0"/>
    <n v="1"/>
    <x v="0"/>
    <x v="2"/>
  </r>
  <r>
    <n v="500254"/>
    <n v="94769"/>
    <x v="1"/>
    <x v="2"/>
    <d v="2025-12-31T00:00:00"/>
    <s v="09:19"/>
    <x v="123"/>
    <x v="4"/>
    <n v="58"/>
    <x v="5"/>
    <n v="0"/>
    <n v="1"/>
    <n v="0"/>
    <n v="0"/>
    <n v="0"/>
    <x v="0"/>
    <n v="1"/>
    <x v="0"/>
    <x v="0"/>
  </r>
  <r>
    <n v="500255"/>
    <n v="61266"/>
    <x v="1"/>
    <x v="3"/>
    <d v="2026-04-27T00:00:00"/>
    <s v="11:40"/>
    <x v="144"/>
    <x v="4"/>
    <n v="7"/>
    <x v="4"/>
    <n v="0"/>
    <n v="0"/>
    <n v="0"/>
    <n v="0"/>
    <n v="0"/>
    <x v="1"/>
    <n v="1"/>
    <x v="1"/>
    <x v="3"/>
  </r>
  <r>
    <n v="500256"/>
    <n v="21253"/>
    <x v="0"/>
    <x v="3"/>
    <d v="2026-05-08T00:00:00"/>
    <s v="06:21"/>
    <x v="14"/>
    <x v="6"/>
    <n v="28"/>
    <x v="4"/>
    <n v="1"/>
    <n v="0"/>
    <n v="0"/>
    <n v="0"/>
    <n v="0"/>
    <x v="1"/>
    <n v="1"/>
    <x v="1"/>
    <x v="1"/>
  </r>
  <r>
    <n v="500257"/>
    <n v="22795"/>
    <x v="1"/>
    <x v="6"/>
    <d v="2026-03-16T00:00:00"/>
    <s v="05:31"/>
    <x v="49"/>
    <x v="3"/>
    <n v="63"/>
    <x v="4"/>
    <n v="0"/>
    <n v="1"/>
    <n v="0"/>
    <n v="0"/>
    <n v="0"/>
    <x v="0"/>
    <n v="1"/>
    <x v="0"/>
    <x v="2"/>
  </r>
  <r>
    <n v="500258"/>
    <n v="41970"/>
    <x v="0"/>
    <x v="3"/>
    <d v="2026-02-21T00:00:00"/>
    <s v="22:44"/>
    <x v="92"/>
    <x v="3"/>
    <n v="23"/>
    <x v="4"/>
    <n v="1"/>
    <n v="0"/>
    <n v="0"/>
    <n v="0"/>
    <n v="0"/>
    <x v="1"/>
    <n v="1"/>
    <x v="1"/>
    <x v="1"/>
  </r>
  <r>
    <n v="500259"/>
    <n v="93948"/>
    <x v="1"/>
    <x v="4"/>
    <d v="2026-04-20T00:00:00"/>
    <s v="12:43"/>
    <x v="145"/>
    <x v="4"/>
    <n v="46"/>
    <x v="7"/>
    <n v="0"/>
    <n v="0"/>
    <n v="0"/>
    <n v="1"/>
    <n v="0"/>
    <x v="1"/>
    <n v="1"/>
    <x v="0"/>
    <x v="0"/>
  </r>
  <r>
    <n v="500260"/>
    <n v="18200"/>
    <x v="0"/>
    <x v="3"/>
    <d v="2026-04-11T00:00:00"/>
    <s v="15:15"/>
    <x v="139"/>
    <x v="0"/>
    <n v="53"/>
    <x v="4"/>
    <n v="1"/>
    <n v="1"/>
    <n v="1"/>
    <n v="0"/>
    <n v="0"/>
    <x v="0"/>
    <n v="0"/>
    <x v="1"/>
    <x v="0"/>
  </r>
  <r>
    <n v="500261"/>
    <n v="60939"/>
    <x v="1"/>
    <x v="5"/>
    <d v="2026-02-16T00:00:00"/>
    <s v="18:07"/>
    <x v="131"/>
    <x v="2"/>
    <n v="19"/>
    <x v="4"/>
    <n v="1"/>
    <n v="0"/>
    <n v="0"/>
    <n v="0"/>
    <n v="0"/>
    <x v="1"/>
    <n v="1"/>
    <x v="0"/>
    <x v="1"/>
  </r>
  <r>
    <n v="500262"/>
    <n v="48986"/>
    <x v="0"/>
    <x v="3"/>
    <d v="2026-01-17T00:00:00"/>
    <s v="16:39"/>
    <x v="117"/>
    <x v="5"/>
    <n v="36"/>
    <x v="4"/>
    <n v="0"/>
    <n v="0"/>
    <n v="0"/>
    <n v="0"/>
    <n v="0"/>
    <x v="1"/>
    <n v="1"/>
    <x v="1"/>
    <x v="1"/>
  </r>
  <r>
    <n v="500263"/>
    <n v="60916"/>
    <x v="1"/>
    <x v="3"/>
    <d v="2025-11-29T00:00:00"/>
    <s v="15:39"/>
    <x v="23"/>
    <x v="2"/>
    <n v="0"/>
    <x v="9"/>
    <n v="0"/>
    <n v="0"/>
    <n v="0"/>
    <n v="0"/>
    <n v="0"/>
    <x v="1"/>
    <n v="1"/>
    <x v="0"/>
    <x v="3"/>
  </r>
  <r>
    <n v="500264"/>
    <n v="94575"/>
    <x v="0"/>
    <x v="3"/>
    <d v="2026-01-29T00:00:00"/>
    <s v="12:31"/>
    <x v="146"/>
    <x v="6"/>
    <n v="17"/>
    <x v="3"/>
    <n v="0"/>
    <n v="0"/>
    <n v="0"/>
    <n v="0"/>
    <n v="0"/>
    <x v="1"/>
    <n v="1"/>
    <x v="0"/>
    <x v="3"/>
  </r>
  <r>
    <n v="500265"/>
    <n v="91187"/>
    <x v="0"/>
    <x v="2"/>
    <d v="2025-12-18T00:00:00"/>
    <s v="21:15"/>
    <x v="70"/>
    <x v="1"/>
    <n v="32"/>
    <x v="7"/>
    <n v="1"/>
    <n v="0"/>
    <n v="0"/>
    <n v="0"/>
    <n v="0"/>
    <x v="1"/>
    <n v="0"/>
    <x v="0"/>
    <x v="1"/>
  </r>
  <r>
    <n v="500266"/>
    <n v="74876"/>
    <x v="1"/>
    <x v="6"/>
    <d v="2026-02-07T00:00:00"/>
    <s v="19:03"/>
    <x v="2"/>
    <x v="2"/>
    <n v="13"/>
    <x v="5"/>
    <n v="0"/>
    <n v="0"/>
    <n v="0"/>
    <n v="0"/>
    <n v="0"/>
    <x v="1"/>
    <n v="1"/>
    <x v="1"/>
    <x v="3"/>
  </r>
  <r>
    <n v="500267"/>
    <n v="84107"/>
    <x v="0"/>
    <x v="1"/>
    <d v="2026-05-20T00:00:00"/>
    <s v="03:00"/>
    <x v="34"/>
    <x v="6"/>
    <n v="70"/>
    <x v="0"/>
    <n v="0"/>
    <n v="1"/>
    <n v="0"/>
    <n v="0"/>
    <n v="0"/>
    <x v="0"/>
    <n v="0"/>
    <x v="0"/>
    <x v="2"/>
  </r>
  <r>
    <n v="500268"/>
    <n v="24838"/>
    <x v="0"/>
    <x v="7"/>
    <d v="2026-05-01T00:00:00"/>
    <s v="17:28"/>
    <x v="55"/>
    <x v="6"/>
    <n v="9"/>
    <x v="8"/>
    <n v="0"/>
    <n v="0"/>
    <n v="0"/>
    <n v="0"/>
    <n v="0"/>
    <x v="1"/>
    <n v="1"/>
    <x v="0"/>
    <x v="3"/>
  </r>
  <r>
    <n v="500269"/>
    <n v="15453"/>
    <x v="1"/>
    <x v="1"/>
    <d v="2026-04-07T00:00:00"/>
    <s v="18:33"/>
    <x v="147"/>
    <x v="2"/>
    <n v="29"/>
    <x v="5"/>
    <n v="0"/>
    <n v="0"/>
    <n v="0"/>
    <n v="0"/>
    <n v="0"/>
    <x v="1"/>
    <n v="1"/>
    <x v="0"/>
    <x v="1"/>
  </r>
  <r>
    <n v="500270"/>
    <n v="14224"/>
    <x v="1"/>
    <x v="7"/>
    <d v="2026-01-16T00:00:00"/>
    <s v="15:28"/>
    <x v="115"/>
    <x v="5"/>
    <n v="40"/>
    <x v="4"/>
    <n v="0"/>
    <n v="0"/>
    <n v="0"/>
    <n v="0"/>
    <n v="0"/>
    <x v="1"/>
    <n v="0"/>
    <x v="1"/>
    <x v="1"/>
  </r>
  <r>
    <n v="500271"/>
    <n v="87060"/>
    <x v="1"/>
    <x v="4"/>
    <d v="2026-02-11T00:00:00"/>
    <s v="19:17"/>
    <x v="56"/>
    <x v="3"/>
    <n v="66"/>
    <x v="2"/>
    <n v="0"/>
    <n v="0"/>
    <n v="0"/>
    <n v="0"/>
    <n v="0"/>
    <x v="1"/>
    <n v="1"/>
    <x v="0"/>
    <x v="2"/>
  </r>
  <r>
    <n v="500272"/>
    <n v="48356"/>
    <x v="1"/>
    <x v="7"/>
    <d v="2025-12-30T00:00:00"/>
    <s v="08:30"/>
    <x v="96"/>
    <x v="0"/>
    <n v="9"/>
    <x v="8"/>
    <n v="0"/>
    <n v="0"/>
    <n v="0"/>
    <n v="0"/>
    <n v="0"/>
    <x v="1"/>
    <n v="1"/>
    <x v="1"/>
    <x v="3"/>
  </r>
  <r>
    <n v="500273"/>
    <n v="63948"/>
    <x v="0"/>
    <x v="7"/>
    <d v="2025-12-20T00:00:00"/>
    <s v="19:21"/>
    <x v="148"/>
    <x v="2"/>
    <n v="61"/>
    <x v="2"/>
    <n v="0"/>
    <n v="1"/>
    <n v="0"/>
    <n v="0"/>
    <n v="0"/>
    <x v="0"/>
    <n v="1"/>
    <x v="0"/>
    <x v="2"/>
  </r>
  <r>
    <n v="500274"/>
    <n v="45221"/>
    <x v="1"/>
    <x v="4"/>
    <d v="2025-12-28T00:00:00"/>
    <s v="15:52"/>
    <x v="94"/>
    <x v="6"/>
    <n v="38"/>
    <x v="3"/>
    <n v="0"/>
    <n v="0"/>
    <n v="0"/>
    <n v="0"/>
    <n v="0"/>
    <x v="1"/>
    <n v="1"/>
    <x v="0"/>
    <x v="1"/>
  </r>
  <r>
    <n v="500275"/>
    <n v="46467"/>
    <x v="1"/>
    <x v="6"/>
    <d v="2026-02-02T00:00:00"/>
    <s v="01:28"/>
    <x v="20"/>
    <x v="0"/>
    <n v="18"/>
    <x v="3"/>
    <n v="0"/>
    <n v="0"/>
    <n v="0"/>
    <n v="0"/>
    <n v="0"/>
    <x v="1"/>
    <n v="1"/>
    <x v="0"/>
    <x v="3"/>
  </r>
  <r>
    <n v="500276"/>
    <n v="22208"/>
    <x v="1"/>
    <x v="2"/>
    <d v="2026-05-01T00:00:00"/>
    <s v="19:47"/>
    <x v="18"/>
    <x v="5"/>
    <n v="47"/>
    <x v="6"/>
    <n v="1"/>
    <n v="1"/>
    <n v="0"/>
    <n v="0"/>
    <n v="0"/>
    <x v="0"/>
    <n v="0"/>
    <x v="0"/>
    <x v="0"/>
  </r>
  <r>
    <n v="500277"/>
    <n v="85750"/>
    <x v="0"/>
    <x v="6"/>
    <d v="2026-04-24T00:00:00"/>
    <s v="14:09"/>
    <x v="76"/>
    <x v="6"/>
    <n v="41"/>
    <x v="4"/>
    <n v="0"/>
    <n v="0"/>
    <n v="1"/>
    <n v="0"/>
    <n v="0"/>
    <x v="0"/>
    <n v="1"/>
    <x v="0"/>
    <x v="0"/>
  </r>
  <r>
    <n v="500278"/>
    <n v="30707"/>
    <x v="1"/>
    <x v="6"/>
    <d v="2026-01-18T00:00:00"/>
    <s v="07:21"/>
    <x v="81"/>
    <x v="4"/>
    <n v="25"/>
    <x v="7"/>
    <n v="1"/>
    <n v="0"/>
    <n v="0"/>
    <n v="0"/>
    <n v="0"/>
    <x v="1"/>
    <n v="1"/>
    <x v="0"/>
    <x v="1"/>
  </r>
  <r>
    <n v="500279"/>
    <n v="30837"/>
    <x v="1"/>
    <x v="5"/>
    <d v="2026-02-01T00:00:00"/>
    <s v="02:32"/>
    <x v="40"/>
    <x v="4"/>
    <n v="39"/>
    <x v="4"/>
    <n v="1"/>
    <n v="0"/>
    <n v="0"/>
    <n v="0"/>
    <n v="0"/>
    <x v="1"/>
    <n v="1"/>
    <x v="1"/>
    <x v="1"/>
  </r>
  <r>
    <n v="500280"/>
    <n v="91999"/>
    <x v="1"/>
    <x v="1"/>
    <d v="2026-04-16T00:00:00"/>
    <s v="14:14"/>
    <x v="139"/>
    <x v="0"/>
    <n v="30"/>
    <x v="5"/>
    <n v="0"/>
    <n v="0"/>
    <n v="0"/>
    <n v="0"/>
    <n v="0"/>
    <x v="1"/>
    <n v="1"/>
    <x v="0"/>
    <x v="1"/>
  </r>
  <r>
    <n v="500281"/>
    <n v="39647"/>
    <x v="1"/>
    <x v="0"/>
    <d v="2025-12-13T00:00:00"/>
    <s v="05:27"/>
    <x v="51"/>
    <x v="3"/>
    <n v="40"/>
    <x v="7"/>
    <n v="1"/>
    <n v="0"/>
    <n v="0"/>
    <n v="0"/>
    <n v="0"/>
    <x v="1"/>
    <n v="1"/>
    <x v="1"/>
    <x v="1"/>
  </r>
  <r>
    <n v="500282"/>
    <n v="19283"/>
    <x v="0"/>
    <x v="4"/>
    <d v="2026-04-09T00:00:00"/>
    <s v="01:29"/>
    <x v="90"/>
    <x v="5"/>
    <n v="51"/>
    <x v="6"/>
    <n v="0"/>
    <n v="1"/>
    <n v="0"/>
    <n v="0"/>
    <n v="0"/>
    <x v="0"/>
    <n v="0"/>
    <x v="0"/>
    <x v="0"/>
  </r>
  <r>
    <n v="500283"/>
    <n v="94092"/>
    <x v="0"/>
    <x v="5"/>
    <d v="2026-04-09T00:00:00"/>
    <s v="04:49"/>
    <x v="134"/>
    <x v="5"/>
    <n v="69"/>
    <x v="8"/>
    <n v="0"/>
    <n v="0"/>
    <n v="1"/>
    <n v="0"/>
    <n v="0"/>
    <x v="0"/>
    <n v="0"/>
    <x v="0"/>
    <x v="2"/>
  </r>
  <r>
    <n v="500284"/>
    <n v="67984"/>
    <x v="0"/>
    <x v="5"/>
    <d v="2026-02-25T00:00:00"/>
    <s v="01:06"/>
    <x v="149"/>
    <x v="0"/>
    <n v="13"/>
    <x v="6"/>
    <n v="0"/>
    <n v="0"/>
    <n v="0"/>
    <n v="0"/>
    <n v="0"/>
    <x v="1"/>
    <n v="1"/>
    <x v="0"/>
    <x v="3"/>
  </r>
  <r>
    <n v="500285"/>
    <n v="56076"/>
    <x v="1"/>
    <x v="2"/>
    <d v="2026-01-13T00:00:00"/>
    <s v="22:58"/>
    <x v="150"/>
    <x v="2"/>
    <n v="80"/>
    <x v="2"/>
    <n v="0"/>
    <n v="1"/>
    <n v="1"/>
    <n v="0"/>
    <n v="0"/>
    <x v="0"/>
    <n v="0"/>
    <x v="0"/>
    <x v="2"/>
  </r>
  <r>
    <n v="500286"/>
    <n v="96298"/>
    <x v="1"/>
    <x v="1"/>
    <d v="2026-02-18T00:00:00"/>
    <s v="00:12"/>
    <x v="151"/>
    <x v="4"/>
    <n v="0"/>
    <x v="8"/>
    <n v="0"/>
    <n v="0"/>
    <n v="0"/>
    <n v="0"/>
    <n v="0"/>
    <x v="1"/>
    <n v="1"/>
    <x v="0"/>
    <x v="3"/>
  </r>
  <r>
    <n v="500287"/>
    <n v="94694"/>
    <x v="0"/>
    <x v="1"/>
    <d v="2025-12-10T00:00:00"/>
    <s v="10:53"/>
    <x v="122"/>
    <x v="3"/>
    <n v="34"/>
    <x v="3"/>
    <n v="1"/>
    <n v="0"/>
    <n v="0"/>
    <n v="0"/>
    <n v="0"/>
    <x v="1"/>
    <n v="1"/>
    <x v="0"/>
    <x v="1"/>
  </r>
  <r>
    <n v="500288"/>
    <n v="11581"/>
    <x v="1"/>
    <x v="2"/>
    <d v="2025-12-07T00:00:00"/>
    <s v="01:44"/>
    <x v="152"/>
    <x v="4"/>
    <n v="49"/>
    <x v="2"/>
    <n v="1"/>
    <n v="0"/>
    <n v="0"/>
    <n v="0"/>
    <n v="0"/>
    <x v="1"/>
    <n v="0"/>
    <x v="0"/>
    <x v="0"/>
  </r>
  <r>
    <n v="500289"/>
    <n v="19567"/>
    <x v="0"/>
    <x v="5"/>
    <d v="2025-12-10T00:00:00"/>
    <s v="13:20"/>
    <x v="109"/>
    <x v="1"/>
    <n v="43"/>
    <x v="7"/>
    <n v="1"/>
    <n v="0"/>
    <n v="1"/>
    <n v="0"/>
    <n v="0"/>
    <x v="0"/>
    <n v="1"/>
    <x v="0"/>
    <x v="0"/>
  </r>
  <r>
    <n v="500290"/>
    <n v="75673"/>
    <x v="1"/>
    <x v="4"/>
    <d v="2026-05-20T00:00:00"/>
    <s v="06:58"/>
    <x v="103"/>
    <x v="3"/>
    <n v="25"/>
    <x v="5"/>
    <n v="0"/>
    <n v="0"/>
    <n v="0"/>
    <n v="0"/>
    <n v="0"/>
    <x v="1"/>
    <n v="1"/>
    <x v="1"/>
    <x v="1"/>
  </r>
  <r>
    <n v="500291"/>
    <n v="20357"/>
    <x v="0"/>
    <x v="3"/>
    <d v="2026-03-23T00:00:00"/>
    <s v="13:57"/>
    <x v="153"/>
    <x v="3"/>
    <n v="33"/>
    <x v="8"/>
    <n v="1"/>
    <n v="0"/>
    <n v="0"/>
    <n v="0"/>
    <n v="0"/>
    <x v="1"/>
    <n v="0"/>
    <x v="0"/>
    <x v="1"/>
  </r>
  <r>
    <n v="500292"/>
    <n v="18665"/>
    <x v="1"/>
    <x v="4"/>
    <d v="2026-01-22T00:00:00"/>
    <s v="17:15"/>
    <x v="40"/>
    <x v="4"/>
    <n v="28"/>
    <x v="1"/>
    <n v="0"/>
    <n v="0"/>
    <n v="0"/>
    <n v="0"/>
    <n v="0"/>
    <x v="1"/>
    <n v="1"/>
    <x v="0"/>
    <x v="1"/>
  </r>
  <r>
    <n v="500293"/>
    <n v="17212"/>
    <x v="1"/>
    <x v="3"/>
    <d v="2026-01-29T00:00:00"/>
    <s v="01:13"/>
    <x v="154"/>
    <x v="5"/>
    <n v="26"/>
    <x v="6"/>
    <n v="0"/>
    <n v="0"/>
    <n v="0"/>
    <n v="0"/>
    <n v="0"/>
    <x v="1"/>
    <n v="1"/>
    <x v="0"/>
    <x v="1"/>
  </r>
  <r>
    <n v="500294"/>
    <n v="78551"/>
    <x v="1"/>
    <x v="3"/>
    <d v="2026-03-09T00:00:00"/>
    <s v="09:31"/>
    <x v="88"/>
    <x v="2"/>
    <n v="54"/>
    <x v="4"/>
    <n v="0"/>
    <n v="0"/>
    <n v="0"/>
    <n v="0"/>
    <n v="0"/>
    <x v="1"/>
    <n v="0"/>
    <x v="1"/>
    <x v="0"/>
  </r>
  <r>
    <n v="500295"/>
    <n v="66272"/>
    <x v="1"/>
    <x v="5"/>
    <d v="2026-04-01T00:00:00"/>
    <s v="23:01"/>
    <x v="97"/>
    <x v="4"/>
    <n v="45"/>
    <x v="0"/>
    <n v="0"/>
    <n v="0"/>
    <n v="0"/>
    <n v="0"/>
    <n v="0"/>
    <x v="1"/>
    <n v="0"/>
    <x v="1"/>
    <x v="0"/>
  </r>
  <r>
    <n v="500296"/>
    <n v="30618"/>
    <x v="1"/>
    <x v="5"/>
    <d v="2026-04-27T00:00:00"/>
    <s v="23:20"/>
    <x v="105"/>
    <x v="6"/>
    <n v="24"/>
    <x v="9"/>
    <n v="0"/>
    <n v="0"/>
    <n v="0"/>
    <n v="0"/>
    <n v="0"/>
    <x v="1"/>
    <n v="1"/>
    <x v="0"/>
    <x v="1"/>
  </r>
  <r>
    <n v="500297"/>
    <n v="42053"/>
    <x v="0"/>
    <x v="6"/>
    <d v="2026-05-02T00:00:00"/>
    <s v="21:08"/>
    <x v="105"/>
    <x v="6"/>
    <n v="55"/>
    <x v="4"/>
    <n v="1"/>
    <n v="0"/>
    <n v="1"/>
    <n v="0"/>
    <n v="0"/>
    <x v="0"/>
    <n v="0"/>
    <x v="0"/>
    <x v="0"/>
  </r>
  <r>
    <n v="500298"/>
    <n v="95944"/>
    <x v="1"/>
    <x v="1"/>
    <d v="2026-02-11T00:00:00"/>
    <s v="04:50"/>
    <x v="53"/>
    <x v="1"/>
    <n v="44"/>
    <x v="4"/>
    <n v="0"/>
    <n v="0"/>
    <n v="0"/>
    <n v="0"/>
    <n v="0"/>
    <x v="1"/>
    <n v="1"/>
    <x v="0"/>
    <x v="0"/>
  </r>
  <r>
    <n v="500299"/>
    <n v="75803"/>
    <x v="0"/>
    <x v="3"/>
    <d v="2025-11-23T00:00:00"/>
    <s v="10:20"/>
    <x v="155"/>
    <x v="2"/>
    <n v="54"/>
    <x v="1"/>
    <n v="0"/>
    <n v="0"/>
    <n v="1"/>
    <n v="0"/>
    <n v="0"/>
    <x v="0"/>
    <n v="0"/>
    <x v="0"/>
    <x v="0"/>
  </r>
  <r>
    <n v="500300"/>
    <n v="82494"/>
    <x v="1"/>
    <x v="0"/>
    <d v="2026-04-30T00:00:00"/>
    <s v="04:07"/>
    <x v="105"/>
    <x v="6"/>
    <n v="50"/>
    <x v="4"/>
    <n v="0"/>
    <n v="1"/>
    <n v="0"/>
    <n v="0"/>
    <n v="0"/>
    <x v="0"/>
    <n v="1"/>
    <x v="0"/>
    <x v="0"/>
  </r>
  <r>
    <n v="500301"/>
    <n v="35614"/>
    <x v="0"/>
    <x v="3"/>
    <d v="2025-12-23T00:00:00"/>
    <s v="17:20"/>
    <x v="156"/>
    <x v="5"/>
    <n v="21"/>
    <x v="7"/>
    <n v="1"/>
    <n v="0"/>
    <n v="0"/>
    <n v="1"/>
    <n v="0"/>
    <x v="1"/>
    <n v="1"/>
    <x v="0"/>
    <x v="1"/>
  </r>
  <r>
    <n v="500302"/>
    <n v="11257"/>
    <x v="1"/>
    <x v="0"/>
    <d v="2026-03-18T00:00:00"/>
    <s v="10:11"/>
    <x v="49"/>
    <x v="3"/>
    <n v="26"/>
    <x v="5"/>
    <n v="1"/>
    <n v="0"/>
    <n v="0"/>
    <n v="0"/>
    <n v="0"/>
    <x v="1"/>
    <n v="1"/>
    <x v="0"/>
    <x v="1"/>
  </r>
  <r>
    <n v="500303"/>
    <n v="17850"/>
    <x v="0"/>
    <x v="7"/>
    <d v="2026-03-13T00:00:00"/>
    <s v="15:22"/>
    <x v="49"/>
    <x v="3"/>
    <n v="52"/>
    <x v="6"/>
    <n v="0"/>
    <n v="0"/>
    <n v="0"/>
    <n v="0"/>
    <n v="0"/>
    <x v="1"/>
    <n v="1"/>
    <x v="0"/>
    <x v="0"/>
  </r>
  <r>
    <n v="500304"/>
    <n v="21128"/>
    <x v="0"/>
    <x v="3"/>
    <d v="2026-04-30T00:00:00"/>
    <s v="08:11"/>
    <x v="157"/>
    <x v="1"/>
    <n v="50"/>
    <x v="5"/>
    <n v="0"/>
    <n v="0"/>
    <n v="1"/>
    <n v="0"/>
    <n v="0"/>
    <x v="0"/>
    <n v="1"/>
    <x v="0"/>
    <x v="0"/>
  </r>
  <r>
    <n v="500305"/>
    <n v="61505"/>
    <x v="1"/>
    <x v="2"/>
    <d v="2025-12-11T00:00:00"/>
    <s v="16:03"/>
    <x v="158"/>
    <x v="4"/>
    <n v="37"/>
    <x v="3"/>
    <n v="1"/>
    <n v="0"/>
    <n v="0"/>
    <n v="0"/>
    <n v="0"/>
    <x v="1"/>
    <n v="1"/>
    <x v="0"/>
    <x v="1"/>
  </r>
  <r>
    <n v="500306"/>
    <n v="24283"/>
    <x v="0"/>
    <x v="5"/>
    <d v="2025-11-22T00:00:00"/>
    <s v="17:10"/>
    <x v="155"/>
    <x v="2"/>
    <n v="40"/>
    <x v="2"/>
    <n v="1"/>
    <n v="0"/>
    <n v="0"/>
    <n v="0"/>
    <n v="0"/>
    <x v="1"/>
    <n v="1"/>
    <x v="0"/>
    <x v="1"/>
  </r>
  <r>
    <n v="500307"/>
    <n v="37215"/>
    <x v="1"/>
    <x v="7"/>
    <d v="2026-03-25T00:00:00"/>
    <s v="07:58"/>
    <x v="77"/>
    <x v="6"/>
    <n v="63"/>
    <x v="3"/>
    <n v="1"/>
    <n v="0"/>
    <n v="1"/>
    <n v="0"/>
    <n v="0"/>
    <x v="0"/>
    <n v="1"/>
    <x v="0"/>
    <x v="2"/>
  </r>
  <r>
    <n v="500308"/>
    <n v="52964"/>
    <x v="0"/>
    <x v="5"/>
    <d v="2025-12-23T00:00:00"/>
    <s v="07:08"/>
    <x v="140"/>
    <x v="2"/>
    <n v="26"/>
    <x v="1"/>
    <n v="1"/>
    <n v="0"/>
    <n v="0"/>
    <n v="0"/>
    <n v="0"/>
    <x v="1"/>
    <n v="1"/>
    <x v="0"/>
    <x v="1"/>
  </r>
  <r>
    <n v="500309"/>
    <n v="32789"/>
    <x v="0"/>
    <x v="4"/>
    <d v="2025-11-23T00:00:00"/>
    <s v="04:34"/>
    <x v="159"/>
    <x v="3"/>
    <n v="48"/>
    <x v="3"/>
    <n v="0"/>
    <n v="1"/>
    <n v="1"/>
    <n v="0"/>
    <n v="0"/>
    <x v="0"/>
    <n v="1"/>
    <x v="0"/>
    <x v="0"/>
  </r>
  <r>
    <n v="500310"/>
    <n v="39135"/>
    <x v="0"/>
    <x v="1"/>
    <d v="2026-03-22T00:00:00"/>
    <s v="04:07"/>
    <x v="160"/>
    <x v="6"/>
    <n v="33"/>
    <x v="5"/>
    <n v="1"/>
    <n v="0"/>
    <n v="0"/>
    <n v="0"/>
    <n v="0"/>
    <x v="1"/>
    <n v="1"/>
    <x v="0"/>
    <x v="1"/>
  </r>
  <r>
    <n v="500311"/>
    <n v="19828"/>
    <x v="0"/>
    <x v="5"/>
    <d v="2026-03-27T00:00:00"/>
    <s v="11:46"/>
    <x v="161"/>
    <x v="6"/>
    <n v="33"/>
    <x v="1"/>
    <n v="1"/>
    <n v="0"/>
    <n v="0"/>
    <n v="0"/>
    <n v="0"/>
    <x v="1"/>
    <n v="0"/>
    <x v="0"/>
    <x v="1"/>
  </r>
  <r>
    <n v="500312"/>
    <n v="26059"/>
    <x v="0"/>
    <x v="6"/>
    <d v="2026-03-09T00:00:00"/>
    <s v="01:54"/>
    <x v="128"/>
    <x v="0"/>
    <n v="59"/>
    <x v="7"/>
    <n v="0"/>
    <n v="0"/>
    <n v="0"/>
    <n v="0"/>
    <n v="0"/>
    <x v="1"/>
    <n v="1"/>
    <x v="0"/>
    <x v="0"/>
  </r>
  <r>
    <n v="500313"/>
    <n v="34530"/>
    <x v="1"/>
    <x v="7"/>
    <d v="2026-04-03T00:00:00"/>
    <s v="18:15"/>
    <x v="68"/>
    <x v="5"/>
    <n v="54"/>
    <x v="3"/>
    <n v="0"/>
    <n v="1"/>
    <n v="0"/>
    <n v="0"/>
    <n v="0"/>
    <x v="0"/>
    <n v="1"/>
    <x v="0"/>
    <x v="0"/>
  </r>
  <r>
    <n v="500314"/>
    <n v="17992"/>
    <x v="0"/>
    <x v="7"/>
    <d v="2026-01-27T00:00:00"/>
    <s v="19:55"/>
    <x v="96"/>
    <x v="0"/>
    <n v="54"/>
    <x v="5"/>
    <n v="0"/>
    <n v="0"/>
    <n v="0"/>
    <n v="0"/>
    <n v="0"/>
    <x v="1"/>
    <n v="0"/>
    <x v="0"/>
    <x v="0"/>
  </r>
  <r>
    <n v="500315"/>
    <n v="12559"/>
    <x v="1"/>
    <x v="2"/>
    <d v="2026-05-19T00:00:00"/>
    <s v="12:18"/>
    <x v="162"/>
    <x v="2"/>
    <n v="64"/>
    <x v="3"/>
    <n v="1"/>
    <n v="1"/>
    <n v="0"/>
    <n v="0"/>
    <n v="0"/>
    <x v="0"/>
    <n v="1"/>
    <x v="1"/>
    <x v="2"/>
  </r>
  <r>
    <n v="500316"/>
    <n v="46822"/>
    <x v="0"/>
    <x v="6"/>
    <d v="2026-01-13T00:00:00"/>
    <s v="17:56"/>
    <x v="163"/>
    <x v="0"/>
    <n v="38"/>
    <x v="8"/>
    <n v="1"/>
    <n v="0"/>
    <n v="0"/>
    <n v="0"/>
    <n v="0"/>
    <x v="1"/>
    <n v="0"/>
    <x v="1"/>
    <x v="1"/>
  </r>
  <r>
    <n v="500317"/>
    <n v="96096"/>
    <x v="0"/>
    <x v="7"/>
    <d v="2025-12-05T00:00:00"/>
    <s v="02:57"/>
    <x v="50"/>
    <x v="5"/>
    <n v="51"/>
    <x v="8"/>
    <n v="0"/>
    <n v="0"/>
    <n v="0"/>
    <n v="0"/>
    <n v="0"/>
    <x v="1"/>
    <n v="1"/>
    <x v="0"/>
    <x v="0"/>
  </r>
  <r>
    <n v="500318"/>
    <n v="32768"/>
    <x v="0"/>
    <x v="1"/>
    <d v="2026-02-05T00:00:00"/>
    <s v="20:26"/>
    <x v="115"/>
    <x v="5"/>
    <n v="31"/>
    <x v="9"/>
    <n v="1"/>
    <n v="0"/>
    <n v="0"/>
    <n v="0"/>
    <n v="0"/>
    <x v="1"/>
    <n v="0"/>
    <x v="1"/>
    <x v="1"/>
  </r>
  <r>
    <n v="500319"/>
    <n v="56095"/>
    <x v="0"/>
    <x v="1"/>
    <d v="2026-03-08T00:00:00"/>
    <s v="17:18"/>
    <x v="12"/>
    <x v="5"/>
    <n v="44"/>
    <x v="3"/>
    <n v="1"/>
    <n v="0"/>
    <n v="1"/>
    <n v="1"/>
    <n v="0"/>
    <x v="0"/>
    <n v="1"/>
    <x v="1"/>
    <x v="0"/>
  </r>
  <r>
    <n v="500320"/>
    <n v="72650"/>
    <x v="0"/>
    <x v="2"/>
    <d v="2026-05-05T00:00:00"/>
    <s v="09:48"/>
    <x v="48"/>
    <x v="1"/>
    <n v="35"/>
    <x v="9"/>
    <n v="0"/>
    <n v="0"/>
    <n v="0"/>
    <n v="0"/>
    <n v="0"/>
    <x v="1"/>
    <n v="1"/>
    <x v="0"/>
    <x v="1"/>
  </r>
  <r>
    <n v="500321"/>
    <n v="52413"/>
    <x v="0"/>
    <x v="0"/>
    <d v="2025-11-26T00:00:00"/>
    <s v="17:34"/>
    <x v="114"/>
    <x v="0"/>
    <n v="39"/>
    <x v="2"/>
    <n v="0"/>
    <n v="0"/>
    <n v="0"/>
    <n v="0"/>
    <n v="0"/>
    <x v="1"/>
    <n v="0"/>
    <x v="0"/>
    <x v="1"/>
  </r>
  <r>
    <n v="500322"/>
    <n v="58967"/>
    <x v="1"/>
    <x v="5"/>
    <d v="2025-12-20T00:00:00"/>
    <s v="15:01"/>
    <x v="140"/>
    <x v="2"/>
    <n v="49"/>
    <x v="4"/>
    <n v="1"/>
    <n v="1"/>
    <n v="0"/>
    <n v="0"/>
    <n v="0"/>
    <x v="0"/>
    <n v="1"/>
    <x v="0"/>
    <x v="0"/>
  </r>
  <r>
    <n v="500323"/>
    <n v="51586"/>
    <x v="0"/>
    <x v="2"/>
    <d v="2026-05-21T00:00:00"/>
    <s v="02:17"/>
    <x v="142"/>
    <x v="5"/>
    <n v="21"/>
    <x v="1"/>
    <n v="0"/>
    <n v="0"/>
    <n v="0"/>
    <n v="0"/>
    <n v="0"/>
    <x v="1"/>
    <n v="1"/>
    <x v="1"/>
    <x v="1"/>
  </r>
  <r>
    <n v="500324"/>
    <n v="10235"/>
    <x v="1"/>
    <x v="0"/>
    <d v="2026-01-19T00:00:00"/>
    <s v="17:12"/>
    <x v="154"/>
    <x v="5"/>
    <n v="79"/>
    <x v="2"/>
    <n v="1"/>
    <n v="0"/>
    <n v="0"/>
    <n v="0"/>
    <n v="0"/>
    <x v="1"/>
    <n v="1"/>
    <x v="0"/>
    <x v="2"/>
  </r>
  <r>
    <n v="500325"/>
    <n v="41194"/>
    <x v="1"/>
    <x v="2"/>
    <d v="2026-05-07T00:00:00"/>
    <s v="02:24"/>
    <x v="124"/>
    <x v="0"/>
    <n v="17"/>
    <x v="2"/>
    <n v="0"/>
    <n v="0"/>
    <n v="0"/>
    <n v="0"/>
    <n v="0"/>
    <x v="1"/>
    <n v="0"/>
    <x v="0"/>
    <x v="3"/>
  </r>
  <r>
    <n v="500326"/>
    <n v="97821"/>
    <x v="1"/>
    <x v="6"/>
    <d v="2026-05-13T00:00:00"/>
    <s v="20:46"/>
    <x v="9"/>
    <x v="1"/>
    <n v="13"/>
    <x v="7"/>
    <n v="0"/>
    <n v="0"/>
    <n v="0"/>
    <n v="0"/>
    <n v="0"/>
    <x v="1"/>
    <n v="1"/>
    <x v="1"/>
    <x v="3"/>
  </r>
  <r>
    <n v="500327"/>
    <n v="43640"/>
    <x v="0"/>
    <x v="0"/>
    <d v="2026-04-02T00:00:00"/>
    <s v="13:37"/>
    <x v="145"/>
    <x v="4"/>
    <n v="61"/>
    <x v="7"/>
    <n v="1"/>
    <n v="0"/>
    <n v="0"/>
    <n v="0"/>
    <n v="0"/>
    <x v="1"/>
    <n v="1"/>
    <x v="0"/>
    <x v="2"/>
  </r>
  <r>
    <n v="500328"/>
    <n v="72847"/>
    <x v="0"/>
    <x v="3"/>
    <d v="2026-01-06T00:00:00"/>
    <s v="08:36"/>
    <x v="75"/>
    <x v="0"/>
    <n v="53"/>
    <x v="3"/>
    <n v="0"/>
    <n v="0"/>
    <n v="1"/>
    <n v="1"/>
    <n v="0"/>
    <x v="0"/>
    <n v="1"/>
    <x v="0"/>
    <x v="0"/>
  </r>
  <r>
    <n v="500329"/>
    <n v="59212"/>
    <x v="0"/>
    <x v="5"/>
    <d v="2026-04-28T00:00:00"/>
    <s v="16:54"/>
    <x v="48"/>
    <x v="1"/>
    <n v="50"/>
    <x v="8"/>
    <n v="0"/>
    <n v="1"/>
    <n v="0"/>
    <n v="0"/>
    <n v="0"/>
    <x v="0"/>
    <n v="1"/>
    <x v="0"/>
    <x v="0"/>
  </r>
  <r>
    <n v="500330"/>
    <n v="89602"/>
    <x v="1"/>
    <x v="3"/>
    <d v="2026-01-25T00:00:00"/>
    <s v="17:06"/>
    <x v="74"/>
    <x v="1"/>
    <n v="50"/>
    <x v="7"/>
    <n v="0"/>
    <n v="1"/>
    <n v="0"/>
    <n v="0"/>
    <n v="0"/>
    <x v="0"/>
    <n v="0"/>
    <x v="0"/>
    <x v="0"/>
  </r>
  <r>
    <n v="500331"/>
    <n v="96585"/>
    <x v="1"/>
    <x v="7"/>
    <d v="2026-01-24T00:00:00"/>
    <s v="00:55"/>
    <x v="146"/>
    <x v="6"/>
    <n v="37"/>
    <x v="1"/>
    <n v="0"/>
    <n v="0"/>
    <n v="0"/>
    <n v="1"/>
    <n v="0"/>
    <x v="1"/>
    <n v="0"/>
    <x v="1"/>
    <x v="1"/>
  </r>
  <r>
    <n v="500332"/>
    <n v="57294"/>
    <x v="0"/>
    <x v="4"/>
    <d v="2026-02-25T00:00:00"/>
    <s v="07:18"/>
    <x v="128"/>
    <x v="0"/>
    <n v="20"/>
    <x v="6"/>
    <n v="1"/>
    <n v="0"/>
    <n v="0"/>
    <n v="0"/>
    <n v="0"/>
    <x v="1"/>
    <n v="1"/>
    <x v="0"/>
    <x v="1"/>
  </r>
  <r>
    <n v="500333"/>
    <n v="22712"/>
    <x v="0"/>
    <x v="1"/>
    <d v="2026-01-04T00:00:00"/>
    <s v="14:01"/>
    <x v="109"/>
    <x v="1"/>
    <n v="39"/>
    <x v="2"/>
    <n v="1"/>
    <n v="0"/>
    <n v="0"/>
    <n v="0"/>
    <n v="0"/>
    <x v="1"/>
    <n v="1"/>
    <x v="0"/>
    <x v="1"/>
  </r>
  <r>
    <n v="500334"/>
    <n v="71727"/>
    <x v="1"/>
    <x v="7"/>
    <d v="2026-05-13T00:00:00"/>
    <s v="06:36"/>
    <x v="164"/>
    <x v="2"/>
    <n v="24"/>
    <x v="6"/>
    <n v="1"/>
    <n v="0"/>
    <n v="0"/>
    <n v="0"/>
    <n v="0"/>
    <x v="1"/>
    <n v="1"/>
    <x v="0"/>
    <x v="1"/>
  </r>
  <r>
    <n v="500335"/>
    <n v="44510"/>
    <x v="1"/>
    <x v="6"/>
    <d v="2026-02-05T00:00:00"/>
    <s v="14:31"/>
    <x v="52"/>
    <x v="1"/>
    <n v="57"/>
    <x v="0"/>
    <n v="0"/>
    <n v="0"/>
    <n v="0"/>
    <n v="0"/>
    <n v="0"/>
    <x v="1"/>
    <n v="1"/>
    <x v="0"/>
    <x v="0"/>
  </r>
  <r>
    <n v="500336"/>
    <n v="64262"/>
    <x v="0"/>
    <x v="0"/>
    <d v="2026-02-19T00:00:00"/>
    <s v="02:21"/>
    <x v="125"/>
    <x v="5"/>
    <n v="35"/>
    <x v="5"/>
    <n v="1"/>
    <n v="0"/>
    <n v="0"/>
    <n v="0"/>
    <n v="0"/>
    <x v="1"/>
    <n v="0"/>
    <x v="0"/>
    <x v="1"/>
  </r>
  <r>
    <n v="500337"/>
    <n v="40886"/>
    <x v="1"/>
    <x v="7"/>
    <d v="2026-02-08T00:00:00"/>
    <s v="05:17"/>
    <x v="165"/>
    <x v="4"/>
    <n v="21"/>
    <x v="6"/>
    <n v="1"/>
    <n v="0"/>
    <n v="0"/>
    <n v="0"/>
    <n v="0"/>
    <x v="1"/>
    <n v="1"/>
    <x v="0"/>
    <x v="1"/>
  </r>
  <r>
    <n v="500338"/>
    <n v="84905"/>
    <x v="0"/>
    <x v="5"/>
    <d v="2026-01-03T00:00:00"/>
    <s v="23:18"/>
    <x v="50"/>
    <x v="5"/>
    <n v="31"/>
    <x v="3"/>
    <n v="0"/>
    <n v="0"/>
    <n v="0"/>
    <n v="0"/>
    <n v="0"/>
    <x v="1"/>
    <n v="1"/>
    <x v="0"/>
    <x v="1"/>
  </r>
  <r>
    <n v="500339"/>
    <n v="15593"/>
    <x v="1"/>
    <x v="5"/>
    <d v="2026-02-21T00:00:00"/>
    <s v="00:38"/>
    <x v="92"/>
    <x v="3"/>
    <n v="46"/>
    <x v="5"/>
    <n v="0"/>
    <n v="0"/>
    <n v="0"/>
    <n v="0"/>
    <n v="0"/>
    <x v="1"/>
    <n v="0"/>
    <x v="0"/>
    <x v="0"/>
  </r>
  <r>
    <n v="500340"/>
    <n v="18783"/>
    <x v="0"/>
    <x v="4"/>
    <d v="2026-01-23T00:00:00"/>
    <s v="22:25"/>
    <x v="47"/>
    <x v="6"/>
    <n v="26"/>
    <x v="8"/>
    <n v="1"/>
    <n v="0"/>
    <n v="0"/>
    <n v="0"/>
    <n v="0"/>
    <x v="1"/>
    <n v="1"/>
    <x v="0"/>
    <x v="1"/>
  </r>
  <r>
    <n v="500341"/>
    <n v="11620"/>
    <x v="1"/>
    <x v="5"/>
    <d v="2026-03-21T00:00:00"/>
    <s v="16:38"/>
    <x v="161"/>
    <x v="6"/>
    <n v="21"/>
    <x v="5"/>
    <n v="0"/>
    <n v="0"/>
    <n v="0"/>
    <n v="0"/>
    <n v="0"/>
    <x v="1"/>
    <n v="0"/>
    <x v="0"/>
    <x v="1"/>
  </r>
  <r>
    <n v="500342"/>
    <n v="23845"/>
    <x v="0"/>
    <x v="7"/>
    <d v="2026-01-26T00:00:00"/>
    <s v="03:35"/>
    <x v="126"/>
    <x v="3"/>
    <n v="42"/>
    <x v="8"/>
    <n v="1"/>
    <n v="0"/>
    <n v="0"/>
    <n v="0"/>
    <n v="0"/>
    <x v="1"/>
    <n v="1"/>
    <x v="0"/>
    <x v="0"/>
  </r>
  <r>
    <n v="500343"/>
    <n v="32570"/>
    <x v="1"/>
    <x v="4"/>
    <d v="2026-02-13T00:00:00"/>
    <s v="16:32"/>
    <x v="56"/>
    <x v="3"/>
    <n v="42"/>
    <x v="2"/>
    <n v="1"/>
    <n v="0"/>
    <n v="1"/>
    <n v="0"/>
    <n v="0"/>
    <x v="0"/>
    <n v="1"/>
    <x v="0"/>
    <x v="0"/>
  </r>
  <r>
    <n v="500344"/>
    <n v="45203"/>
    <x v="1"/>
    <x v="0"/>
    <d v="2026-01-31T00:00:00"/>
    <s v="20:22"/>
    <x v="115"/>
    <x v="5"/>
    <n v="27"/>
    <x v="4"/>
    <n v="1"/>
    <n v="0"/>
    <n v="0"/>
    <n v="0"/>
    <n v="0"/>
    <x v="1"/>
    <n v="0"/>
    <x v="0"/>
    <x v="1"/>
  </r>
  <r>
    <n v="500345"/>
    <n v="39878"/>
    <x v="0"/>
    <x v="7"/>
    <d v="2025-12-24T00:00:00"/>
    <s v="20:01"/>
    <x v="73"/>
    <x v="6"/>
    <n v="28"/>
    <x v="3"/>
    <n v="1"/>
    <n v="0"/>
    <n v="0"/>
    <n v="0"/>
    <n v="0"/>
    <x v="1"/>
    <n v="1"/>
    <x v="0"/>
    <x v="1"/>
  </r>
  <r>
    <n v="500346"/>
    <n v="37707"/>
    <x v="1"/>
    <x v="6"/>
    <d v="2026-05-19T00:00:00"/>
    <s v="11:53"/>
    <x v="7"/>
    <x v="4"/>
    <n v="42"/>
    <x v="8"/>
    <n v="1"/>
    <n v="0"/>
    <n v="0"/>
    <n v="0"/>
    <n v="0"/>
    <x v="1"/>
    <n v="1"/>
    <x v="0"/>
    <x v="0"/>
  </r>
  <r>
    <n v="500347"/>
    <n v="27779"/>
    <x v="0"/>
    <x v="3"/>
    <d v="2025-12-16T00:00:00"/>
    <s v="22:23"/>
    <x v="84"/>
    <x v="3"/>
    <n v="9"/>
    <x v="1"/>
    <n v="0"/>
    <n v="0"/>
    <n v="0"/>
    <n v="0"/>
    <n v="0"/>
    <x v="1"/>
    <n v="1"/>
    <x v="1"/>
    <x v="3"/>
  </r>
  <r>
    <n v="500348"/>
    <n v="14334"/>
    <x v="1"/>
    <x v="0"/>
    <d v="2026-03-10T00:00:00"/>
    <s v="01:02"/>
    <x v="41"/>
    <x v="1"/>
    <n v="9"/>
    <x v="4"/>
    <n v="0"/>
    <n v="0"/>
    <n v="0"/>
    <n v="0"/>
    <n v="0"/>
    <x v="1"/>
    <n v="1"/>
    <x v="0"/>
    <x v="3"/>
  </r>
  <r>
    <n v="500349"/>
    <n v="76207"/>
    <x v="1"/>
    <x v="5"/>
    <d v="2026-04-20T00:00:00"/>
    <s v="07:07"/>
    <x v="36"/>
    <x v="3"/>
    <n v="23"/>
    <x v="7"/>
    <n v="0"/>
    <n v="0"/>
    <n v="0"/>
    <n v="0"/>
    <n v="0"/>
    <x v="1"/>
    <n v="1"/>
    <x v="0"/>
    <x v="1"/>
  </r>
  <r>
    <n v="500350"/>
    <n v="86923"/>
    <x v="1"/>
    <x v="2"/>
    <d v="2026-05-16T00:00:00"/>
    <s v="18:03"/>
    <x v="166"/>
    <x v="2"/>
    <n v="33"/>
    <x v="2"/>
    <n v="1"/>
    <n v="0"/>
    <n v="0"/>
    <n v="0"/>
    <n v="0"/>
    <x v="1"/>
    <n v="1"/>
    <x v="0"/>
    <x v="1"/>
  </r>
  <r>
    <n v="500351"/>
    <n v="31352"/>
    <x v="0"/>
    <x v="1"/>
    <d v="2026-03-03T00:00:00"/>
    <s v="23:05"/>
    <x v="131"/>
    <x v="2"/>
    <n v="44"/>
    <x v="1"/>
    <n v="0"/>
    <n v="0"/>
    <n v="0"/>
    <n v="0"/>
    <n v="0"/>
    <x v="1"/>
    <n v="0"/>
    <x v="0"/>
    <x v="0"/>
  </r>
  <r>
    <n v="500352"/>
    <n v="11166"/>
    <x v="1"/>
    <x v="3"/>
    <d v="2025-11-26T00:00:00"/>
    <s v="14:13"/>
    <x v="93"/>
    <x v="6"/>
    <n v="67"/>
    <x v="2"/>
    <n v="0"/>
    <n v="1"/>
    <n v="0"/>
    <n v="0"/>
    <n v="0"/>
    <x v="0"/>
    <n v="1"/>
    <x v="0"/>
    <x v="2"/>
  </r>
  <r>
    <n v="500353"/>
    <n v="55706"/>
    <x v="1"/>
    <x v="7"/>
    <d v="2026-04-27T00:00:00"/>
    <s v="06:43"/>
    <x v="4"/>
    <x v="3"/>
    <n v="55"/>
    <x v="1"/>
    <n v="1"/>
    <n v="1"/>
    <n v="0"/>
    <n v="0"/>
    <n v="0"/>
    <x v="0"/>
    <n v="1"/>
    <x v="0"/>
    <x v="0"/>
  </r>
  <r>
    <n v="500354"/>
    <n v="59051"/>
    <x v="1"/>
    <x v="7"/>
    <d v="2026-04-13T00:00:00"/>
    <s v="16:20"/>
    <x v="10"/>
    <x v="4"/>
    <n v="34"/>
    <x v="6"/>
    <n v="1"/>
    <n v="0"/>
    <n v="0"/>
    <n v="1"/>
    <n v="0"/>
    <x v="1"/>
    <n v="1"/>
    <x v="0"/>
    <x v="1"/>
  </r>
  <r>
    <n v="500355"/>
    <n v="44229"/>
    <x v="1"/>
    <x v="1"/>
    <d v="2026-05-15T00:00:00"/>
    <s v="11:00"/>
    <x v="34"/>
    <x v="6"/>
    <n v="37"/>
    <x v="2"/>
    <n v="0"/>
    <n v="0"/>
    <n v="0"/>
    <n v="0"/>
    <n v="0"/>
    <x v="1"/>
    <n v="0"/>
    <x v="0"/>
    <x v="1"/>
  </r>
  <r>
    <n v="500356"/>
    <n v="96577"/>
    <x v="1"/>
    <x v="3"/>
    <d v="2026-01-31T00:00:00"/>
    <s v="08:55"/>
    <x v="47"/>
    <x v="6"/>
    <n v="17"/>
    <x v="7"/>
    <n v="0"/>
    <n v="0"/>
    <n v="0"/>
    <n v="0"/>
    <n v="0"/>
    <x v="1"/>
    <n v="0"/>
    <x v="1"/>
    <x v="3"/>
  </r>
  <r>
    <n v="500357"/>
    <n v="64862"/>
    <x v="1"/>
    <x v="4"/>
    <d v="2026-02-16T00:00:00"/>
    <s v="14:14"/>
    <x v="149"/>
    <x v="0"/>
    <n v="37"/>
    <x v="7"/>
    <n v="0"/>
    <n v="0"/>
    <n v="0"/>
    <n v="0"/>
    <n v="0"/>
    <x v="1"/>
    <n v="1"/>
    <x v="0"/>
    <x v="1"/>
  </r>
  <r>
    <n v="500358"/>
    <n v="72355"/>
    <x v="1"/>
    <x v="7"/>
    <d v="2026-02-21T00:00:00"/>
    <s v="17:03"/>
    <x v="149"/>
    <x v="0"/>
    <n v="32"/>
    <x v="2"/>
    <n v="0"/>
    <n v="0"/>
    <n v="0"/>
    <n v="0"/>
    <n v="0"/>
    <x v="1"/>
    <n v="0"/>
    <x v="0"/>
    <x v="1"/>
  </r>
  <r>
    <n v="500359"/>
    <n v="83273"/>
    <x v="0"/>
    <x v="2"/>
    <d v="2026-04-10T00:00:00"/>
    <s v="12:32"/>
    <x v="90"/>
    <x v="5"/>
    <n v="44"/>
    <x v="6"/>
    <n v="0"/>
    <n v="0"/>
    <n v="0"/>
    <n v="0"/>
    <n v="0"/>
    <x v="1"/>
    <n v="0"/>
    <x v="0"/>
    <x v="0"/>
  </r>
  <r>
    <n v="500360"/>
    <n v="44152"/>
    <x v="1"/>
    <x v="6"/>
    <d v="2026-02-20T00:00:00"/>
    <s v="23:56"/>
    <x v="91"/>
    <x v="1"/>
    <n v="21"/>
    <x v="6"/>
    <n v="1"/>
    <n v="0"/>
    <n v="0"/>
    <n v="1"/>
    <n v="0"/>
    <x v="1"/>
    <n v="1"/>
    <x v="0"/>
    <x v="1"/>
  </r>
  <r>
    <n v="500361"/>
    <n v="71894"/>
    <x v="0"/>
    <x v="5"/>
    <d v="2026-03-10T00:00:00"/>
    <s v="22:09"/>
    <x v="0"/>
    <x v="0"/>
    <n v="48"/>
    <x v="5"/>
    <n v="1"/>
    <n v="0"/>
    <n v="0"/>
    <n v="0"/>
    <n v="0"/>
    <x v="1"/>
    <n v="1"/>
    <x v="0"/>
    <x v="0"/>
  </r>
  <r>
    <n v="500362"/>
    <n v="69974"/>
    <x v="0"/>
    <x v="2"/>
    <d v="2026-02-27T00:00:00"/>
    <s v="10:49"/>
    <x v="91"/>
    <x v="1"/>
    <n v="68"/>
    <x v="2"/>
    <n v="0"/>
    <n v="0"/>
    <n v="0"/>
    <n v="0"/>
    <n v="0"/>
    <x v="1"/>
    <n v="1"/>
    <x v="0"/>
    <x v="2"/>
  </r>
  <r>
    <n v="500363"/>
    <n v="32099"/>
    <x v="0"/>
    <x v="6"/>
    <d v="2026-02-02T00:00:00"/>
    <s v="15:18"/>
    <x v="167"/>
    <x v="3"/>
    <n v="35"/>
    <x v="6"/>
    <n v="0"/>
    <n v="0"/>
    <n v="0"/>
    <n v="0"/>
    <n v="0"/>
    <x v="1"/>
    <n v="1"/>
    <x v="0"/>
    <x v="1"/>
  </r>
  <r>
    <n v="500364"/>
    <n v="60242"/>
    <x v="0"/>
    <x v="0"/>
    <d v="2026-01-09T00:00:00"/>
    <s v="18:06"/>
    <x v="65"/>
    <x v="3"/>
    <n v="46"/>
    <x v="8"/>
    <n v="0"/>
    <n v="0"/>
    <n v="0"/>
    <n v="0"/>
    <n v="0"/>
    <x v="1"/>
    <n v="1"/>
    <x v="1"/>
    <x v="0"/>
  </r>
  <r>
    <n v="500365"/>
    <n v="10540"/>
    <x v="0"/>
    <x v="1"/>
    <d v="2026-03-12T00:00:00"/>
    <s v="01:42"/>
    <x v="111"/>
    <x v="1"/>
    <n v="51"/>
    <x v="4"/>
    <n v="1"/>
    <n v="1"/>
    <n v="0"/>
    <n v="0"/>
    <n v="0"/>
    <x v="0"/>
    <n v="0"/>
    <x v="0"/>
    <x v="0"/>
  </r>
  <r>
    <n v="500366"/>
    <n v="48119"/>
    <x v="1"/>
    <x v="2"/>
    <d v="2026-04-25T00:00:00"/>
    <s v="05:48"/>
    <x v="9"/>
    <x v="1"/>
    <n v="29"/>
    <x v="5"/>
    <n v="0"/>
    <n v="0"/>
    <n v="0"/>
    <n v="0"/>
    <n v="0"/>
    <x v="1"/>
    <n v="1"/>
    <x v="1"/>
    <x v="1"/>
  </r>
  <r>
    <n v="500367"/>
    <n v="62873"/>
    <x v="0"/>
    <x v="1"/>
    <d v="2026-05-16T00:00:00"/>
    <s v="06:59"/>
    <x v="168"/>
    <x v="0"/>
    <n v="42"/>
    <x v="1"/>
    <n v="0"/>
    <n v="0"/>
    <n v="1"/>
    <n v="1"/>
    <n v="0"/>
    <x v="0"/>
    <n v="1"/>
    <x v="0"/>
    <x v="0"/>
  </r>
  <r>
    <n v="500368"/>
    <n v="14897"/>
    <x v="1"/>
    <x v="7"/>
    <d v="2025-12-31T00:00:00"/>
    <s v="00:12"/>
    <x v="158"/>
    <x v="4"/>
    <n v="38"/>
    <x v="8"/>
    <n v="0"/>
    <n v="0"/>
    <n v="0"/>
    <n v="0"/>
    <n v="0"/>
    <x v="1"/>
    <n v="1"/>
    <x v="0"/>
    <x v="1"/>
  </r>
  <r>
    <n v="500369"/>
    <n v="16322"/>
    <x v="0"/>
    <x v="4"/>
    <d v="2026-01-24T00:00:00"/>
    <s v="06:47"/>
    <x v="137"/>
    <x v="3"/>
    <n v="39"/>
    <x v="3"/>
    <n v="1"/>
    <n v="0"/>
    <n v="0"/>
    <n v="0"/>
    <n v="0"/>
    <x v="1"/>
    <n v="1"/>
    <x v="0"/>
    <x v="1"/>
  </r>
  <r>
    <n v="500370"/>
    <n v="99881"/>
    <x v="0"/>
    <x v="7"/>
    <d v="2025-12-23T00:00:00"/>
    <s v="01:55"/>
    <x v="80"/>
    <x v="0"/>
    <n v="22"/>
    <x v="5"/>
    <n v="0"/>
    <n v="0"/>
    <n v="0"/>
    <n v="0"/>
    <n v="0"/>
    <x v="1"/>
    <n v="1"/>
    <x v="1"/>
    <x v="1"/>
  </r>
  <r>
    <n v="500371"/>
    <n v="23751"/>
    <x v="0"/>
    <x v="7"/>
    <d v="2026-01-14T00:00:00"/>
    <s v="00:17"/>
    <x v="35"/>
    <x v="4"/>
    <n v="38"/>
    <x v="6"/>
    <n v="0"/>
    <n v="0"/>
    <n v="0"/>
    <n v="0"/>
    <n v="0"/>
    <x v="1"/>
    <n v="0"/>
    <x v="0"/>
    <x v="1"/>
  </r>
  <r>
    <n v="500372"/>
    <n v="36433"/>
    <x v="1"/>
    <x v="4"/>
    <d v="2025-12-16T00:00:00"/>
    <s v="18:14"/>
    <x v="84"/>
    <x v="3"/>
    <n v="47"/>
    <x v="0"/>
    <n v="0"/>
    <n v="1"/>
    <n v="0"/>
    <n v="0"/>
    <n v="0"/>
    <x v="0"/>
    <n v="1"/>
    <x v="1"/>
    <x v="0"/>
  </r>
  <r>
    <n v="500373"/>
    <n v="98032"/>
    <x v="0"/>
    <x v="5"/>
    <d v="2026-04-10T00:00:00"/>
    <s v="03:33"/>
    <x v="160"/>
    <x v="6"/>
    <n v="67"/>
    <x v="9"/>
    <n v="1"/>
    <n v="1"/>
    <n v="1"/>
    <n v="0"/>
    <n v="0"/>
    <x v="0"/>
    <n v="1"/>
    <x v="0"/>
    <x v="2"/>
  </r>
  <r>
    <n v="500374"/>
    <n v="48800"/>
    <x v="1"/>
    <x v="6"/>
    <d v="2026-01-01T00:00:00"/>
    <s v="12:08"/>
    <x v="60"/>
    <x v="5"/>
    <n v="57"/>
    <x v="7"/>
    <n v="0"/>
    <n v="0"/>
    <n v="0"/>
    <n v="0"/>
    <n v="0"/>
    <x v="1"/>
    <n v="1"/>
    <x v="1"/>
    <x v="0"/>
  </r>
  <r>
    <n v="500375"/>
    <n v="16014"/>
    <x v="0"/>
    <x v="3"/>
    <d v="2026-01-12T00:00:00"/>
    <s v="11:44"/>
    <x v="98"/>
    <x v="2"/>
    <n v="81"/>
    <x v="2"/>
    <n v="1"/>
    <n v="0"/>
    <n v="0"/>
    <n v="0"/>
    <n v="0"/>
    <x v="1"/>
    <n v="0"/>
    <x v="1"/>
    <x v="2"/>
  </r>
  <r>
    <n v="500376"/>
    <n v="62530"/>
    <x v="1"/>
    <x v="6"/>
    <d v="2026-05-19T00:00:00"/>
    <s v="00:46"/>
    <x v="108"/>
    <x v="5"/>
    <n v="22"/>
    <x v="0"/>
    <n v="1"/>
    <n v="0"/>
    <n v="0"/>
    <n v="0"/>
    <n v="0"/>
    <x v="1"/>
    <n v="1"/>
    <x v="0"/>
    <x v="1"/>
  </r>
  <r>
    <n v="500377"/>
    <n v="31860"/>
    <x v="0"/>
    <x v="3"/>
    <d v="2026-02-01T00:00:00"/>
    <s v="20:57"/>
    <x v="154"/>
    <x v="5"/>
    <n v="55"/>
    <x v="7"/>
    <n v="0"/>
    <n v="1"/>
    <n v="0"/>
    <n v="0"/>
    <n v="0"/>
    <x v="0"/>
    <n v="1"/>
    <x v="0"/>
    <x v="0"/>
  </r>
  <r>
    <n v="500378"/>
    <n v="57002"/>
    <x v="0"/>
    <x v="3"/>
    <d v="2026-05-17T00:00:00"/>
    <s v="01:41"/>
    <x v="32"/>
    <x v="5"/>
    <n v="41"/>
    <x v="3"/>
    <n v="1"/>
    <n v="0"/>
    <n v="1"/>
    <n v="0"/>
    <n v="0"/>
    <x v="0"/>
    <n v="1"/>
    <x v="0"/>
    <x v="0"/>
  </r>
  <r>
    <n v="500379"/>
    <n v="98857"/>
    <x v="0"/>
    <x v="2"/>
    <d v="2026-01-29T00:00:00"/>
    <s v="16:41"/>
    <x v="20"/>
    <x v="0"/>
    <n v="81"/>
    <x v="8"/>
    <n v="0"/>
    <n v="0"/>
    <n v="0"/>
    <n v="0"/>
    <n v="0"/>
    <x v="1"/>
    <n v="1"/>
    <x v="0"/>
    <x v="2"/>
  </r>
  <r>
    <n v="500380"/>
    <n v="90335"/>
    <x v="0"/>
    <x v="0"/>
    <d v="2026-02-17T00:00:00"/>
    <s v="21:38"/>
    <x v="85"/>
    <x v="3"/>
    <n v="21"/>
    <x v="2"/>
    <n v="1"/>
    <n v="0"/>
    <n v="0"/>
    <n v="0"/>
    <n v="0"/>
    <x v="1"/>
    <n v="1"/>
    <x v="0"/>
    <x v="1"/>
  </r>
  <r>
    <n v="500381"/>
    <n v="41574"/>
    <x v="1"/>
    <x v="7"/>
    <d v="2026-03-20T00:00:00"/>
    <s v="01:57"/>
    <x v="49"/>
    <x v="3"/>
    <n v="21"/>
    <x v="7"/>
    <n v="0"/>
    <n v="0"/>
    <n v="0"/>
    <n v="0"/>
    <n v="0"/>
    <x v="1"/>
    <n v="0"/>
    <x v="1"/>
    <x v="1"/>
  </r>
  <r>
    <n v="500382"/>
    <n v="68220"/>
    <x v="1"/>
    <x v="5"/>
    <d v="2026-03-17T00:00:00"/>
    <s v="00:35"/>
    <x v="139"/>
    <x v="0"/>
    <n v="26"/>
    <x v="3"/>
    <n v="1"/>
    <n v="0"/>
    <n v="0"/>
    <n v="0"/>
    <n v="0"/>
    <x v="1"/>
    <n v="0"/>
    <x v="1"/>
    <x v="1"/>
  </r>
  <r>
    <n v="500383"/>
    <n v="62879"/>
    <x v="1"/>
    <x v="0"/>
    <d v="2025-12-23T00:00:00"/>
    <s v="21:20"/>
    <x v="156"/>
    <x v="5"/>
    <n v="0"/>
    <x v="8"/>
    <n v="0"/>
    <n v="0"/>
    <n v="0"/>
    <n v="0"/>
    <n v="0"/>
    <x v="1"/>
    <n v="0"/>
    <x v="0"/>
    <x v="3"/>
  </r>
  <r>
    <n v="500384"/>
    <n v="91142"/>
    <x v="1"/>
    <x v="1"/>
    <d v="2026-02-12T00:00:00"/>
    <s v="01:43"/>
    <x v="163"/>
    <x v="0"/>
    <n v="27"/>
    <x v="3"/>
    <n v="1"/>
    <n v="0"/>
    <n v="0"/>
    <n v="0"/>
    <n v="0"/>
    <x v="1"/>
    <n v="1"/>
    <x v="0"/>
    <x v="1"/>
  </r>
  <r>
    <n v="500385"/>
    <n v="83420"/>
    <x v="1"/>
    <x v="2"/>
    <d v="2025-12-12T00:00:00"/>
    <s v="19:59"/>
    <x v="169"/>
    <x v="1"/>
    <n v="22"/>
    <x v="3"/>
    <n v="0"/>
    <n v="0"/>
    <n v="0"/>
    <n v="0"/>
    <n v="0"/>
    <x v="1"/>
    <n v="1"/>
    <x v="0"/>
    <x v="1"/>
  </r>
  <r>
    <n v="500386"/>
    <n v="93055"/>
    <x v="1"/>
    <x v="2"/>
    <d v="2025-12-19T00:00:00"/>
    <s v="21:36"/>
    <x v="38"/>
    <x v="6"/>
    <n v="41"/>
    <x v="6"/>
    <n v="0"/>
    <n v="0"/>
    <n v="0"/>
    <n v="0"/>
    <n v="0"/>
    <x v="1"/>
    <n v="0"/>
    <x v="0"/>
    <x v="0"/>
  </r>
  <r>
    <n v="500387"/>
    <n v="43330"/>
    <x v="0"/>
    <x v="1"/>
    <d v="2026-03-11T00:00:00"/>
    <s v="01:54"/>
    <x v="111"/>
    <x v="1"/>
    <n v="44"/>
    <x v="6"/>
    <n v="1"/>
    <n v="0"/>
    <n v="1"/>
    <n v="0"/>
    <n v="0"/>
    <x v="0"/>
    <n v="1"/>
    <x v="0"/>
    <x v="0"/>
  </r>
  <r>
    <n v="500388"/>
    <n v="16094"/>
    <x v="0"/>
    <x v="6"/>
    <d v="2025-12-31T00:00:00"/>
    <s v="00:52"/>
    <x v="38"/>
    <x v="6"/>
    <n v="75"/>
    <x v="3"/>
    <n v="0"/>
    <n v="0"/>
    <n v="1"/>
    <n v="0"/>
    <n v="0"/>
    <x v="0"/>
    <n v="1"/>
    <x v="0"/>
    <x v="2"/>
  </r>
  <r>
    <n v="500389"/>
    <n v="33226"/>
    <x v="0"/>
    <x v="3"/>
    <d v="2026-03-14T00:00:00"/>
    <s v="12:22"/>
    <x v="136"/>
    <x v="2"/>
    <n v="57"/>
    <x v="6"/>
    <n v="1"/>
    <n v="0"/>
    <n v="0"/>
    <n v="0"/>
    <n v="0"/>
    <x v="1"/>
    <n v="1"/>
    <x v="0"/>
    <x v="0"/>
  </r>
  <r>
    <n v="500390"/>
    <n v="42537"/>
    <x v="1"/>
    <x v="4"/>
    <d v="2025-12-16T00:00:00"/>
    <s v="23:04"/>
    <x v="152"/>
    <x v="4"/>
    <n v="26"/>
    <x v="4"/>
    <n v="1"/>
    <n v="0"/>
    <n v="0"/>
    <n v="0"/>
    <n v="0"/>
    <x v="1"/>
    <n v="1"/>
    <x v="0"/>
    <x v="1"/>
  </r>
  <r>
    <n v="500391"/>
    <n v="77147"/>
    <x v="1"/>
    <x v="2"/>
    <d v="2026-02-19T00:00:00"/>
    <s v="16:53"/>
    <x v="95"/>
    <x v="6"/>
    <n v="20"/>
    <x v="8"/>
    <n v="0"/>
    <n v="0"/>
    <n v="0"/>
    <n v="0"/>
    <n v="0"/>
    <x v="1"/>
    <n v="1"/>
    <x v="0"/>
    <x v="1"/>
  </r>
  <r>
    <n v="500392"/>
    <n v="55258"/>
    <x v="0"/>
    <x v="3"/>
    <d v="2026-05-11T00:00:00"/>
    <s v="09:52"/>
    <x v="104"/>
    <x v="3"/>
    <n v="47"/>
    <x v="8"/>
    <n v="1"/>
    <n v="0"/>
    <n v="0"/>
    <n v="0"/>
    <n v="0"/>
    <x v="1"/>
    <n v="0"/>
    <x v="0"/>
    <x v="0"/>
  </r>
  <r>
    <n v="500393"/>
    <n v="98374"/>
    <x v="1"/>
    <x v="4"/>
    <d v="2026-03-12T00:00:00"/>
    <s v="11:18"/>
    <x v="136"/>
    <x v="2"/>
    <n v="11"/>
    <x v="7"/>
    <n v="0"/>
    <n v="0"/>
    <n v="0"/>
    <n v="0"/>
    <n v="0"/>
    <x v="1"/>
    <n v="1"/>
    <x v="1"/>
    <x v="3"/>
  </r>
  <r>
    <n v="500394"/>
    <n v="97851"/>
    <x v="0"/>
    <x v="1"/>
    <d v="2026-05-04T00:00:00"/>
    <s v="14:17"/>
    <x v="162"/>
    <x v="2"/>
    <n v="74"/>
    <x v="0"/>
    <n v="0"/>
    <n v="0"/>
    <n v="0"/>
    <n v="0"/>
    <n v="0"/>
    <x v="1"/>
    <n v="1"/>
    <x v="0"/>
    <x v="2"/>
  </r>
  <r>
    <n v="500395"/>
    <n v="57013"/>
    <x v="1"/>
    <x v="5"/>
    <d v="2026-03-02T00:00:00"/>
    <s v="02:22"/>
    <x v="136"/>
    <x v="2"/>
    <n v="61"/>
    <x v="9"/>
    <n v="0"/>
    <n v="0"/>
    <n v="0"/>
    <n v="0"/>
    <n v="0"/>
    <x v="1"/>
    <n v="1"/>
    <x v="0"/>
    <x v="2"/>
  </r>
  <r>
    <n v="500396"/>
    <n v="60014"/>
    <x v="1"/>
    <x v="4"/>
    <d v="2026-03-29T00:00:00"/>
    <s v="06:03"/>
    <x v="107"/>
    <x v="2"/>
    <n v="28"/>
    <x v="4"/>
    <n v="0"/>
    <n v="0"/>
    <n v="0"/>
    <n v="1"/>
    <n v="0"/>
    <x v="1"/>
    <n v="1"/>
    <x v="0"/>
    <x v="1"/>
  </r>
  <r>
    <n v="500397"/>
    <n v="68073"/>
    <x v="0"/>
    <x v="2"/>
    <d v="2025-12-22T00:00:00"/>
    <s v="01:05"/>
    <x v="73"/>
    <x v="6"/>
    <n v="3"/>
    <x v="9"/>
    <n v="0"/>
    <n v="0"/>
    <n v="0"/>
    <n v="0"/>
    <n v="0"/>
    <x v="1"/>
    <n v="1"/>
    <x v="0"/>
    <x v="3"/>
  </r>
  <r>
    <n v="500398"/>
    <n v="35362"/>
    <x v="1"/>
    <x v="6"/>
    <d v="2026-05-12T00:00:00"/>
    <s v="09:24"/>
    <x v="9"/>
    <x v="1"/>
    <n v="65"/>
    <x v="2"/>
    <n v="0"/>
    <n v="1"/>
    <n v="1"/>
    <n v="0"/>
    <n v="0"/>
    <x v="0"/>
    <n v="1"/>
    <x v="0"/>
    <x v="2"/>
  </r>
  <r>
    <n v="500399"/>
    <n v="86544"/>
    <x v="1"/>
    <x v="0"/>
    <d v="2026-02-04T00:00:00"/>
    <s v="05:54"/>
    <x v="20"/>
    <x v="0"/>
    <n v="35"/>
    <x v="4"/>
    <n v="1"/>
    <n v="0"/>
    <n v="0"/>
    <n v="0"/>
    <n v="0"/>
    <x v="1"/>
    <n v="1"/>
    <x v="0"/>
    <x v="1"/>
  </r>
  <r>
    <n v="500400"/>
    <n v="16665"/>
    <x v="1"/>
    <x v="6"/>
    <d v="2026-05-14T00:00:00"/>
    <s v="07:57"/>
    <x v="162"/>
    <x v="2"/>
    <n v="62"/>
    <x v="9"/>
    <n v="1"/>
    <n v="1"/>
    <n v="0"/>
    <n v="0"/>
    <n v="0"/>
    <x v="0"/>
    <n v="0"/>
    <x v="1"/>
    <x v="2"/>
  </r>
  <r>
    <n v="500401"/>
    <n v="81182"/>
    <x v="1"/>
    <x v="5"/>
    <d v="2025-11-28T00:00:00"/>
    <s v="05:22"/>
    <x v="110"/>
    <x v="5"/>
    <n v="6"/>
    <x v="4"/>
    <n v="0"/>
    <n v="0"/>
    <n v="0"/>
    <n v="0"/>
    <n v="0"/>
    <x v="1"/>
    <n v="1"/>
    <x v="0"/>
    <x v="3"/>
  </r>
  <r>
    <n v="500402"/>
    <n v="57290"/>
    <x v="1"/>
    <x v="1"/>
    <d v="2026-01-19T00:00:00"/>
    <s v="17:46"/>
    <x v="120"/>
    <x v="2"/>
    <n v="26"/>
    <x v="9"/>
    <n v="1"/>
    <n v="0"/>
    <n v="0"/>
    <n v="0"/>
    <n v="0"/>
    <x v="1"/>
    <n v="0"/>
    <x v="1"/>
    <x v="1"/>
  </r>
  <r>
    <n v="500403"/>
    <n v="97679"/>
    <x v="1"/>
    <x v="6"/>
    <d v="2026-04-23T00:00:00"/>
    <s v="20:11"/>
    <x v="18"/>
    <x v="5"/>
    <n v="38"/>
    <x v="1"/>
    <n v="0"/>
    <n v="0"/>
    <n v="0"/>
    <n v="0"/>
    <n v="0"/>
    <x v="1"/>
    <n v="1"/>
    <x v="0"/>
    <x v="1"/>
  </r>
  <r>
    <n v="500404"/>
    <n v="24860"/>
    <x v="1"/>
    <x v="7"/>
    <d v="2025-11-21T00:00:00"/>
    <s v="22:30"/>
    <x v="119"/>
    <x v="4"/>
    <n v="38"/>
    <x v="8"/>
    <n v="1"/>
    <n v="0"/>
    <n v="0"/>
    <n v="1"/>
    <n v="0"/>
    <x v="1"/>
    <n v="0"/>
    <x v="0"/>
    <x v="1"/>
  </r>
  <r>
    <n v="500405"/>
    <n v="76680"/>
    <x v="1"/>
    <x v="6"/>
    <d v="2026-04-19T00:00:00"/>
    <s v="10:08"/>
    <x v="31"/>
    <x v="2"/>
    <n v="28"/>
    <x v="7"/>
    <n v="1"/>
    <n v="0"/>
    <n v="0"/>
    <n v="0"/>
    <n v="0"/>
    <x v="1"/>
    <n v="1"/>
    <x v="0"/>
    <x v="1"/>
  </r>
  <r>
    <n v="500406"/>
    <n v="31940"/>
    <x v="0"/>
    <x v="5"/>
    <d v="2026-01-30T00:00:00"/>
    <s v="00:32"/>
    <x v="33"/>
    <x v="4"/>
    <n v="50"/>
    <x v="1"/>
    <n v="0"/>
    <n v="0"/>
    <n v="0"/>
    <n v="0"/>
    <n v="0"/>
    <x v="1"/>
    <n v="1"/>
    <x v="0"/>
    <x v="0"/>
  </r>
  <r>
    <n v="500407"/>
    <n v="67047"/>
    <x v="0"/>
    <x v="3"/>
    <d v="2026-05-14T00:00:00"/>
    <s v="14:00"/>
    <x v="162"/>
    <x v="2"/>
    <n v="16"/>
    <x v="7"/>
    <n v="0"/>
    <n v="0"/>
    <n v="0"/>
    <n v="0"/>
    <n v="0"/>
    <x v="1"/>
    <n v="1"/>
    <x v="1"/>
    <x v="3"/>
  </r>
  <r>
    <n v="500408"/>
    <n v="17113"/>
    <x v="0"/>
    <x v="7"/>
    <d v="2025-12-24T00:00:00"/>
    <s v="02:36"/>
    <x v="170"/>
    <x v="1"/>
    <n v="35"/>
    <x v="8"/>
    <n v="0"/>
    <n v="0"/>
    <n v="0"/>
    <n v="0"/>
    <n v="0"/>
    <x v="1"/>
    <n v="1"/>
    <x v="0"/>
    <x v="1"/>
  </r>
  <r>
    <n v="500409"/>
    <n v="92603"/>
    <x v="1"/>
    <x v="4"/>
    <d v="2026-05-20T00:00:00"/>
    <s v="01:03"/>
    <x v="168"/>
    <x v="0"/>
    <n v="40"/>
    <x v="4"/>
    <n v="0"/>
    <n v="0"/>
    <n v="0"/>
    <n v="0"/>
    <n v="0"/>
    <x v="1"/>
    <n v="1"/>
    <x v="0"/>
    <x v="1"/>
  </r>
  <r>
    <n v="500410"/>
    <n v="18288"/>
    <x v="0"/>
    <x v="5"/>
    <d v="2026-04-01T00:00:00"/>
    <s v="12:21"/>
    <x v="59"/>
    <x v="1"/>
    <n v="48"/>
    <x v="4"/>
    <n v="0"/>
    <n v="1"/>
    <n v="0"/>
    <n v="0"/>
    <n v="0"/>
    <x v="0"/>
    <n v="0"/>
    <x v="0"/>
    <x v="0"/>
  </r>
  <r>
    <n v="500411"/>
    <n v="96602"/>
    <x v="0"/>
    <x v="6"/>
    <d v="2026-01-21T00:00:00"/>
    <s v="13:06"/>
    <x v="137"/>
    <x v="3"/>
    <n v="52"/>
    <x v="2"/>
    <n v="0"/>
    <n v="1"/>
    <n v="0"/>
    <n v="0"/>
    <n v="0"/>
    <x v="0"/>
    <n v="0"/>
    <x v="1"/>
    <x v="0"/>
  </r>
  <r>
    <n v="500412"/>
    <n v="98773"/>
    <x v="1"/>
    <x v="0"/>
    <d v="2026-01-04T00:00:00"/>
    <s v="22:43"/>
    <x v="54"/>
    <x v="6"/>
    <n v="15"/>
    <x v="8"/>
    <n v="0"/>
    <n v="0"/>
    <n v="0"/>
    <n v="0"/>
    <n v="0"/>
    <x v="1"/>
    <n v="1"/>
    <x v="1"/>
    <x v="3"/>
  </r>
  <r>
    <n v="500413"/>
    <n v="85067"/>
    <x v="1"/>
    <x v="5"/>
    <d v="2026-03-05T00:00:00"/>
    <s v="05:53"/>
    <x v="66"/>
    <x v="6"/>
    <n v="7"/>
    <x v="0"/>
    <n v="0"/>
    <n v="0"/>
    <n v="0"/>
    <n v="0"/>
    <n v="0"/>
    <x v="1"/>
    <n v="0"/>
    <x v="0"/>
    <x v="3"/>
  </r>
  <r>
    <n v="500414"/>
    <n v="37752"/>
    <x v="1"/>
    <x v="3"/>
    <d v="2026-02-08T00:00:00"/>
    <s v="04:36"/>
    <x v="92"/>
    <x v="3"/>
    <n v="63"/>
    <x v="2"/>
    <n v="0"/>
    <n v="1"/>
    <n v="0"/>
    <n v="0"/>
    <n v="0"/>
    <x v="0"/>
    <n v="0"/>
    <x v="0"/>
    <x v="2"/>
  </r>
  <r>
    <n v="500415"/>
    <n v="81939"/>
    <x v="1"/>
    <x v="5"/>
    <d v="2026-04-24T00:00:00"/>
    <s v="22:52"/>
    <x v="157"/>
    <x v="1"/>
    <n v="44"/>
    <x v="0"/>
    <n v="0"/>
    <n v="0"/>
    <n v="0"/>
    <n v="0"/>
    <n v="0"/>
    <x v="1"/>
    <n v="0"/>
    <x v="0"/>
    <x v="0"/>
  </r>
  <r>
    <n v="500416"/>
    <n v="97988"/>
    <x v="0"/>
    <x v="5"/>
    <d v="2025-12-14T00:00:00"/>
    <s v="03:44"/>
    <x v="152"/>
    <x v="4"/>
    <n v="23"/>
    <x v="0"/>
    <n v="0"/>
    <n v="0"/>
    <n v="0"/>
    <n v="0"/>
    <n v="0"/>
    <x v="1"/>
    <n v="1"/>
    <x v="0"/>
    <x v="1"/>
  </r>
  <r>
    <n v="500417"/>
    <n v="50065"/>
    <x v="0"/>
    <x v="2"/>
    <d v="2026-04-11T00:00:00"/>
    <s v="21:20"/>
    <x v="171"/>
    <x v="6"/>
    <n v="69"/>
    <x v="4"/>
    <n v="1"/>
    <n v="1"/>
    <n v="0"/>
    <n v="0"/>
    <n v="0"/>
    <x v="0"/>
    <n v="1"/>
    <x v="0"/>
    <x v="2"/>
  </r>
  <r>
    <n v="500418"/>
    <n v="99073"/>
    <x v="1"/>
    <x v="6"/>
    <d v="2025-12-20T00:00:00"/>
    <s v="06:03"/>
    <x v="129"/>
    <x v="3"/>
    <n v="40"/>
    <x v="3"/>
    <n v="1"/>
    <n v="0"/>
    <n v="0"/>
    <n v="0"/>
    <n v="0"/>
    <x v="1"/>
    <n v="1"/>
    <x v="0"/>
    <x v="1"/>
  </r>
  <r>
    <n v="500419"/>
    <n v="89511"/>
    <x v="0"/>
    <x v="7"/>
    <d v="2026-03-08T00:00:00"/>
    <s v="19:56"/>
    <x v="12"/>
    <x v="5"/>
    <n v="61"/>
    <x v="2"/>
    <n v="0"/>
    <n v="1"/>
    <n v="0"/>
    <n v="1"/>
    <n v="0"/>
    <x v="0"/>
    <n v="1"/>
    <x v="1"/>
    <x v="2"/>
  </r>
  <r>
    <n v="500420"/>
    <n v="86269"/>
    <x v="1"/>
    <x v="1"/>
    <d v="2025-12-16T00:00:00"/>
    <s v="14:30"/>
    <x v="100"/>
    <x v="0"/>
    <n v="39"/>
    <x v="7"/>
    <n v="1"/>
    <n v="0"/>
    <n v="0"/>
    <n v="0"/>
    <n v="0"/>
    <x v="1"/>
    <n v="1"/>
    <x v="0"/>
    <x v="1"/>
  </r>
  <r>
    <n v="500421"/>
    <n v="57948"/>
    <x v="1"/>
    <x v="1"/>
    <d v="2026-03-17T00:00:00"/>
    <s v="04:19"/>
    <x v="136"/>
    <x v="2"/>
    <n v="79"/>
    <x v="9"/>
    <n v="1"/>
    <n v="1"/>
    <n v="0"/>
    <n v="0"/>
    <n v="0"/>
    <x v="0"/>
    <n v="1"/>
    <x v="0"/>
    <x v="2"/>
  </r>
  <r>
    <n v="500422"/>
    <n v="90482"/>
    <x v="0"/>
    <x v="3"/>
    <d v="2026-04-14T00:00:00"/>
    <s v="18:34"/>
    <x v="172"/>
    <x v="1"/>
    <n v="73"/>
    <x v="3"/>
    <n v="0"/>
    <n v="1"/>
    <n v="0"/>
    <n v="0"/>
    <n v="0"/>
    <x v="0"/>
    <n v="1"/>
    <x v="0"/>
    <x v="2"/>
  </r>
  <r>
    <n v="500423"/>
    <n v="38681"/>
    <x v="1"/>
    <x v="1"/>
    <d v="2026-05-11T00:00:00"/>
    <s v="00:10"/>
    <x v="173"/>
    <x v="3"/>
    <n v="33"/>
    <x v="6"/>
    <n v="1"/>
    <n v="0"/>
    <n v="0"/>
    <n v="0"/>
    <n v="0"/>
    <x v="1"/>
    <n v="1"/>
    <x v="0"/>
    <x v="1"/>
  </r>
  <r>
    <n v="500424"/>
    <n v="57349"/>
    <x v="1"/>
    <x v="6"/>
    <d v="2026-04-15T00:00:00"/>
    <s v="17:26"/>
    <x v="145"/>
    <x v="4"/>
    <n v="57"/>
    <x v="3"/>
    <n v="0"/>
    <n v="1"/>
    <n v="0"/>
    <n v="0"/>
    <n v="0"/>
    <x v="0"/>
    <n v="1"/>
    <x v="0"/>
    <x v="0"/>
  </r>
  <r>
    <n v="500425"/>
    <n v="85842"/>
    <x v="0"/>
    <x v="4"/>
    <d v="2026-02-21T00:00:00"/>
    <s v="17:35"/>
    <x v="92"/>
    <x v="3"/>
    <n v="50"/>
    <x v="5"/>
    <n v="1"/>
    <n v="0"/>
    <n v="0"/>
    <n v="1"/>
    <n v="0"/>
    <x v="1"/>
    <n v="0"/>
    <x v="1"/>
    <x v="0"/>
  </r>
  <r>
    <n v="500426"/>
    <n v="63194"/>
    <x v="1"/>
    <x v="2"/>
    <d v="2026-04-05T00:00:00"/>
    <s v="02:28"/>
    <x v="45"/>
    <x v="2"/>
    <n v="65"/>
    <x v="3"/>
    <n v="1"/>
    <n v="0"/>
    <n v="1"/>
    <n v="0"/>
    <n v="0"/>
    <x v="0"/>
    <n v="1"/>
    <x v="0"/>
    <x v="2"/>
  </r>
  <r>
    <n v="500427"/>
    <n v="29692"/>
    <x v="0"/>
    <x v="3"/>
    <d v="2026-04-18T00:00:00"/>
    <s v="10:38"/>
    <x v="116"/>
    <x v="6"/>
    <n v="18"/>
    <x v="4"/>
    <n v="0"/>
    <n v="0"/>
    <n v="0"/>
    <n v="0"/>
    <n v="0"/>
    <x v="1"/>
    <n v="0"/>
    <x v="0"/>
    <x v="3"/>
  </r>
  <r>
    <n v="500428"/>
    <n v="64344"/>
    <x v="1"/>
    <x v="5"/>
    <d v="2026-01-28T00:00:00"/>
    <s v="14:15"/>
    <x v="146"/>
    <x v="6"/>
    <n v="51"/>
    <x v="3"/>
    <n v="1"/>
    <n v="0"/>
    <n v="0"/>
    <n v="0"/>
    <n v="0"/>
    <x v="1"/>
    <n v="1"/>
    <x v="1"/>
    <x v="0"/>
  </r>
  <r>
    <n v="500429"/>
    <n v="87640"/>
    <x v="0"/>
    <x v="3"/>
    <d v="2026-01-01T00:00:00"/>
    <s v="19:46"/>
    <x v="6"/>
    <x v="2"/>
    <n v="59"/>
    <x v="8"/>
    <n v="0"/>
    <n v="0"/>
    <n v="1"/>
    <n v="0"/>
    <n v="0"/>
    <x v="0"/>
    <n v="1"/>
    <x v="0"/>
    <x v="0"/>
  </r>
  <r>
    <n v="500430"/>
    <n v="93574"/>
    <x v="0"/>
    <x v="7"/>
    <d v="2026-04-10T00:00:00"/>
    <s v="14:01"/>
    <x v="90"/>
    <x v="5"/>
    <n v="2"/>
    <x v="6"/>
    <n v="0"/>
    <n v="0"/>
    <n v="0"/>
    <n v="0"/>
    <n v="0"/>
    <x v="1"/>
    <n v="1"/>
    <x v="0"/>
    <x v="3"/>
  </r>
  <r>
    <n v="500431"/>
    <n v="73133"/>
    <x v="0"/>
    <x v="1"/>
    <d v="2026-02-05T00:00:00"/>
    <s v="13:30"/>
    <x v="163"/>
    <x v="0"/>
    <n v="14"/>
    <x v="5"/>
    <n v="0"/>
    <n v="0"/>
    <n v="0"/>
    <n v="0"/>
    <n v="0"/>
    <x v="1"/>
    <n v="0"/>
    <x v="0"/>
    <x v="3"/>
  </r>
  <r>
    <n v="500432"/>
    <n v="33839"/>
    <x v="1"/>
    <x v="3"/>
    <d v="2026-01-31T00:00:00"/>
    <s v="18:11"/>
    <x v="21"/>
    <x v="1"/>
    <n v="0"/>
    <x v="4"/>
    <n v="0"/>
    <n v="0"/>
    <n v="0"/>
    <n v="0"/>
    <n v="0"/>
    <x v="1"/>
    <n v="1"/>
    <x v="1"/>
    <x v="3"/>
  </r>
  <r>
    <n v="500433"/>
    <n v="59572"/>
    <x v="1"/>
    <x v="3"/>
    <d v="2026-04-14T00:00:00"/>
    <s v="12:28"/>
    <x v="25"/>
    <x v="4"/>
    <n v="32"/>
    <x v="6"/>
    <n v="0"/>
    <n v="0"/>
    <n v="0"/>
    <n v="0"/>
    <n v="0"/>
    <x v="1"/>
    <n v="1"/>
    <x v="0"/>
    <x v="1"/>
  </r>
  <r>
    <n v="500434"/>
    <n v="29603"/>
    <x v="0"/>
    <x v="3"/>
    <d v="2026-03-23T00:00:00"/>
    <s v="11:19"/>
    <x v="15"/>
    <x v="2"/>
    <n v="52"/>
    <x v="3"/>
    <n v="0"/>
    <n v="0"/>
    <n v="0"/>
    <n v="0"/>
    <n v="0"/>
    <x v="1"/>
    <n v="1"/>
    <x v="0"/>
    <x v="0"/>
  </r>
  <r>
    <n v="500435"/>
    <n v="80685"/>
    <x v="0"/>
    <x v="4"/>
    <d v="2026-01-06T00:00:00"/>
    <s v="13:35"/>
    <x v="35"/>
    <x v="4"/>
    <n v="68"/>
    <x v="8"/>
    <n v="1"/>
    <n v="0"/>
    <n v="1"/>
    <n v="0"/>
    <n v="0"/>
    <x v="0"/>
    <n v="0"/>
    <x v="1"/>
    <x v="2"/>
  </r>
  <r>
    <n v="500436"/>
    <n v="87207"/>
    <x v="0"/>
    <x v="4"/>
    <d v="2026-02-06T00:00:00"/>
    <s v="12:33"/>
    <x v="154"/>
    <x v="5"/>
    <n v="39"/>
    <x v="2"/>
    <n v="1"/>
    <n v="0"/>
    <n v="0"/>
    <n v="0"/>
    <n v="0"/>
    <x v="1"/>
    <n v="0"/>
    <x v="0"/>
    <x v="1"/>
  </r>
  <r>
    <n v="500437"/>
    <n v="81267"/>
    <x v="1"/>
    <x v="7"/>
    <d v="2026-04-05T00:00:00"/>
    <s v="10:22"/>
    <x v="68"/>
    <x v="5"/>
    <n v="70"/>
    <x v="1"/>
    <n v="0"/>
    <n v="0"/>
    <n v="0"/>
    <n v="0"/>
    <n v="0"/>
    <x v="1"/>
    <n v="1"/>
    <x v="0"/>
    <x v="2"/>
  </r>
  <r>
    <n v="500438"/>
    <n v="51405"/>
    <x v="1"/>
    <x v="2"/>
    <d v="2025-11-23T00:00:00"/>
    <s v="17:58"/>
    <x v="159"/>
    <x v="3"/>
    <n v="10"/>
    <x v="6"/>
    <n v="0"/>
    <n v="0"/>
    <n v="0"/>
    <n v="0"/>
    <n v="0"/>
    <x v="1"/>
    <n v="1"/>
    <x v="0"/>
    <x v="3"/>
  </r>
  <r>
    <n v="500439"/>
    <n v="80268"/>
    <x v="1"/>
    <x v="2"/>
    <d v="2025-12-18T00:00:00"/>
    <s v="15:10"/>
    <x v="67"/>
    <x v="6"/>
    <n v="3"/>
    <x v="9"/>
    <n v="0"/>
    <n v="0"/>
    <n v="0"/>
    <n v="0"/>
    <n v="0"/>
    <x v="1"/>
    <n v="1"/>
    <x v="0"/>
    <x v="3"/>
  </r>
  <r>
    <n v="500440"/>
    <n v="64162"/>
    <x v="1"/>
    <x v="3"/>
    <d v="2026-05-05T00:00:00"/>
    <s v="13:58"/>
    <x v="133"/>
    <x v="0"/>
    <n v="36"/>
    <x v="4"/>
    <n v="1"/>
    <n v="0"/>
    <n v="0"/>
    <n v="0"/>
    <n v="0"/>
    <x v="1"/>
    <n v="1"/>
    <x v="0"/>
    <x v="1"/>
  </r>
  <r>
    <n v="500441"/>
    <n v="28096"/>
    <x v="0"/>
    <x v="1"/>
    <d v="2026-05-19T00:00:00"/>
    <s v="13:26"/>
    <x v="174"/>
    <x v="4"/>
    <n v="45"/>
    <x v="3"/>
    <n v="0"/>
    <n v="0"/>
    <n v="1"/>
    <n v="0"/>
    <n v="0"/>
    <x v="0"/>
    <n v="0"/>
    <x v="0"/>
    <x v="0"/>
  </r>
  <r>
    <n v="500442"/>
    <n v="99727"/>
    <x v="0"/>
    <x v="3"/>
    <d v="2026-02-01T00:00:00"/>
    <s v="12:17"/>
    <x v="56"/>
    <x v="3"/>
    <n v="37"/>
    <x v="5"/>
    <n v="0"/>
    <n v="0"/>
    <n v="0"/>
    <n v="0"/>
    <n v="0"/>
    <x v="1"/>
    <n v="1"/>
    <x v="0"/>
    <x v="1"/>
  </r>
  <r>
    <n v="500443"/>
    <n v="21552"/>
    <x v="0"/>
    <x v="7"/>
    <d v="2026-01-30T00:00:00"/>
    <s v="05:33"/>
    <x v="126"/>
    <x v="3"/>
    <n v="0"/>
    <x v="1"/>
    <n v="0"/>
    <n v="0"/>
    <n v="0"/>
    <n v="0"/>
    <n v="0"/>
    <x v="1"/>
    <n v="1"/>
    <x v="0"/>
    <x v="3"/>
  </r>
  <r>
    <n v="500444"/>
    <n v="62513"/>
    <x v="1"/>
    <x v="0"/>
    <d v="2026-03-06T00:00:00"/>
    <s v="07:49"/>
    <x v="12"/>
    <x v="5"/>
    <n v="36"/>
    <x v="2"/>
    <n v="1"/>
    <n v="0"/>
    <n v="0"/>
    <n v="0"/>
    <n v="0"/>
    <x v="1"/>
    <n v="1"/>
    <x v="0"/>
    <x v="1"/>
  </r>
  <r>
    <n v="500445"/>
    <n v="47487"/>
    <x v="0"/>
    <x v="0"/>
    <d v="2026-03-05T00:00:00"/>
    <s v="17:38"/>
    <x v="88"/>
    <x v="2"/>
    <n v="11"/>
    <x v="9"/>
    <n v="0"/>
    <n v="0"/>
    <n v="0"/>
    <n v="0"/>
    <n v="0"/>
    <x v="1"/>
    <n v="1"/>
    <x v="0"/>
    <x v="3"/>
  </r>
  <r>
    <n v="500446"/>
    <n v="98345"/>
    <x v="0"/>
    <x v="2"/>
    <d v="2026-02-16T00:00:00"/>
    <s v="12:46"/>
    <x v="44"/>
    <x v="0"/>
    <n v="51"/>
    <x v="1"/>
    <n v="0"/>
    <n v="0"/>
    <n v="1"/>
    <n v="0"/>
    <n v="0"/>
    <x v="0"/>
    <n v="1"/>
    <x v="0"/>
    <x v="0"/>
  </r>
  <r>
    <n v="500447"/>
    <n v="36255"/>
    <x v="0"/>
    <x v="5"/>
    <d v="2026-04-27T00:00:00"/>
    <s v="04:30"/>
    <x v="4"/>
    <x v="3"/>
    <n v="45"/>
    <x v="6"/>
    <n v="1"/>
    <n v="0"/>
    <n v="0"/>
    <n v="0"/>
    <n v="0"/>
    <x v="1"/>
    <n v="1"/>
    <x v="0"/>
    <x v="0"/>
  </r>
  <r>
    <n v="500448"/>
    <n v="39661"/>
    <x v="0"/>
    <x v="6"/>
    <d v="2026-01-27T00:00:00"/>
    <s v="19:37"/>
    <x v="96"/>
    <x v="0"/>
    <n v="19"/>
    <x v="5"/>
    <n v="0"/>
    <n v="0"/>
    <n v="0"/>
    <n v="0"/>
    <n v="0"/>
    <x v="1"/>
    <n v="1"/>
    <x v="1"/>
    <x v="1"/>
  </r>
  <r>
    <n v="500449"/>
    <n v="19487"/>
    <x v="1"/>
    <x v="2"/>
    <d v="2026-05-13T00:00:00"/>
    <s v="06:42"/>
    <x v="175"/>
    <x v="0"/>
    <n v="27"/>
    <x v="6"/>
    <n v="1"/>
    <n v="0"/>
    <n v="0"/>
    <n v="0"/>
    <n v="0"/>
    <x v="1"/>
    <n v="1"/>
    <x v="0"/>
    <x v="1"/>
  </r>
  <r>
    <n v="500450"/>
    <n v="59424"/>
    <x v="1"/>
    <x v="1"/>
    <d v="2026-04-10T00:00:00"/>
    <s v="11:37"/>
    <x v="132"/>
    <x v="5"/>
    <n v="16"/>
    <x v="4"/>
    <n v="0"/>
    <n v="0"/>
    <n v="0"/>
    <n v="0"/>
    <n v="0"/>
    <x v="1"/>
    <n v="1"/>
    <x v="0"/>
    <x v="3"/>
  </r>
  <r>
    <n v="500451"/>
    <n v="86916"/>
    <x v="0"/>
    <x v="6"/>
    <d v="2026-04-12T00:00:00"/>
    <s v="00:57"/>
    <x v="134"/>
    <x v="5"/>
    <n v="36"/>
    <x v="6"/>
    <n v="1"/>
    <n v="0"/>
    <n v="0"/>
    <n v="1"/>
    <n v="0"/>
    <x v="1"/>
    <n v="0"/>
    <x v="0"/>
    <x v="1"/>
  </r>
  <r>
    <n v="500452"/>
    <n v="40137"/>
    <x v="1"/>
    <x v="4"/>
    <d v="2026-04-05T00:00:00"/>
    <s v="06:27"/>
    <x v="37"/>
    <x v="4"/>
    <n v="57"/>
    <x v="4"/>
    <n v="0"/>
    <n v="0"/>
    <n v="0"/>
    <n v="0"/>
    <n v="0"/>
    <x v="1"/>
    <n v="1"/>
    <x v="0"/>
    <x v="0"/>
  </r>
  <r>
    <n v="500453"/>
    <n v="33394"/>
    <x v="1"/>
    <x v="2"/>
    <d v="2026-01-07T00:00:00"/>
    <s v="02:23"/>
    <x v="109"/>
    <x v="1"/>
    <n v="18"/>
    <x v="4"/>
    <n v="0"/>
    <n v="0"/>
    <n v="0"/>
    <n v="0"/>
    <n v="0"/>
    <x v="1"/>
    <n v="1"/>
    <x v="1"/>
    <x v="3"/>
  </r>
  <r>
    <n v="500454"/>
    <n v="99536"/>
    <x v="0"/>
    <x v="6"/>
    <d v="2026-04-19T00:00:00"/>
    <s v="09:48"/>
    <x v="31"/>
    <x v="2"/>
    <n v="48"/>
    <x v="1"/>
    <n v="0"/>
    <n v="0"/>
    <n v="0"/>
    <n v="0"/>
    <n v="0"/>
    <x v="1"/>
    <n v="1"/>
    <x v="0"/>
    <x v="0"/>
  </r>
  <r>
    <n v="500455"/>
    <n v="30446"/>
    <x v="0"/>
    <x v="5"/>
    <d v="2026-04-20T00:00:00"/>
    <s v="19:13"/>
    <x v="87"/>
    <x v="0"/>
    <n v="27"/>
    <x v="6"/>
    <n v="1"/>
    <n v="0"/>
    <n v="0"/>
    <n v="0"/>
    <n v="0"/>
    <x v="1"/>
    <n v="1"/>
    <x v="1"/>
    <x v="1"/>
  </r>
  <r>
    <n v="500456"/>
    <n v="73214"/>
    <x v="1"/>
    <x v="2"/>
    <d v="2026-03-31T00:00:00"/>
    <s v="05:59"/>
    <x v="87"/>
    <x v="0"/>
    <n v="22"/>
    <x v="3"/>
    <n v="1"/>
    <n v="0"/>
    <n v="0"/>
    <n v="0"/>
    <n v="0"/>
    <x v="1"/>
    <n v="0"/>
    <x v="1"/>
    <x v="1"/>
  </r>
  <r>
    <n v="500457"/>
    <n v="39110"/>
    <x v="0"/>
    <x v="0"/>
    <d v="2026-04-12T00:00:00"/>
    <s v="10:14"/>
    <x v="101"/>
    <x v="1"/>
    <n v="35"/>
    <x v="8"/>
    <n v="1"/>
    <n v="0"/>
    <n v="0"/>
    <n v="0"/>
    <n v="0"/>
    <x v="1"/>
    <n v="1"/>
    <x v="0"/>
    <x v="1"/>
  </r>
  <r>
    <n v="500458"/>
    <n v="99959"/>
    <x v="0"/>
    <x v="6"/>
    <d v="2026-01-29T00:00:00"/>
    <s v="01:52"/>
    <x v="154"/>
    <x v="5"/>
    <n v="17"/>
    <x v="6"/>
    <n v="0"/>
    <n v="0"/>
    <n v="0"/>
    <n v="0"/>
    <n v="0"/>
    <x v="1"/>
    <n v="1"/>
    <x v="0"/>
    <x v="3"/>
  </r>
  <r>
    <n v="500459"/>
    <n v="11549"/>
    <x v="0"/>
    <x v="4"/>
    <d v="2026-02-15T00:00:00"/>
    <s v="07:01"/>
    <x v="28"/>
    <x v="5"/>
    <n v="26"/>
    <x v="9"/>
    <n v="0"/>
    <n v="0"/>
    <n v="0"/>
    <n v="0"/>
    <n v="0"/>
    <x v="1"/>
    <n v="1"/>
    <x v="0"/>
    <x v="1"/>
  </r>
  <r>
    <n v="500460"/>
    <n v="41082"/>
    <x v="1"/>
    <x v="6"/>
    <d v="2026-04-10T00:00:00"/>
    <s v="04:55"/>
    <x v="176"/>
    <x v="3"/>
    <n v="14"/>
    <x v="9"/>
    <n v="0"/>
    <n v="0"/>
    <n v="0"/>
    <n v="0"/>
    <n v="0"/>
    <x v="1"/>
    <n v="1"/>
    <x v="0"/>
    <x v="3"/>
  </r>
  <r>
    <n v="500461"/>
    <n v="64931"/>
    <x v="1"/>
    <x v="2"/>
    <d v="2026-03-15T00:00:00"/>
    <s v="00:26"/>
    <x v="153"/>
    <x v="3"/>
    <n v="77"/>
    <x v="5"/>
    <n v="1"/>
    <n v="0"/>
    <n v="0"/>
    <n v="0"/>
    <n v="0"/>
    <x v="1"/>
    <n v="0"/>
    <x v="0"/>
    <x v="2"/>
  </r>
  <r>
    <n v="500462"/>
    <n v="82789"/>
    <x v="1"/>
    <x v="4"/>
    <d v="2026-05-14T00:00:00"/>
    <s v="08:20"/>
    <x v="108"/>
    <x v="5"/>
    <n v="38"/>
    <x v="1"/>
    <n v="0"/>
    <n v="0"/>
    <n v="0"/>
    <n v="0"/>
    <n v="0"/>
    <x v="1"/>
    <n v="1"/>
    <x v="1"/>
    <x v="1"/>
  </r>
  <r>
    <n v="500463"/>
    <n v="65249"/>
    <x v="1"/>
    <x v="3"/>
    <d v="2026-03-26T00:00:00"/>
    <s v="14:08"/>
    <x v="161"/>
    <x v="6"/>
    <n v="24"/>
    <x v="8"/>
    <n v="1"/>
    <n v="0"/>
    <n v="0"/>
    <n v="0"/>
    <n v="0"/>
    <x v="1"/>
    <n v="1"/>
    <x v="0"/>
    <x v="1"/>
  </r>
  <r>
    <n v="500464"/>
    <n v="62219"/>
    <x v="0"/>
    <x v="3"/>
    <d v="2026-05-12T00:00:00"/>
    <s v="04:14"/>
    <x v="162"/>
    <x v="2"/>
    <n v="42"/>
    <x v="7"/>
    <n v="0"/>
    <n v="0"/>
    <n v="0"/>
    <n v="0"/>
    <n v="0"/>
    <x v="1"/>
    <n v="1"/>
    <x v="0"/>
    <x v="0"/>
  </r>
  <r>
    <n v="500465"/>
    <n v="57312"/>
    <x v="1"/>
    <x v="7"/>
    <d v="2026-04-24T00:00:00"/>
    <s v="14:35"/>
    <x v="36"/>
    <x v="3"/>
    <n v="35"/>
    <x v="4"/>
    <n v="0"/>
    <n v="0"/>
    <n v="0"/>
    <n v="0"/>
    <n v="0"/>
    <x v="1"/>
    <n v="1"/>
    <x v="0"/>
    <x v="1"/>
  </r>
  <r>
    <n v="500466"/>
    <n v="85609"/>
    <x v="0"/>
    <x v="7"/>
    <d v="2025-11-29T00:00:00"/>
    <s v="05:09"/>
    <x v="82"/>
    <x v="0"/>
    <n v="33"/>
    <x v="4"/>
    <n v="1"/>
    <n v="0"/>
    <n v="0"/>
    <n v="0"/>
    <n v="0"/>
    <x v="1"/>
    <n v="0"/>
    <x v="0"/>
    <x v="1"/>
  </r>
  <r>
    <n v="500467"/>
    <n v="59947"/>
    <x v="1"/>
    <x v="6"/>
    <d v="2026-02-05T00:00:00"/>
    <s v="04:29"/>
    <x v="163"/>
    <x v="0"/>
    <n v="50"/>
    <x v="2"/>
    <n v="0"/>
    <n v="0"/>
    <n v="0"/>
    <n v="0"/>
    <n v="0"/>
    <x v="1"/>
    <n v="1"/>
    <x v="0"/>
    <x v="0"/>
  </r>
  <r>
    <n v="500468"/>
    <n v="20369"/>
    <x v="0"/>
    <x v="2"/>
    <d v="2026-04-02T00:00:00"/>
    <s v="16:06"/>
    <x v="0"/>
    <x v="0"/>
    <n v="53"/>
    <x v="1"/>
    <n v="1"/>
    <n v="1"/>
    <n v="0"/>
    <n v="0"/>
    <n v="0"/>
    <x v="0"/>
    <n v="1"/>
    <x v="0"/>
    <x v="0"/>
  </r>
  <r>
    <n v="500469"/>
    <n v="57600"/>
    <x v="1"/>
    <x v="4"/>
    <d v="2026-04-16T00:00:00"/>
    <s v="06:03"/>
    <x v="101"/>
    <x v="1"/>
    <n v="27"/>
    <x v="2"/>
    <n v="0"/>
    <n v="0"/>
    <n v="0"/>
    <n v="0"/>
    <n v="0"/>
    <x v="1"/>
    <n v="1"/>
    <x v="0"/>
    <x v="1"/>
  </r>
  <r>
    <n v="500470"/>
    <n v="20494"/>
    <x v="0"/>
    <x v="3"/>
    <d v="2026-05-12T00:00:00"/>
    <s v="04:07"/>
    <x v="177"/>
    <x v="3"/>
    <n v="26"/>
    <x v="5"/>
    <n v="0"/>
    <n v="0"/>
    <n v="0"/>
    <n v="0"/>
    <n v="0"/>
    <x v="1"/>
    <n v="1"/>
    <x v="1"/>
    <x v="1"/>
  </r>
  <r>
    <n v="500471"/>
    <n v="62037"/>
    <x v="0"/>
    <x v="5"/>
    <d v="2026-02-18T00:00:00"/>
    <s v="07:24"/>
    <x v="88"/>
    <x v="2"/>
    <n v="32"/>
    <x v="0"/>
    <n v="0"/>
    <n v="0"/>
    <n v="0"/>
    <n v="0"/>
    <n v="0"/>
    <x v="1"/>
    <n v="1"/>
    <x v="1"/>
    <x v="1"/>
  </r>
  <r>
    <n v="500472"/>
    <n v="47247"/>
    <x v="1"/>
    <x v="3"/>
    <d v="2026-02-21T00:00:00"/>
    <s v="13:25"/>
    <x v="149"/>
    <x v="0"/>
    <n v="0"/>
    <x v="2"/>
    <n v="0"/>
    <n v="0"/>
    <n v="0"/>
    <n v="0"/>
    <n v="0"/>
    <x v="1"/>
    <n v="1"/>
    <x v="1"/>
    <x v="3"/>
  </r>
  <r>
    <n v="500473"/>
    <n v="56771"/>
    <x v="1"/>
    <x v="6"/>
    <d v="2026-04-21T00:00:00"/>
    <s v="07:44"/>
    <x v="168"/>
    <x v="0"/>
    <n v="7"/>
    <x v="3"/>
    <n v="0"/>
    <n v="0"/>
    <n v="0"/>
    <n v="0"/>
    <n v="0"/>
    <x v="1"/>
    <n v="1"/>
    <x v="1"/>
    <x v="3"/>
  </r>
  <r>
    <n v="500474"/>
    <n v="68306"/>
    <x v="0"/>
    <x v="3"/>
    <d v="2026-02-11T00:00:00"/>
    <s v="03:53"/>
    <x v="165"/>
    <x v="4"/>
    <n v="65"/>
    <x v="9"/>
    <n v="1"/>
    <n v="0"/>
    <n v="0"/>
    <n v="0"/>
    <n v="0"/>
    <x v="1"/>
    <n v="1"/>
    <x v="0"/>
    <x v="2"/>
  </r>
  <r>
    <n v="500475"/>
    <n v="80735"/>
    <x v="0"/>
    <x v="5"/>
    <d v="2026-03-10T00:00:00"/>
    <s v="04:39"/>
    <x v="102"/>
    <x v="4"/>
    <n v="70"/>
    <x v="3"/>
    <n v="1"/>
    <n v="0"/>
    <n v="0"/>
    <n v="0"/>
    <n v="1"/>
    <x v="1"/>
    <n v="0"/>
    <x v="1"/>
    <x v="2"/>
  </r>
  <r>
    <n v="500476"/>
    <n v="71498"/>
    <x v="0"/>
    <x v="6"/>
    <d v="2026-01-05T00:00:00"/>
    <s v="01:03"/>
    <x v="75"/>
    <x v="0"/>
    <n v="33"/>
    <x v="3"/>
    <n v="1"/>
    <n v="0"/>
    <n v="0"/>
    <n v="1"/>
    <n v="0"/>
    <x v="1"/>
    <n v="1"/>
    <x v="1"/>
    <x v="1"/>
  </r>
  <r>
    <n v="500477"/>
    <n v="10946"/>
    <x v="1"/>
    <x v="1"/>
    <d v="2026-04-11T00:00:00"/>
    <s v="06:15"/>
    <x v="147"/>
    <x v="2"/>
    <n v="49"/>
    <x v="5"/>
    <n v="1"/>
    <n v="0"/>
    <n v="1"/>
    <n v="0"/>
    <n v="0"/>
    <x v="0"/>
    <n v="1"/>
    <x v="0"/>
    <x v="0"/>
  </r>
  <r>
    <n v="500478"/>
    <n v="65343"/>
    <x v="0"/>
    <x v="7"/>
    <d v="2026-04-10T00:00:00"/>
    <s v="22:15"/>
    <x v="160"/>
    <x v="6"/>
    <n v="44"/>
    <x v="0"/>
    <n v="1"/>
    <n v="0"/>
    <n v="0"/>
    <n v="0"/>
    <n v="0"/>
    <x v="1"/>
    <n v="1"/>
    <x v="0"/>
    <x v="0"/>
  </r>
  <r>
    <n v="500479"/>
    <n v="90967"/>
    <x v="1"/>
    <x v="7"/>
    <d v="2025-11-26T00:00:00"/>
    <s v="16:27"/>
    <x v="17"/>
    <x v="0"/>
    <n v="90"/>
    <x v="9"/>
    <n v="1"/>
    <n v="1"/>
    <n v="1"/>
    <n v="1"/>
    <n v="0"/>
    <x v="0"/>
    <n v="1"/>
    <x v="0"/>
    <x v="2"/>
  </r>
  <r>
    <n v="500480"/>
    <n v="67464"/>
    <x v="0"/>
    <x v="1"/>
    <d v="2025-12-10T00:00:00"/>
    <s v="11:54"/>
    <x v="122"/>
    <x v="3"/>
    <n v="60"/>
    <x v="6"/>
    <n v="0"/>
    <n v="1"/>
    <n v="1"/>
    <n v="0"/>
    <n v="0"/>
    <x v="0"/>
    <n v="1"/>
    <x v="0"/>
    <x v="0"/>
  </r>
  <r>
    <n v="500481"/>
    <n v="14159"/>
    <x v="1"/>
    <x v="5"/>
    <d v="2025-12-02T00:00:00"/>
    <s v="16:19"/>
    <x v="39"/>
    <x v="1"/>
    <n v="35"/>
    <x v="2"/>
    <n v="0"/>
    <n v="0"/>
    <n v="0"/>
    <n v="0"/>
    <n v="0"/>
    <x v="1"/>
    <n v="1"/>
    <x v="0"/>
    <x v="1"/>
  </r>
  <r>
    <n v="500482"/>
    <n v="42778"/>
    <x v="1"/>
    <x v="0"/>
    <d v="2026-01-25T00:00:00"/>
    <s v="17:02"/>
    <x v="19"/>
    <x v="2"/>
    <n v="18"/>
    <x v="6"/>
    <n v="0"/>
    <n v="0"/>
    <n v="0"/>
    <n v="0"/>
    <n v="0"/>
    <x v="1"/>
    <n v="1"/>
    <x v="0"/>
    <x v="3"/>
  </r>
  <r>
    <n v="500483"/>
    <n v="68059"/>
    <x v="0"/>
    <x v="0"/>
    <d v="2026-02-09T00:00:00"/>
    <s v="06:02"/>
    <x v="178"/>
    <x v="6"/>
    <n v="5"/>
    <x v="1"/>
    <n v="0"/>
    <n v="0"/>
    <n v="0"/>
    <n v="0"/>
    <n v="0"/>
    <x v="1"/>
    <n v="0"/>
    <x v="0"/>
    <x v="3"/>
  </r>
  <r>
    <n v="500484"/>
    <n v="37321"/>
    <x v="1"/>
    <x v="4"/>
    <d v="2026-01-07T00:00:00"/>
    <s v="10:38"/>
    <x v="94"/>
    <x v="6"/>
    <n v="42"/>
    <x v="0"/>
    <n v="1"/>
    <n v="0"/>
    <n v="1"/>
    <n v="0"/>
    <n v="0"/>
    <x v="0"/>
    <n v="1"/>
    <x v="1"/>
    <x v="0"/>
  </r>
  <r>
    <n v="500485"/>
    <n v="73075"/>
    <x v="1"/>
    <x v="1"/>
    <d v="2026-03-18T00:00:00"/>
    <s v="10:44"/>
    <x v="41"/>
    <x v="1"/>
    <n v="22"/>
    <x v="4"/>
    <n v="0"/>
    <n v="0"/>
    <n v="0"/>
    <n v="0"/>
    <n v="0"/>
    <x v="1"/>
    <n v="1"/>
    <x v="0"/>
    <x v="1"/>
  </r>
  <r>
    <n v="500486"/>
    <n v="52534"/>
    <x v="0"/>
    <x v="3"/>
    <d v="2026-05-17T00:00:00"/>
    <s v="23:33"/>
    <x v="108"/>
    <x v="5"/>
    <n v="9"/>
    <x v="0"/>
    <n v="0"/>
    <n v="0"/>
    <n v="0"/>
    <n v="0"/>
    <n v="0"/>
    <x v="1"/>
    <n v="1"/>
    <x v="1"/>
    <x v="3"/>
  </r>
  <r>
    <n v="500487"/>
    <n v="15504"/>
    <x v="1"/>
    <x v="3"/>
    <d v="2026-01-27T00:00:00"/>
    <s v="12:27"/>
    <x v="42"/>
    <x v="5"/>
    <n v="25"/>
    <x v="4"/>
    <n v="0"/>
    <n v="0"/>
    <n v="0"/>
    <n v="0"/>
    <n v="0"/>
    <x v="1"/>
    <n v="1"/>
    <x v="0"/>
    <x v="1"/>
  </r>
  <r>
    <n v="500488"/>
    <n v="91937"/>
    <x v="0"/>
    <x v="0"/>
    <d v="2026-04-24T00:00:00"/>
    <s v="03:50"/>
    <x v="157"/>
    <x v="1"/>
    <n v="16"/>
    <x v="4"/>
    <n v="0"/>
    <n v="0"/>
    <n v="0"/>
    <n v="0"/>
    <n v="0"/>
    <x v="1"/>
    <n v="1"/>
    <x v="0"/>
    <x v="3"/>
  </r>
  <r>
    <n v="500489"/>
    <n v="26492"/>
    <x v="1"/>
    <x v="1"/>
    <d v="2026-01-16T00:00:00"/>
    <s v="23:21"/>
    <x v="65"/>
    <x v="3"/>
    <n v="71"/>
    <x v="4"/>
    <n v="1"/>
    <n v="0"/>
    <n v="0"/>
    <n v="0"/>
    <n v="0"/>
    <x v="1"/>
    <n v="1"/>
    <x v="0"/>
    <x v="2"/>
  </r>
  <r>
    <n v="500490"/>
    <n v="73609"/>
    <x v="1"/>
    <x v="7"/>
    <d v="2026-04-18T00:00:00"/>
    <s v="22:59"/>
    <x v="62"/>
    <x v="2"/>
    <n v="55"/>
    <x v="8"/>
    <n v="1"/>
    <n v="1"/>
    <n v="1"/>
    <n v="0"/>
    <n v="0"/>
    <x v="0"/>
    <n v="1"/>
    <x v="0"/>
    <x v="0"/>
  </r>
  <r>
    <n v="500491"/>
    <n v="82682"/>
    <x v="0"/>
    <x v="5"/>
    <d v="2025-12-30T00:00:00"/>
    <s v="02:13"/>
    <x v="179"/>
    <x v="4"/>
    <n v="37"/>
    <x v="8"/>
    <n v="0"/>
    <n v="0"/>
    <n v="0"/>
    <n v="0"/>
    <n v="0"/>
    <x v="1"/>
    <n v="1"/>
    <x v="0"/>
    <x v="1"/>
  </r>
  <r>
    <n v="500492"/>
    <n v="93627"/>
    <x v="1"/>
    <x v="3"/>
    <d v="2026-02-11T00:00:00"/>
    <s v="14:42"/>
    <x v="56"/>
    <x v="3"/>
    <n v="67"/>
    <x v="7"/>
    <n v="1"/>
    <n v="0"/>
    <n v="0"/>
    <n v="0"/>
    <n v="0"/>
    <x v="1"/>
    <n v="1"/>
    <x v="0"/>
    <x v="2"/>
  </r>
  <r>
    <n v="500493"/>
    <n v="75214"/>
    <x v="0"/>
    <x v="7"/>
    <d v="2026-03-31T00:00:00"/>
    <s v="15:25"/>
    <x v="97"/>
    <x v="4"/>
    <n v="39"/>
    <x v="4"/>
    <n v="1"/>
    <n v="0"/>
    <n v="0"/>
    <n v="0"/>
    <n v="0"/>
    <x v="1"/>
    <n v="1"/>
    <x v="1"/>
    <x v="1"/>
  </r>
  <r>
    <n v="500494"/>
    <n v="27009"/>
    <x v="0"/>
    <x v="0"/>
    <d v="2026-05-19T00:00:00"/>
    <s v="16:21"/>
    <x v="108"/>
    <x v="5"/>
    <n v="20"/>
    <x v="1"/>
    <n v="0"/>
    <n v="0"/>
    <n v="0"/>
    <n v="0"/>
    <n v="0"/>
    <x v="1"/>
    <n v="1"/>
    <x v="0"/>
    <x v="1"/>
  </r>
  <r>
    <n v="500495"/>
    <n v="60934"/>
    <x v="1"/>
    <x v="7"/>
    <d v="2026-04-24T00:00:00"/>
    <s v="04:11"/>
    <x v="157"/>
    <x v="1"/>
    <n v="68"/>
    <x v="7"/>
    <n v="1"/>
    <n v="1"/>
    <n v="0"/>
    <n v="1"/>
    <n v="0"/>
    <x v="0"/>
    <n v="0"/>
    <x v="0"/>
    <x v="2"/>
  </r>
  <r>
    <n v="500496"/>
    <n v="71349"/>
    <x v="0"/>
    <x v="2"/>
    <d v="2026-01-07T00:00:00"/>
    <s v="14:57"/>
    <x v="179"/>
    <x v="4"/>
    <n v="48"/>
    <x v="8"/>
    <n v="1"/>
    <n v="0"/>
    <n v="0"/>
    <n v="1"/>
    <n v="0"/>
    <x v="1"/>
    <n v="1"/>
    <x v="0"/>
    <x v="0"/>
  </r>
  <r>
    <n v="500497"/>
    <n v="49833"/>
    <x v="0"/>
    <x v="1"/>
    <d v="2025-12-26T00:00:00"/>
    <s v="22:18"/>
    <x v="73"/>
    <x v="6"/>
    <n v="17"/>
    <x v="8"/>
    <n v="0"/>
    <n v="0"/>
    <n v="0"/>
    <n v="0"/>
    <n v="0"/>
    <x v="1"/>
    <n v="0"/>
    <x v="0"/>
    <x v="3"/>
  </r>
  <r>
    <n v="500498"/>
    <n v="34832"/>
    <x v="0"/>
    <x v="1"/>
    <d v="2026-02-05T00:00:00"/>
    <s v="03:15"/>
    <x v="163"/>
    <x v="0"/>
    <n v="34"/>
    <x v="9"/>
    <n v="0"/>
    <n v="0"/>
    <n v="0"/>
    <n v="0"/>
    <n v="0"/>
    <x v="1"/>
    <n v="0"/>
    <x v="0"/>
    <x v="1"/>
  </r>
  <r>
    <n v="500499"/>
    <n v="85571"/>
    <x v="1"/>
    <x v="6"/>
    <d v="2026-05-08T00:00:00"/>
    <s v="22:34"/>
    <x v="76"/>
    <x v="6"/>
    <n v="20"/>
    <x v="5"/>
    <n v="0"/>
    <n v="0"/>
    <n v="0"/>
    <n v="0"/>
    <n v="0"/>
    <x v="1"/>
    <n v="1"/>
    <x v="0"/>
    <x v="1"/>
  </r>
  <r>
    <n v="500500"/>
    <n v="54238"/>
    <x v="0"/>
    <x v="6"/>
    <d v="2026-04-20T00:00:00"/>
    <s v="08:27"/>
    <x v="132"/>
    <x v="5"/>
    <n v="10"/>
    <x v="4"/>
    <n v="0"/>
    <n v="0"/>
    <n v="0"/>
    <n v="0"/>
    <n v="0"/>
    <x v="1"/>
    <n v="1"/>
    <x v="0"/>
    <x v="3"/>
  </r>
  <r>
    <n v="500501"/>
    <n v="58722"/>
    <x v="1"/>
    <x v="4"/>
    <d v="2025-12-16T00:00:00"/>
    <s v="23:41"/>
    <x v="180"/>
    <x v="0"/>
    <n v="56"/>
    <x v="4"/>
    <n v="0"/>
    <n v="0"/>
    <n v="1"/>
    <n v="0"/>
    <n v="0"/>
    <x v="0"/>
    <n v="0"/>
    <x v="0"/>
    <x v="0"/>
  </r>
  <r>
    <n v="500502"/>
    <n v="62047"/>
    <x v="0"/>
    <x v="0"/>
    <d v="2026-01-10T00:00:00"/>
    <s v="05:31"/>
    <x v="51"/>
    <x v="3"/>
    <n v="76"/>
    <x v="0"/>
    <n v="0"/>
    <n v="0"/>
    <n v="0"/>
    <n v="0"/>
    <n v="0"/>
    <x v="1"/>
    <n v="0"/>
    <x v="1"/>
    <x v="2"/>
  </r>
  <r>
    <n v="500503"/>
    <n v="46170"/>
    <x v="0"/>
    <x v="5"/>
    <d v="2025-12-19T00:00:00"/>
    <s v="14:51"/>
    <x v="127"/>
    <x v="4"/>
    <n v="10"/>
    <x v="7"/>
    <n v="0"/>
    <n v="0"/>
    <n v="0"/>
    <n v="0"/>
    <n v="0"/>
    <x v="1"/>
    <n v="1"/>
    <x v="0"/>
    <x v="3"/>
  </r>
  <r>
    <n v="500504"/>
    <n v="86304"/>
    <x v="0"/>
    <x v="1"/>
    <d v="2025-11-22T00:00:00"/>
    <s v="10:35"/>
    <x v="23"/>
    <x v="2"/>
    <n v="49"/>
    <x v="0"/>
    <n v="1"/>
    <n v="1"/>
    <n v="0"/>
    <n v="0"/>
    <n v="0"/>
    <x v="0"/>
    <n v="0"/>
    <x v="0"/>
    <x v="0"/>
  </r>
  <r>
    <n v="500505"/>
    <n v="32662"/>
    <x v="1"/>
    <x v="5"/>
    <d v="2025-11-30T00:00:00"/>
    <s v="15:49"/>
    <x v="122"/>
    <x v="3"/>
    <n v="24"/>
    <x v="9"/>
    <n v="1"/>
    <n v="0"/>
    <n v="0"/>
    <n v="1"/>
    <n v="0"/>
    <x v="1"/>
    <n v="1"/>
    <x v="0"/>
    <x v="1"/>
  </r>
  <r>
    <n v="500506"/>
    <n v="53829"/>
    <x v="1"/>
    <x v="4"/>
    <d v="2025-12-05T00:00:00"/>
    <s v="02:16"/>
    <x v="13"/>
    <x v="5"/>
    <n v="28"/>
    <x v="5"/>
    <n v="0"/>
    <n v="0"/>
    <n v="0"/>
    <n v="0"/>
    <n v="0"/>
    <x v="1"/>
    <n v="1"/>
    <x v="0"/>
    <x v="1"/>
  </r>
  <r>
    <n v="500507"/>
    <n v="11498"/>
    <x v="1"/>
    <x v="0"/>
    <d v="2026-05-08T00:00:00"/>
    <s v="11:37"/>
    <x v="9"/>
    <x v="1"/>
    <n v="26"/>
    <x v="0"/>
    <n v="0"/>
    <n v="0"/>
    <n v="0"/>
    <n v="0"/>
    <n v="0"/>
    <x v="1"/>
    <n v="1"/>
    <x v="0"/>
    <x v="1"/>
  </r>
  <r>
    <n v="500508"/>
    <n v="30079"/>
    <x v="0"/>
    <x v="4"/>
    <d v="2026-05-07T00:00:00"/>
    <s v="00:27"/>
    <x v="76"/>
    <x v="6"/>
    <n v="20"/>
    <x v="3"/>
    <n v="0"/>
    <n v="0"/>
    <n v="0"/>
    <n v="0"/>
    <n v="0"/>
    <x v="1"/>
    <n v="1"/>
    <x v="0"/>
    <x v="1"/>
  </r>
  <r>
    <n v="500509"/>
    <n v="27326"/>
    <x v="1"/>
    <x v="5"/>
    <d v="2026-02-04T00:00:00"/>
    <s v="09:50"/>
    <x v="52"/>
    <x v="1"/>
    <n v="38"/>
    <x v="3"/>
    <n v="0"/>
    <n v="0"/>
    <n v="0"/>
    <n v="0"/>
    <n v="0"/>
    <x v="1"/>
    <n v="1"/>
    <x v="0"/>
    <x v="1"/>
  </r>
  <r>
    <n v="500510"/>
    <n v="27088"/>
    <x v="0"/>
    <x v="6"/>
    <d v="2025-12-01T00:00:00"/>
    <s v="16:53"/>
    <x v="113"/>
    <x v="3"/>
    <n v="21"/>
    <x v="8"/>
    <n v="0"/>
    <n v="0"/>
    <n v="0"/>
    <n v="0"/>
    <n v="0"/>
    <x v="1"/>
    <n v="1"/>
    <x v="0"/>
    <x v="1"/>
  </r>
  <r>
    <n v="500511"/>
    <n v="78714"/>
    <x v="0"/>
    <x v="1"/>
    <d v="2025-12-23T00:00:00"/>
    <s v="14:18"/>
    <x v="51"/>
    <x v="3"/>
    <n v="43"/>
    <x v="6"/>
    <n v="1"/>
    <n v="0"/>
    <n v="0"/>
    <n v="0"/>
    <n v="0"/>
    <x v="1"/>
    <n v="1"/>
    <x v="0"/>
    <x v="0"/>
  </r>
  <r>
    <n v="500512"/>
    <n v="65514"/>
    <x v="1"/>
    <x v="2"/>
    <d v="2026-01-07T00:00:00"/>
    <s v="00:21"/>
    <x v="179"/>
    <x v="4"/>
    <n v="36"/>
    <x v="1"/>
    <n v="1"/>
    <n v="0"/>
    <n v="0"/>
    <n v="0"/>
    <n v="0"/>
    <x v="1"/>
    <n v="0"/>
    <x v="1"/>
    <x v="1"/>
  </r>
  <r>
    <n v="500513"/>
    <n v="55838"/>
    <x v="1"/>
    <x v="3"/>
    <d v="2026-04-13T00:00:00"/>
    <s v="12:50"/>
    <x v="37"/>
    <x v="4"/>
    <n v="33"/>
    <x v="3"/>
    <n v="0"/>
    <n v="0"/>
    <n v="0"/>
    <n v="0"/>
    <n v="0"/>
    <x v="1"/>
    <n v="1"/>
    <x v="1"/>
    <x v="1"/>
  </r>
  <r>
    <n v="500514"/>
    <n v="21247"/>
    <x v="0"/>
    <x v="0"/>
    <d v="2026-01-23T00:00:00"/>
    <s v="03:52"/>
    <x v="163"/>
    <x v="0"/>
    <n v="19"/>
    <x v="1"/>
    <n v="0"/>
    <n v="0"/>
    <n v="0"/>
    <n v="0"/>
    <n v="0"/>
    <x v="1"/>
    <n v="0"/>
    <x v="1"/>
    <x v="1"/>
  </r>
  <r>
    <n v="500515"/>
    <n v="24585"/>
    <x v="1"/>
    <x v="6"/>
    <d v="2026-02-22T00:00:00"/>
    <s v="05:15"/>
    <x v="72"/>
    <x v="4"/>
    <n v="26"/>
    <x v="3"/>
    <n v="0"/>
    <n v="0"/>
    <n v="0"/>
    <n v="0"/>
    <n v="0"/>
    <x v="1"/>
    <n v="1"/>
    <x v="0"/>
    <x v="1"/>
  </r>
  <r>
    <n v="500516"/>
    <n v="43902"/>
    <x v="1"/>
    <x v="3"/>
    <d v="2026-03-05T00:00:00"/>
    <s v="07:54"/>
    <x v="89"/>
    <x v="1"/>
    <n v="53"/>
    <x v="7"/>
    <n v="1"/>
    <n v="0"/>
    <n v="0"/>
    <n v="1"/>
    <n v="0"/>
    <x v="1"/>
    <n v="1"/>
    <x v="0"/>
    <x v="0"/>
  </r>
  <r>
    <n v="500517"/>
    <n v="90997"/>
    <x v="1"/>
    <x v="0"/>
    <d v="2026-03-12T00:00:00"/>
    <s v="05:22"/>
    <x v="97"/>
    <x v="4"/>
    <n v="48"/>
    <x v="3"/>
    <n v="0"/>
    <n v="1"/>
    <n v="0"/>
    <n v="0"/>
    <n v="0"/>
    <x v="0"/>
    <n v="1"/>
    <x v="1"/>
    <x v="0"/>
  </r>
  <r>
    <n v="500518"/>
    <n v="48337"/>
    <x v="1"/>
    <x v="1"/>
    <d v="2025-12-30T00:00:00"/>
    <s v="11:44"/>
    <x v="50"/>
    <x v="5"/>
    <n v="18"/>
    <x v="5"/>
    <n v="0"/>
    <n v="0"/>
    <n v="0"/>
    <n v="0"/>
    <n v="0"/>
    <x v="1"/>
    <n v="1"/>
    <x v="0"/>
    <x v="3"/>
  </r>
  <r>
    <n v="500519"/>
    <n v="73525"/>
    <x v="0"/>
    <x v="3"/>
    <d v="2025-11-20T00:00:00"/>
    <s v="23:38"/>
    <x v="110"/>
    <x v="5"/>
    <n v="39"/>
    <x v="1"/>
    <n v="1"/>
    <n v="0"/>
    <n v="0"/>
    <n v="0"/>
    <n v="0"/>
    <x v="1"/>
    <n v="1"/>
    <x v="0"/>
    <x v="1"/>
  </r>
  <r>
    <n v="500520"/>
    <n v="49967"/>
    <x v="1"/>
    <x v="6"/>
    <d v="2026-03-27T00:00:00"/>
    <s v="05:09"/>
    <x v="63"/>
    <x v="5"/>
    <n v="53"/>
    <x v="5"/>
    <n v="0"/>
    <n v="1"/>
    <n v="0"/>
    <n v="0"/>
    <n v="0"/>
    <x v="0"/>
    <n v="0"/>
    <x v="0"/>
    <x v="0"/>
  </r>
  <r>
    <n v="500521"/>
    <n v="46159"/>
    <x v="0"/>
    <x v="7"/>
    <d v="2026-01-05T00:00:00"/>
    <s v="22:40"/>
    <x v="106"/>
    <x v="5"/>
    <n v="4"/>
    <x v="5"/>
    <n v="0"/>
    <n v="0"/>
    <n v="0"/>
    <n v="0"/>
    <n v="0"/>
    <x v="1"/>
    <n v="0"/>
    <x v="1"/>
    <x v="3"/>
  </r>
  <r>
    <n v="500522"/>
    <n v="82737"/>
    <x v="1"/>
    <x v="1"/>
    <d v="2025-12-27T00:00:00"/>
    <s v="08:16"/>
    <x v="148"/>
    <x v="2"/>
    <n v="48"/>
    <x v="2"/>
    <n v="1"/>
    <n v="0"/>
    <n v="0"/>
    <n v="0"/>
    <n v="0"/>
    <x v="1"/>
    <n v="0"/>
    <x v="0"/>
    <x v="0"/>
  </r>
  <r>
    <n v="500523"/>
    <n v="91988"/>
    <x v="0"/>
    <x v="4"/>
    <d v="2026-03-23T00:00:00"/>
    <s v="14:33"/>
    <x v="102"/>
    <x v="4"/>
    <n v="24"/>
    <x v="1"/>
    <n v="0"/>
    <n v="0"/>
    <n v="0"/>
    <n v="0"/>
    <n v="0"/>
    <x v="1"/>
    <n v="1"/>
    <x v="0"/>
    <x v="1"/>
  </r>
  <r>
    <n v="500524"/>
    <n v="27271"/>
    <x v="0"/>
    <x v="3"/>
    <d v="2026-04-22T00:00:00"/>
    <s v="10:39"/>
    <x v="36"/>
    <x v="3"/>
    <n v="49"/>
    <x v="9"/>
    <n v="0"/>
    <n v="0"/>
    <n v="0"/>
    <n v="0"/>
    <n v="0"/>
    <x v="1"/>
    <n v="1"/>
    <x v="0"/>
    <x v="0"/>
  </r>
  <r>
    <n v="500525"/>
    <n v="29025"/>
    <x v="0"/>
    <x v="2"/>
    <d v="2026-04-18T00:00:00"/>
    <s v="19:27"/>
    <x v="18"/>
    <x v="5"/>
    <n v="22"/>
    <x v="6"/>
    <n v="0"/>
    <n v="0"/>
    <n v="0"/>
    <n v="0"/>
    <n v="0"/>
    <x v="1"/>
    <n v="1"/>
    <x v="1"/>
    <x v="1"/>
  </r>
  <r>
    <n v="500526"/>
    <n v="51771"/>
    <x v="1"/>
    <x v="4"/>
    <d v="2026-04-14T00:00:00"/>
    <s v="19:34"/>
    <x v="134"/>
    <x v="5"/>
    <n v="1"/>
    <x v="0"/>
    <n v="0"/>
    <n v="0"/>
    <n v="0"/>
    <n v="0"/>
    <n v="0"/>
    <x v="1"/>
    <n v="0"/>
    <x v="0"/>
    <x v="3"/>
  </r>
  <r>
    <n v="500527"/>
    <n v="45887"/>
    <x v="0"/>
    <x v="1"/>
    <d v="2025-12-19T00:00:00"/>
    <s v="23:57"/>
    <x v="67"/>
    <x v="6"/>
    <n v="5"/>
    <x v="6"/>
    <n v="0"/>
    <n v="0"/>
    <n v="0"/>
    <n v="0"/>
    <n v="0"/>
    <x v="1"/>
    <n v="1"/>
    <x v="0"/>
    <x v="3"/>
  </r>
  <r>
    <n v="500528"/>
    <n v="90864"/>
    <x v="1"/>
    <x v="1"/>
    <d v="2026-03-24T00:00:00"/>
    <s v="00:16"/>
    <x v="15"/>
    <x v="2"/>
    <n v="38"/>
    <x v="9"/>
    <n v="0"/>
    <n v="0"/>
    <n v="0"/>
    <n v="0"/>
    <n v="0"/>
    <x v="1"/>
    <n v="1"/>
    <x v="0"/>
    <x v="1"/>
  </r>
  <r>
    <n v="500529"/>
    <n v="27575"/>
    <x v="1"/>
    <x v="2"/>
    <d v="2025-12-28T00:00:00"/>
    <s v="00:27"/>
    <x v="148"/>
    <x v="2"/>
    <n v="43"/>
    <x v="2"/>
    <n v="1"/>
    <n v="0"/>
    <n v="0"/>
    <n v="0"/>
    <n v="0"/>
    <x v="1"/>
    <n v="1"/>
    <x v="0"/>
    <x v="0"/>
  </r>
  <r>
    <n v="500530"/>
    <n v="11967"/>
    <x v="1"/>
    <x v="4"/>
    <d v="2026-04-02T00:00:00"/>
    <s v="19:57"/>
    <x v="90"/>
    <x v="5"/>
    <n v="19"/>
    <x v="1"/>
    <n v="0"/>
    <n v="0"/>
    <n v="0"/>
    <n v="0"/>
    <n v="0"/>
    <x v="1"/>
    <n v="1"/>
    <x v="0"/>
    <x v="1"/>
  </r>
  <r>
    <n v="500531"/>
    <n v="67577"/>
    <x v="1"/>
    <x v="2"/>
    <d v="2026-01-24T00:00:00"/>
    <s v="14:31"/>
    <x v="154"/>
    <x v="5"/>
    <n v="50"/>
    <x v="3"/>
    <n v="0"/>
    <n v="0"/>
    <n v="0"/>
    <n v="0"/>
    <n v="0"/>
    <x v="1"/>
    <n v="0"/>
    <x v="0"/>
    <x v="0"/>
  </r>
  <r>
    <n v="500532"/>
    <n v="84964"/>
    <x v="0"/>
    <x v="5"/>
    <d v="2026-02-01T00:00:00"/>
    <s v="15:34"/>
    <x v="52"/>
    <x v="1"/>
    <n v="4"/>
    <x v="3"/>
    <n v="0"/>
    <n v="0"/>
    <n v="0"/>
    <n v="0"/>
    <n v="0"/>
    <x v="1"/>
    <n v="0"/>
    <x v="0"/>
    <x v="3"/>
  </r>
  <r>
    <n v="500533"/>
    <n v="42207"/>
    <x v="1"/>
    <x v="0"/>
    <d v="2026-04-25T00:00:00"/>
    <s v="16:50"/>
    <x v="105"/>
    <x v="6"/>
    <n v="36"/>
    <x v="8"/>
    <n v="1"/>
    <n v="0"/>
    <n v="0"/>
    <n v="0"/>
    <n v="0"/>
    <x v="1"/>
    <n v="1"/>
    <x v="0"/>
    <x v="1"/>
  </r>
  <r>
    <n v="500534"/>
    <n v="62171"/>
    <x v="1"/>
    <x v="7"/>
    <d v="2026-03-25T00:00:00"/>
    <s v="06:57"/>
    <x v="16"/>
    <x v="0"/>
    <n v="13"/>
    <x v="3"/>
    <n v="0"/>
    <n v="0"/>
    <n v="0"/>
    <n v="0"/>
    <n v="0"/>
    <x v="1"/>
    <n v="1"/>
    <x v="0"/>
    <x v="3"/>
  </r>
  <r>
    <n v="500535"/>
    <n v="77760"/>
    <x v="0"/>
    <x v="6"/>
    <d v="2026-03-28T00:00:00"/>
    <s v="13:33"/>
    <x v="63"/>
    <x v="5"/>
    <n v="24"/>
    <x v="3"/>
    <n v="0"/>
    <n v="0"/>
    <n v="0"/>
    <n v="0"/>
    <n v="0"/>
    <x v="1"/>
    <n v="0"/>
    <x v="0"/>
    <x v="1"/>
  </r>
  <r>
    <n v="500536"/>
    <n v="81618"/>
    <x v="0"/>
    <x v="4"/>
    <d v="2025-12-25T00:00:00"/>
    <s v="17:32"/>
    <x v="170"/>
    <x v="1"/>
    <n v="38"/>
    <x v="5"/>
    <n v="1"/>
    <n v="0"/>
    <n v="0"/>
    <n v="0"/>
    <n v="0"/>
    <x v="1"/>
    <n v="1"/>
    <x v="0"/>
    <x v="1"/>
  </r>
  <r>
    <n v="500537"/>
    <n v="36467"/>
    <x v="1"/>
    <x v="5"/>
    <d v="2026-02-11T00:00:00"/>
    <s v="12:09"/>
    <x v="95"/>
    <x v="6"/>
    <n v="20"/>
    <x v="0"/>
    <n v="1"/>
    <n v="0"/>
    <n v="0"/>
    <n v="0"/>
    <n v="0"/>
    <x v="1"/>
    <n v="0"/>
    <x v="0"/>
    <x v="1"/>
  </r>
  <r>
    <n v="500538"/>
    <n v="26193"/>
    <x v="0"/>
    <x v="5"/>
    <d v="2026-04-01T00:00:00"/>
    <s v="23:15"/>
    <x v="160"/>
    <x v="6"/>
    <n v="30"/>
    <x v="3"/>
    <n v="1"/>
    <n v="0"/>
    <n v="0"/>
    <n v="0"/>
    <n v="0"/>
    <x v="1"/>
    <n v="0"/>
    <x v="0"/>
    <x v="1"/>
  </r>
  <r>
    <n v="500539"/>
    <n v="90225"/>
    <x v="0"/>
    <x v="4"/>
    <d v="2026-02-26T00:00:00"/>
    <s v="11:49"/>
    <x v="111"/>
    <x v="1"/>
    <n v="58"/>
    <x v="8"/>
    <n v="1"/>
    <n v="1"/>
    <n v="1"/>
    <n v="0"/>
    <n v="0"/>
    <x v="0"/>
    <n v="1"/>
    <x v="1"/>
    <x v="0"/>
  </r>
  <r>
    <n v="500540"/>
    <n v="16725"/>
    <x v="1"/>
    <x v="7"/>
    <d v="2026-02-02T00:00:00"/>
    <s v="12:41"/>
    <x v="120"/>
    <x v="2"/>
    <n v="26"/>
    <x v="0"/>
    <n v="1"/>
    <n v="0"/>
    <n v="0"/>
    <n v="0"/>
    <n v="0"/>
    <x v="1"/>
    <n v="0"/>
    <x v="0"/>
    <x v="1"/>
  </r>
  <r>
    <n v="500541"/>
    <n v="10463"/>
    <x v="1"/>
    <x v="0"/>
    <d v="2026-05-09T00:00:00"/>
    <s v="00:53"/>
    <x v="181"/>
    <x v="1"/>
    <n v="54"/>
    <x v="3"/>
    <n v="1"/>
    <n v="0"/>
    <n v="0"/>
    <n v="1"/>
    <n v="0"/>
    <x v="1"/>
    <n v="1"/>
    <x v="0"/>
    <x v="0"/>
  </r>
  <r>
    <n v="500542"/>
    <n v="72352"/>
    <x v="1"/>
    <x v="4"/>
    <d v="2026-05-03T00:00:00"/>
    <s v="19:41"/>
    <x v="18"/>
    <x v="5"/>
    <n v="15"/>
    <x v="3"/>
    <n v="0"/>
    <n v="0"/>
    <n v="0"/>
    <n v="0"/>
    <n v="0"/>
    <x v="1"/>
    <n v="1"/>
    <x v="0"/>
    <x v="3"/>
  </r>
  <r>
    <n v="500543"/>
    <n v="81741"/>
    <x v="1"/>
    <x v="1"/>
    <d v="2026-02-15T00:00:00"/>
    <s v="09:11"/>
    <x v="61"/>
    <x v="3"/>
    <n v="48"/>
    <x v="7"/>
    <n v="0"/>
    <n v="1"/>
    <n v="0"/>
    <n v="1"/>
    <n v="0"/>
    <x v="0"/>
    <n v="1"/>
    <x v="0"/>
    <x v="0"/>
  </r>
  <r>
    <n v="500544"/>
    <n v="49117"/>
    <x v="1"/>
    <x v="5"/>
    <d v="2026-02-12T00:00:00"/>
    <s v="04:19"/>
    <x v="28"/>
    <x v="5"/>
    <n v="66"/>
    <x v="7"/>
    <n v="0"/>
    <n v="0"/>
    <n v="1"/>
    <n v="0"/>
    <n v="0"/>
    <x v="0"/>
    <n v="1"/>
    <x v="0"/>
    <x v="2"/>
  </r>
  <r>
    <n v="500545"/>
    <n v="33254"/>
    <x v="1"/>
    <x v="2"/>
    <d v="2026-03-30T00:00:00"/>
    <s v="16:52"/>
    <x v="107"/>
    <x v="2"/>
    <n v="0"/>
    <x v="7"/>
    <n v="0"/>
    <n v="0"/>
    <n v="0"/>
    <n v="0"/>
    <n v="0"/>
    <x v="1"/>
    <n v="1"/>
    <x v="0"/>
    <x v="3"/>
  </r>
  <r>
    <n v="500546"/>
    <n v="59668"/>
    <x v="0"/>
    <x v="4"/>
    <d v="2026-03-24T00:00:00"/>
    <s v="05:46"/>
    <x v="102"/>
    <x v="4"/>
    <n v="22"/>
    <x v="8"/>
    <n v="0"/>
    <n v="0"/>
    <n v="0"/>
    <n v="0"/>
    <n v="0"/>
    <x v="1"/>
    <n v="1"/>
    <x v="0"/>
    <x v="1"/>
  </r>
  <r>
    <n v="500547"/>
    <n v="79081"/>
    <x v="1"/>
    <x v="1"/>
    <d v="2025-12-25T00:00:00"/>
    <s v="11:46"/>
    <x v="54"/>
    <x v="6"/>
    <n v="49"/>
    <x v="1"/>
    <n v="0"/>
    <n v="1"/>
    <n v="0"/>
    <n v="0"/>
    <n v="0"/>
    <x v="0"/>
    <n v="1"/>
    <x v="0"/>
    <x v="0"/>
  </r>
  <r>
    <n v="500548"/>
    <n v="47642"/>
    <x v="1"/>
    <x v="2"/>
    <d v="2026-04-23T00:00:00"/>
    <s v="04:42"/>
    <x v="87"/>
    <x v="0"/>
    <n v="33"/>
    <x v="0"/>
    <n v="1"/>
    <n v="0"/>
    <n v="0"/>
    <n v="0"/>
    <n v="0"/>
    <x v="1"/>
    <n v="1"/>
    <x v="0"/>
    <x v="1"/>
  </r>
  <r>
    <n v="500549"/>
    <n v="75239"/>
    <x v="1"/>
    <x v="3"/>
    <d v="2026-01-31T00:00:00"/>
    <s v="21:28"/>
    <x v="146"/>
    <x v="6"/>
    <n v="45"/>
    <x v="9"/>
    <n v="0"/>
    <n v="0"/>
    <n v="0"/>
    <n v="0"/>
    <n v="0"/>
    <x v="1"/>
    <n v="1"/>
    <x v="0"/>
    <x v="0"/>
  </r>
  <r>
    <n v="500550"/>
    <n v="25456"/>
    <x v="0"/>
    <x v="4"/>
    <d v="2026-01-04T00:00:00"/>
    <s v="03:14"/>
    <x v="60"/>
    <x v="5"/>
    <n v="25"/>
    <x v="5"/>
    <n v="0"/>
    <n v="0"/>
    <n v="0"/>
    <n v="0"/>
    <n v="0"/>
    <x v="1"/>
    <n v="1"/>
    <x v="1"/>
    <x v="1"/>
  </r>
  <r>
    <n v="500551"/>
    <n v="36370"/>
    <x v="1"/>
    <x v="7"/>
    <d v="2026-05-03T00:00:00"/>
    <s v="22:17"/>
    <x v="48"/>
    <x v="1"/>
    <n v="39"/>
    <x v="6"/>
    <n v="1"/>
    <n v="0"/>
    <n v="0"/>
    <n v="0"/>
    <n v="0"/>
    <x v="1"/>
    <n v="0"/>
    <x v="1"/>
    <x v="1"/>
  </r>
  <r>
    <n v="500552"/>
    <n v="53684"/>
    <x v="1"/>
    <x v="4"/>
    <d v="2026-03-08T00:00:00"/>
    <s v="18:25"/>
    <x v="88"/>
    <x v="2"/>
    <n v="34"/>
    <x v="9"/>
    <n v="0"/>
    <n v="0"/>
    <n v="0"/>
    <n v="0"/>
    <n v="0"/>
    <x v="1"/>
    <n v="0"/>
    <x v="0"/>
    <x v="1"/>
  </r>
  <r>
    <n v="500553"/>
    <n v="72797"/>
    <x v="1"/>
    <x v="0"/>
    <d v="2026-04-30T00:00:00"/>
    <s v="23:04"/>
    <x v="182"/>
    <x v="2"/>
    <n v="61"/>
    <x v="2"/>
    <n v="1"/>
    <n v="1"/>
    <n v="0"/>
    <n v="0"/>
    <n v="0"/>
    <x v="0"/>
    <n v="0"/>
    <x v="0"/>
    <x v="2"/>
  </r>
  <r>
    <n v="500554"/>
    <n v="17342"/>
    <x v="1"/>
    <x v="2"/>
    <d v="2026-04-06T00:00:00"/>
    <s v="00:43"/>
    <x v="31"/>
    <x v="2"/>
    <n v="43"/>
    <x v="8"/>
    <n v="0"/>
    <n v="0"/>
    <n v="1"/>
    <n v="0"/>
    <n v="0"/>
    <x v="0"/>
    <n v="0"/>
    <x v="0"/>
    <x v="0"/>
  </r>
  <r>
    <n v="500555"/>
    <n v="29569"/>
    <x v="1"/>
    <x v="0"/>
    <d v="2026-03-16T00:00:00"/>
    <s v="21:34"/>
    <x v="49"/>
    <x v="3"/>
    <n v="44"/>
    <x v="4"/>
    <n v="1"/>
    <n v="0"/>
    <n v="0"/>
    <n v="0"/>
    <n v="0"/>
    <x v="1"/>
    <n v="1"/>
    <x v="0"/>
    <x v="0"/>
  </r>
  <r>
    <n v="500556"/>
    <n v="50407"/>
    <x v="1"/>
    <x v="0"/>
    <d v="2026-05-09T00:00:00"/>
    <s v="13:33"/>
    <x v="181"/>
    <x v="1"/>
    <n v="29"/>
    <x v="0"/>
    <n v="1"/>
    <n v="0"/>
    <n v="0"/>
    <n v="0"/>
    <n v="0"/>
    <x v="1"/>
    <n v="1"/>
    <x v="0"/>
    <x v="1"/>
  </r>
  <r>
    <n v="500557"/>
    <n v="49666"/>
    <x v="0"/>
    <x v="7"/>
    <d v="2026-05-17T00:00:00"/>
    <s v="10:08"/>
    <x v="32"/>
    <x v="5"/>
    <n v="28"/>
    <x v="2"/>
    <n v="0"/>
    <n v="0"/>
    <n v="0"/>
    <n v="0"/>
    <n v="0"/>
    <x v="1"/>
    <n v="1"/>
    <x v="1"/>
    <x v="1"/>
  </r>
  <r>
    <n v="500558"/>
    <n v="76321"/>
    <x v="0"/>
    <x v="6"/>
    <d v="2025-11-20T00:00:00"/>
    <s v="02:28"/>
    <x v="24"/>
    <x v="4"/>
    <n v="29"/>
    <x v="8"/>
    <n v="0"/>
    <n v="0"/>
    <n v="0"/>
    <n v="0"/>
    <n v="0"/>
    <x v="1"/>
    <n v="0"/>
    <x v="0"/>
    <x v="1"/>
  </r>
  <r>
    <n v="500559"/>
    <n v="52904"/>
    <x v="0"/>
    <x v="5"/>
    <d v="2026-03-01T00:00:00"/>
    <s v="18:51"/>
    <x v="72"/>
    <x v="4"/>
    <n v="45"/>
    <x v="8"/>
    <n v="0"/>
    <n v="0"/>
    <n v="1"/>
    <n v="1"/>
    <n v="0"/>
    <x v="0"/>
    <n v="0"/>
    <x v="1"/>
    <x v="0"/>
  </r>
  <r>
    <n v="500560"/>
    <n v="50760"/>
    <x v="0"/>
    <x v="5"/>
    <d v="2026-02-14T00:00:00"/>
    <s v="04:16"/>
    <x v="115"/>
    <x v="5"/>
    <n v="29"/>
    <x v="4"/>
    <n v="1"/>
    <n v="0"/>
    <n v="0"/>
    <n v="0"/>
    <n v="0"/>
    <x v="1"/>
    <n v="0"/>
    <x v="0"/>
    <x v="1"/>
  </r>
  <r>
    <n v="500561"/>
    <n v="12946"/>
    <x v="1"/>
    <x v="1"/>
    <d v="2026-05-07T00:00:00"/>
    <s v="18:16"/>
    <x v="132"/>
    <x v="5"/>
    <n v="43"/>
    <x v="4"/>
    <n v="0"/>
    <n v="0"/>
    <n v="1"/>
    <n v="0"/>
    <n v="0"/>
    <x v="0"/>
    <n v="1"/>
    <x v="1"/>
    <x v="0"/>
  </r>
  <r>
    <n v="500562"/>
    <n v="29571"/>
    <x v="0"/>
    <x v="7"/>
    <d v="2026-01-19T00:00:00"/>
    <s v="14:53"/>
    <x v="54"/>
    <x v="6"/>
    <n v="79"/>
    <x v="6"/>
    <n v="0"/>
    <n v="0"/>
    <n v="0"/>
    <n v="0"/>
    <n v="0"/>
    <x v="1"/>
    <n v="1"/>
    <x v="0"/>
    <x v="2"/>
  </r>
  <r>
    <n v="500563"/>
    <n v="47128"/>
    <x v="0"/>
    <x v="3"/>
    <d v="2026-03-29T00:00:00"/>
    <s v="04:40"/>
    <x v="153"/>
    <x v="3"/>
    <n v="55"/>
    <x v="6"/>
    <n v="1"/>
    <n v="0"/>
    <n v="0"/>
    <n v="0"/>
    <n v="0"/>
    <x v="1"/>
    <n v="1"/>
    <x v="0"/>
    <x v="0"/>
  </r>
  <r>
    <n v="500564"/>
    <n v="23884"/>
    <x v="1"/>
    <x v="0"/>
    <d v="2026-04-02T00:00:00"/>
    <s v="21:41"/>
    <x v="90"/>
    <x v="5"/>
    <n v="31"/>
    <x v="6"/>
    <n v="1"/>
    <n v="0"/>
    <n v="0"/>
    <n v="0"/>
    <n v="0"/>
    <x v="1"/>
    <n v="0"/>
    <x v="0"/>
    <x v="1"/>
  </r>
  <r>
    <n v="500565"/>
    <n v="68436"/>
    <x v="1"/>
    <x v="7"/>
    <d v="2026-04-13T00:00:00"/>
    <s v="02:09"/>
    <x v="183"/>
    <x v="0"/>
    <n v="62"/>
    <x v="4"/>
    <n v="0"/>
    <n v="0"/>
    <n v="0"/>
    <n v="0"/>
    <n v="0"/>
    <x v="1"/>
    <n v="1"/>
    <x v="1"/>
    <x v="2"/>
  </r>
  <r>
    <n v="500566"/>
    <n v="71377"/>
    <x v="0"/>
    <x v="6"/>
    <d v="2026-04-05T00:00:00"/>
    <s v="23:44"/>
    <x v="182"/>
    <x v="2"/>
    <n v="29"/>
    <x v="0"/>
    <n v="1"/>
    <n v="0"/>
    <n v="0"/>
    <n v="0"/>
    <n v="0"/>
    <x v="1"/>
    <n v="1"/>
    <x v="0"/>
    <x v="1"/>
  </r>
  <r>
    <n v="500567"/>
    <n v="43823"/>
    <x v="1"/>
    <x v="4"/>
    <d v="2025-12-12T00:00:00"/>
    <s v="08:02"/>
    <x v="129"/>
    <x v="3"/>
    <n v="0"/>
    <x v="2"/>
    <n v="0"/>
    <n v="0"/>
    <n v="0"/>
    <n v="0"/>
    <n v="0"/>
    <x v="1"/>
    <n v="1"/>
    <x v="0"/>
    <x v="3"/>
  </r>
  <r>
    <n v="500568"/>
    <n v="52567"/>
    <x v="1"/>
    <x v="6"/>
    <d v="2026-04-01T00:00:00"/>
    <s v="04:58"/>
    <x v="97"/>
    <x v="4"/>
    <n v="17"/>
    <x v="7"/>
    <n v="0"/>
    <n v="0"/>
    <n v="0"/>
    <n v="0"/>
    <n v="0"/>
    <x v="1"/>
    <n v="1"/>
    <x v="0"/>
    <x v="3"/>
  </r>
  <r>
    <n v="500569"/>
    <n v="32387"/>
    <x v="1"/>
    <x v="2"/>
    <d v="2026-01-04T00:00:00"/>
    <s v="04:03"/>
    <x v="60"/>
    <x v="5"/>
    <n v="0"/>
    <x v="9"/>
    <n v="0"/>
    <n v="0"/>
    <n v="0"/>
    <n v="0"/>
    <n v="0"/>
    <x v="1"/>
    <n v="1"/>
    <x v="0"/>
    <x v="3"/>
  </r>
  <r>
    <n v="500570"/>
    <n v="24022"/>
    <x v="1"/>
    <x v="5"/>
    <d v="2026-02-28T00:00:00"/>
    <s v="04:33"/>
    <x v="131"/>
    <x v="2"/>
    <n v="30"/>
    <x v="0"/>
    <n v="1"/>
    <n v="0"/>
    <n v="0"/>
    <n v="0"/>
    <n v="0"/>
    <x v="1"/>
    <n v="1"/>
    <x v="0"/>
    <x v="1"/>
  </r>
  <r>
    <n v="500571"/>
    <n v="73225"/>
    <x v="1"/>
    <x v="5"/>
    <d v="2026-04-19T00:00:00"/>
    <s v="18:11"/>
    <x v="79"/>
    <x v="5"/>
    <n v="38"/>
    <x v="4"/>
    <n v="0"/>
    <n v="0"/>
    <n v="0"/>
    <n v="0"/>
    <n v="0"/>
    <x v="1"/>
    <n v="0"/>
    <x v="0"/>
    <x v="1"/>
  </r>
  <r>
    <n v="500572"/>
    <n v="54852"/>
    <x v="0"/>
    <x v="3"/>
    <d v="2026-05-16T00:00:00"/>
    <s v="15:56"/>
    <x v="168"/>
    <x v="0"/>
    <n v="71"/>
    <x v="6"/>
    <n v="1"/>
    <n v="1"/>
    <n v="0"/>
    <n v="0"/>
    <n v="0"/>
    <x v="0"/>
    <n v="1"/>
    <x v="0"/>
    <x v="2"/>
  </r>
  <r>
    <n v="500573"/>
    <n v="88415"/>
    <x v="0"/>
    <x v="4"/>
    <d v="2026-01-09T00:00:00"/>
    <s v="13:19"/>
    <x v="60"/>
    <x v="5"/>
    <n v="44"/>
    <x v="4"/>
    <n v="1"/>
    <n v="0"/>
    <n v="0"/>
    <n v="1"/>
    <n v="0"/>
    <x v="1"/>
    <n v="1"/>
    <x v="0"/>
    <x v="0"/>
  </r>
  <r>
    <n v="500574"/>
    <n v="93379"/>
    <x v="0"/>
    <x v="3"/>
    <d v="2026-03-04T00:00:00"/>
    <s v="12:13"/>
    <x v="66"/>
    <x v="6"/>
    <n v="33"/>
    <x v="2"/>
    <n v="1"/>
    <n v="0"/>
    <n v="0"/>
    <n v="0"/>
    <n v="0"/>
    <x v="1"/>
    <n v="1"/>
    <x v="1"/>
    <x v="1"/>
  </r>
  <r>
    <n v="500575"/>
    <n v="99327"/>
    <x v="1"/>
    <x v="7"/>
    <d v="2025-11-24T00:00:00"/>
    <s v="21:58"/>
    <x v="86"/>
    <x v="5"/>
    <n v="54"/>
    <x v="9"/>
    <n v="1"/>
    <n v="0"/>
    <n v="0"/>
    <n v="0"/>
    <n v="0"/>
    <x v="1"/>
    <n v="0"/>
    <x v="0"/>
    <x v="0"/>
  </r>
  <r>
    <n v="500576"/>
    <n v="90149"/>
    <x v="1"/>
    <x v="3"/>
    <d v="2025-12-06T00:00:00"/>
    <s v="16:38"/>
    <x v="93"/>
    <x v="6"/>
    <n v="0"/>
    <x v="0"/>
    <n v="0"/>
    <n v="0"/>
    <n v="0"/>
    <n v="0"/>
    <n v="0"/>
    <x v="1"/>
    <n v="0"/>
    <x v="0"/>
    <x v="3"/>
  </r>
  <r>
    <n v="500577"/>
    <n v="10110"/>
    <x v="1"/>
    <x v="5"/>
    <d v="2026-03-02T00:00:00"/>
    <s v="05:53"/>
    <x v="135"/>
    <x v="0"/>
    <n v="42"/>
    <x v="0"/>
    <n v="0"/>
    <n v="0"/>
    <n v="0"/>
    <n v="0"/>
    <n v="0"/>
    <x v="1"/>
    <n v="1"/>
    <x v="0"/>
    <x v="0"/>
  </r>
  <r>
    <n v="500578"/>
    <n v="60012"/>
    <x v="1"/>
    <x v="1"/>
    <d v="2026-02-28T00:00:00"/>
    <s v="10:18"/>
    <x v="131"/>
    <x v="2"/>
    <n v="53"/>
    <x v="2"/>
    <n v="1"/>
    <n v="1"/>
    <n v="0"/>
    <n v="0"/>
    <n v="0"/>
    <x v="0"/>
    <n v="1"/>
    <x v="0"/>
    <x v="0"/>
  </r>
  <r>
    <n v="500579"/>
    <n v="97826"/>
    <x v="0"/>
    <x v="3"/>
    <d v="2026-04-04T00:00:00"/>
    <s v="18:14"/>
    <x v="77"/>
    <x v="6"/>
    <n v="8"/>
    <x v="7"/>
    <n v="0"/>
    <n v="0"/>
    <n v="0"/>
    <n v="0"/>
    <n v="0"/>
    <x v="1"/>
    <n v="1"/>
    <x v="0"/>
    <x v="3"/>
  </r>
  <r>
    <n v="500580"/>
    <n v="73792"/>
    <x v="1"/>
    <x v="3"/>
    <d v="2026-01-24T00:00:00"/>
    <s v="17:27"/>
    <x v="146"/>
    <x v="6"/>
    <n v="60"/>
    <x v="6"/>
    <n v="0"/>
    <n v="0"/>
    <n v="0"/>
    <n v="0"/>
    <n v="0"/>
    <x v="1"/>
    <n v="1"/>
    <x v="1"/>
    <x v="0"/>
  </r>
  <r>
    <n v="500581"/>
    <n v="76770"/>
    <x v="1"/>
    <x v="6"/>
    <d v="2026-04-09T00:00:00"/>
    <s v="03:43"/>
    <x v="0"/>
    <x v="0"/>
    <n v="44"/>
    <x v="5"/>
    <n v="1"/>
    <n v="0"/>
    <n v="0"/>
    <n v="0"/>
    <n v="0"/>
    <x v="1"/>
    <n v="1"/>
    <x v="0"/>
    <x v="0"/>
  </r>
  <r>
    <n v="500582"/>
    <n v="75762"/>
    <x v="1"/>
    <x v="4"/>
    <d v="2026-03-17T00:00:00"/>
    <s v="08:20"/>
    <x v="136"/>
    <x v="2"/>
    <n v="29"/>
    <x v="8"/>
    <n v="1"/>
    <n v="0"/>
    <n v="0"/>
    <n v="1"/>
    <n v="0"/>
    <x v="1"/>
    <n v="1"/>
    <x v="0"/>
    <x v="1"/>
  </r>
  <r>
    <n v="500583"/>
    <n v="86056"/>
    <x v="1"/>
    <x v="5"/>
    <d v="2026-03-15T00:00:00"/>
    <s v="07:11"/>
    <x v="83"/>
    <x v="3"/>
    <n v="50"/>
    <x v="2"/>
    <n v="1"/>
    <n v="0"/>
    <n v="1"/>
    <n v="0"/>
    <n v="0"/>
    <x v="0"/>
    <n v="1"/>
    <x v="0"/>
    <x v="0"/>
  </r>
  <r>
    <n v="500584"/>
    <n v="97650"/>
    <x v="0"/>
    <x v="7"/>
    <d v="2026-01-30T00:00:00"/>
    <s v="05:29"/>
    <x v="44"/>
    <x v="0"/>
    <n v="83"/>
    <x v="9"/>
    <n v="0"/>
    <n v="0"/>
    <n v="0"/>
    <n v="1"/>
    <n v="0"/>
    <x v="1"/>
    <n v="1"/>
    <x v="1"/>
    <x v="2"/>
  </r>
  <r>
    <n v="500585"/>
    <n v="56257"/>
    <x v="1"/>
    <x v="7"/>
    <d v="2026-01-27T00:00:00"/>
    <s v="12:56"/>
    <x v="96"/>
    <x v="0"/>
    <n v="41"/>
    <x v="2"/>
    <n v="0"/>
    <n v="0"/>
    <n v="0"/>
    <n v="0"/>
    <n v="0"/>
    <x v="1"/>
    <n v="0"/>
    <x v="0"/>
    <x v="0"/>
  </r>
  <r>
    <n v="500586"/>
    <n v="92483"/>
    <x v="1"/>
    <x v="3"/>
    <d v="2026-05-12T00:00:00"/>
    <s v="21:04"/>
    <x v="138"/>
    <x v="1"/>
    <n v="42"/>
    <x v="9"/>
    <n v="0"/>
    <n v="0"/>
    <n v="0"/>
    <n v="0"/>
    <n v="0"/>
    <x v="1"/>
    <n v="1"/>
    <x v="0"/>
    <x v="0"/>
  </r>
  <r>
    <n v="500587"/>
    <n v="26622"/>
    <x v="0"/>
    <x v="7"/>
    <d v="2026-02-16T00:00:00"/>
    <s v="17:37"/>
    <x v="165"/>
    <x v="4"/>
    <n v="28"/>
    <x v="0"/>
    <n v="0"/>
    <n v="0"/>
    <n v="0"/>
    <n v="0"/>
    <n v="0"/>
    <x v="1"/>
    <n v="1"/>
    <x v="0"/>
    <x v="1"/>
  </r>
  <r>
    <n v="500588"/>
    <n v="89144"/>
    <x v="0"/>
    <x v="3"/>
    <d v="2026-03-06T00:00:00"/>
    <s v="09:32"/>
    <x v="12"/>
    <x v="5"/>
    <n v="21"/>
    <x v="3"/>
    <n v="1"/>
    <n v="0"/>
    <n v="0"/>
    <n v="0"/>
    <n v="0"/>
    <x v="1"/>
    <n v="1"/>
    <x v="0"/>
    <x v="1"/>
  </r>
  <r>
    <n v="500589"/>
    <n v="79125"/>
    <x v="0"/>
    <x v="2"/>
    <d v="2025-12-05T00:00:00"/>
    <s v="20:05"/>
    <x v="122"/>
    <x v="3"/>
    <n v="54"/>
    <x v="6"/>
    <n v="0"/>
    <n v="0"/>
    <n v="0"/>
    <n v="0"/>
    <n v="0"/>
    <x v="1"/>
    <n v="1"/>
    <x v="0"/>
    <x v="0"/>
  </r>
  <r>
    <n v="500590"/>
    <n v="96594"/>
    <x v="1"/>
    <x v="3"/>
    <d v="2026-01-30T00:00:00"/>
    <s v="02:52"/>
    <x v="74"/>
    <x v="1"/>
    <n v="20"/>
    <x v="1"/>
    <n v="1"/>
    <n v="0"/>
    <n v="0"/>
    <n v="0"/>
    <n v="0"/>
    <x v="1"/>
    <n v="1"/>
    <x v="0"/>
    <x v="1"/>
  </r>
  <r>
    <n v="500591"/>
    <n v="16884"/>
    <x v="0"/>
    <x v="6"/>
    <d v="2025-12-10T00:00:00"/>
    <s v="08:11"/>
    <x v="67"/>
    <x v="6"/>
    <n v="39"/>
    <x v="5"/>
    <n v="1"/>
    <n v="0"/>
    <n v="0"/>
    <n v="0"/>
    <n v="0"/>
    <x v="1"/>
    <n v="0"/>
    <x v="0"/>
    <x v="1"/>
  </r>
  <r>
    <n v="500592"/>
    <n v="59781"/>
    <x v="1"/>
    <x v="6"/>
    <d v="2026-04-11T00:00:00"/>
    <s v="05:01"/>
    <x v="147"/>
    <x v="2"/>
    <n v="28"/>
    <x v="0"/>
    <n v="0"/>
    <n v="0"/>
    <n v="0"/>
    <n v="0"/>
    <n v="0"/>
    <x v="1"/>
    <n v="1"/>
    <x v="0"/>
    <x v="1"/>
  </r>
  <r>
    <n v="500593"/>
    <n v="60070"/>
    <x v="1"/>
    <x v="0"/>
    <d v="2025-12-19T00:00:00"/>
    <s v="14:22"/>
    <x v="38"/>
    <x v="6"/>
    <n v="47"/>
    <x v="6"/>
    <n v="1"/>
    <n v="0"/>
    <n v="0"/>
    <n v="0"/>
    <n v="0"/>
    <x v="1"/>
    <n v="1"/>
    <x v="1"/>
    <x v="0"/>
  </r>
  <r>
    <n v="500594"/>
    <n v="22881"/>
    <x v="1"/>
    <x v="4"/>
    <d v="2026-03-21T00:00:00"/>
    <s v="15:24"/>
    <x v="49"/>
    <x v="3"/>
    <n v="44"/>
    <x v="3"/>
    <n v="0"/>
    <n v="0"/>
    <n v="0"/>
    <n v="0"/>
    <n v="0"/>
    <x v="1"/>
    <n v="1"/>
    <x v="0"/>
    <x v="0"/>
  </r>
  <r>
    <n v="500595"/>
    <n v="33582"/>
    <x v="1"/>
    <x v="0"/>
    <d v="2026-03-04T00:00:00"/>
    <s v="01:43"/>
    <x v="89"/>
    <x v="1"/>
    <n v="58"/>
    <x v="7"/>
    <n v="0"/>
    <n v="1"/>
    <n v="1"/>
    <n v="0"/>
    <n v="0"/>
    <x v="0"/>
    <n v="1"/>
    <x v="0"/>
    <x v="0"/>
  </r>
  <r>
    <n v="500596"/>
    <n v="13106"/>
    <x v="0"/>
    <x v="0"/>
    <d v="2026-04-19T00:00:00"/>
    <s v="06:06"/>
    <x v="79"/>
    <x v="5"/>
    <n v="27"/>
    <x v="9"/>
    <n v="0"/>
    <n v="0"/>
    <n v="0"/>
    <n v="0"/>
    <n v="0"/>
    <x v="1"/>
    <n v="1"/>
    <x v="1"/>
    <x v="1"/>
  </r>
  <r>
    <n v="500597"/>
    <n v="89257"/>
    <x v="0"/>
    <x v="4"/>
    <d v="2026-03-03T00:00:00"/>
    <s v="08:19"/>
    <x v="111"/>
    <x v="1"/>
    <n v="32"/>
    <x v="9"/>
    <n v="0"/>
    <n v="0"/>
    <n v="0"/>
    <n v="0"/>
    <n v="0"/>
    <x v="1"/>
    <n v="1"/>
    <x v="0"/>
    <x v="1"/>
  </r>
  <r>
    <n v="500598"/>
    <n v="19924"/>
    <x v="1"/>
    <x v="7"/>
    <d v="2026-03-10T00:00:00"/>
    <s v="19:58"/>
    <x v="41"/>
    <x v="1"/>
    <n v="18"/>
    <x v="5"/>
    <n v="0"/>
    <n v="0"/>
    <n v="0"/>
    <n v="0"/>
    <n v="0"/>
    <x v="1"/>
    <n v="1"/>
    <x v="0"/>
    <x v="3"/>
  </r>
  <r>
    <n v="500599"/>
    <n v="43729"/>
    <x v="0"/>
    <x v="5"/>
    <d v="2026-01-19T00:00:00"/>
    <s v="16:39"/>
    <x v="141"/>
    <x v="0"/>
    <n v="29"/>
    <x v="0"/>
    <n v="0"/>
    <n v="0"/>
    <n v="0"/>
    <n v="0"/>
    <n v="0"/>
    <x v="1"/>
    <n v="1"/>
    <x v="0"/>
    <x v="1"/>
  </r>
  <r>
    <n v="500600"/>
    <n v="44690"/>
    <x v="0"/>
    <x v="6"/>
    <d v="2026-03-29T00:00:00"/>
    <s v="09:29"/>
    <x v="97"/>
    <x v="4"/>
    <n v="45"/>
    <x v="6"/>
    <n v="1"/>
    <n v="0"/>
    <n v="0"/>
    <n v="0"/>
    <n v="0"/>
    <x v="1"/>
    <n v="1"/>
    <x v="1"/>
    <x v="0"/>
  </r>
  <r>
    <n v="500601"/>
    <n v="80861"/>
    <x v="1"/>
    <x v="1"/>
    <d v="2026-01-03T00:00:00"/>
    <s v="20:29"/>
    <x v="38"/>
    <x v="6"/>
    <n v="53"/>
    <x v="9"/>
    <n v="0"/>
    <n v="0"/>
    <n v="0"/>
    <n v="0"/>
    <n v="0"/>
    <x v="1"/>
    <n v="1"/>
    <x v="0"/>
    <x v="0"/>
  </r>
  <r>
    <n v="500602"/>
    <n v="68442"/>
    <x v="0"/>
    <x v="6"/>
    <d v="2026-04-11T00:00:00"/>
    <s v="12:45"/>
    <x v="157"/>
    <x v="1"/>
    <n v="19"/>
    <x v="2"/>
    <n v="0"/>
    <n v="0"/>
    <n v="0"/>
    <n v="0"/>
    <n v="0"/>
    <x v="1"/>
    <n v="1"/>
    <x v="1"/>
    <x v="1"/>
  </r>
  <r>
    <n v="500603"/>
    <n v="53231"/>
    <x v="1"/>
    <x v="0"/>
    <d v="2026-01-15T00:00:00"/>
    <s v="23:02"/>
    <x v="74"/>
    <x v="1"/>
    <n v="55"/>
    <x v="8"/>
    <n v="1"/>
    <n v="0"/>
    <n v="0"/>
    <n v="0"/>
    <n v="0"/>
    <x v="1"/>
    <n v="1"/>
    <x v="1"/>
    <x v="0"/>
  </r>
  <r>
    <n v="500604"/>
    <n v="60387"/>
    <x v="1"/>
    <x v="5"/>
    <d v="2026-03-02T00:00:00"/>
    <s v="03:39"/>
    <x v="85"/>
    <x v="3"/>
    <n v="65"/>
    <x v="9"/>
    <n v="1"/>
    <n v="1"/>
    <n v="0"/>
    <n v="1"/>
    <n v="0"/>
    <x v="0"/>
    <n v="1"/>
    <x v="0"/>
    <x v="2"/>
  </r>
  <r>
    <n v="500605"/>
    <n v="54572"/>
    <x v="0"/>
    <x v="6"/>
    <d v="2026-04-05T00:00:00"/>
    <s v="19:16"/>
    <x v="45"/>
    <x v="2"/>
    <n v="46"/>
    <x v="0"/>
    <n v="0"/>
    <n v="1"/>
    <n v="1"/>
    <n v="0"/>
    <n v="0"/>
    <x v="0"/>
    <n v="1"/>
    <x v="0"/>
    <x v="0"/>
  </r>
  <r>
    <n v="500606"/>
    <n v="92656"/>
    <x v="1"/>
    <x v="6"/>
    <d v="2026-02-15T00:00:00"/>
    <s v="00:30"/>
    <x v="28"/>
    <x v="5"/>
    <n v="75"/>
    <x v="6"/>
    <n v="1"/>
    <n v="0"/>
    <n v="1"/>
    <n v="0"/>
    <n v="0"/>
    <x v="0"/>
    <n v="1"/>
    <x v="1"/>
    <x v="2"/>
  </r>
  <r>
    <n v="500607"/>
    <n v="80851"/>
    <x v="1"/>
    <x v="6"/>
    <d v="2026-04-19T00:00:00"/>
    <s v="19:32"/>
    <x v="134"/>
    <x v="5"/>
    <n v="22"/>
    <x v="8"/>
    <n v="1"/>
    <n v="0"/>
    <n v="0"/>
    <n v="0"/>
    <n v="0"/>
    <x v="1"/>
    <n v="1"/>
    <x v="0"/>
    <x v="1"/>
  </r>
  <r>
    <n v="500608"/>
    <n v="15611"/>
    <x v="1"/>
    <x v="5"/>
    <d v="2026-01-28T00:00:00"/>
    <s v="20:05"/>
    <x v="163"/>
    <x v="0"/>
    <n v="13"/>
    <x v="1"/>
    <n v="0"/>
    <n v="0"/>
    <n v="0"/>
    <n v="0"/>
    <n v="0"/>
    <x v="1"/>
    <n v="1"/>
    <x v="0"/>
    <x v="3"/>
  </r>
  <r>
    <n v="500609"/>
    <n v="98877"/>
    <x v="0"/>
    <x v="1"/>
    <d v="2026-04-21T00:00:00"/>
    <s v="18:58"/>
    <x v="31"/>
    <x v="2"/>
    <n v="2"/>
    <x v="6"/>
    <n v="0"/>
    <n v="0"/>
    <n v="0"/>
    <n v="0"/>
    <n v="0"/>
    <x v="1"/>
    <n v="1"/>
    <x v="0"/>
    <x v="3"/>
  </r>
  <r>
    <n v="500610"/>
    <n v="71763"/>
    <x v="0"/>
    <x v="1"/>
    <d v="2026-02-03T00:00:00"/>
    <s v="22:29"/>
    <x v="154"/>
    <x v="5"/>
    <n v="67"/>
    <x v="2"/>
    <n v="0"/>
    <n v="1"/>
    <n v="1"/>
    <n v="0"/>
    <n v="0"/>
    <x v="0"/>
    <n v="1"/>
    <x v="0"/>
    <x v="2"/>
  </r>
  <r>
    <n v="500611"/>
    <n v="23937"/>
    <x v="0"/>
    <x v="6"/>
    <d v="2026-01-26T00:00:00"/>
    <s v="14:26"/>
    <x v="69"/>
    <x v="2"/>
    <n v="51"/>
    <x v="9"/>
    <n v="0"/>
    <n v="1"/>
    <n v="1"/>
    <n v="0"/>
    <n v="0"/>
    <x v="0"/>
    <n v="0"/>
    <x v="0"/>
    <x v="0"/>
  </r>
  <r>
    <n v="500612"/>
    <n v="25833"/>
    <x v="0"/>
    <x v="2"/>
    <d v="2026-01-17T00:00:00"/>
    <s v="03:07"/>
    <x v="150"/>
    <x v="2"/>
    <n v="36"/>
    <x v="1"/>
    <n v="0"/>
    <n v="0"/>
    <n v="0"/>
    <n v="0"/>
    <n v="0"/>
    <x v="1"/>
    <n v="1"/>
    <x v="0"/>
    <x v="1"/>
  </r>
  <r>
    <n v="500613"/>
    <n v="64415"/>
    <x v="0"/>
    <x v="2"/>
    <d v="2026-05-02T00:00:00"/>
    <s v="01:51"/>
    <x v="105"/>
    <x v="6"/>
    <n v="43"/>
    <x v="8"/>
    <n v="0"/>
    <n v="0"/>
    <n v="0"/>
    <n v="0"/>
    <n v="0"/>
    <x v="1"/>
    <n v="1"/>
    <x v="0"/>
    <x v="0"/>
  </r>
  <r>
    <n v="500614"/>
    <n v="90273"/>
    <x v="1"/>
    <x v="3"/>
    <d v="2026-02-02T00:00:00"/>
    <s v="06:26"/>
    <x v="28"/>
    <x v="5"/>
    <n v="15"/>
    <x v="7"/>
    <n v="0"/>
    <n v="0"/>
    <n v="0"/>
    <n v="0"/>
    <n v="0"/>
    <x v="1"/>
    <n v="1"/>
    <x v="1"/>
    <x v="3"/>
  </r>
  <r>
    <n v="500615"/>
    <n v="21683"/>
    <x v="1"/>
    <x v="4"/>
    <d v="2026-01-06T00:00:00"/>
    <s v="15:50"/>
    <x v="137"/>
    <x v="3"/>
    <n v="86"/>
    <x v="3"/>
    <n v="0"/>
    <n v="1"/>
    <n v="0"/>
    <n v="0"/>
    <n v="0"/>
    <x v="0"/>
    <n v="1"/>
    <x v="1"/>
    <x v="2"/>
  </r>
  <r>
    <n v="500616"/>
    <n v="33593"/>
    <x v="1"/>
    <x v="5"/>
    <d v="2026-01-11T00:00:00"/>
    <s v="02:06"/>
    <x v="11"/>
    <x v="1"/>
    <n v="40"/>
    <x v="0"/>
    <n v="1"/>
    <n v="0"/>
    <n v="0"/>
    <n v="0"/>
    <n v="0"/>
    <x v="1"/>
    <n v="1"/>
    <x v="0"/>
    <x v="1"/>
  </r>
  <r>
    <n v="500617"/>
    <n v="22541"/>
    <x v="1"/>
    <x v="1"/>
    <d v="2026-01-10T00:00:00"/>
    <s v="17:59"/>
    <x v="51"/>
    <x v="3"/>
    <n v="40"/>
    <x v="3"/>
    <n v="0"/>
    <n v="0"/>
    <n v="0"/>
    <n v="0"/>
    <n v="0"/>
    <x v="1"/>
    <n v="0"/>
    <x v="0"/>
    <x v="1"/>
  </r>
  <r>
    <n v="500618"/>
    <n v="72182"/>
    <x v="1"/>
    <x v="3"/>
    <d v="2025-12-06T00:00:00"/>
    <s v="05:28"/>
    <x v="113"/>
    <x v="3"/>
    <n v="52"/>
    <x v="2"/>
    <n v="0"/>
    <n v="1"/>
    <n v="0"/>
    <n v="0"/>
    <n v="0"/>
    <x v="0"/>
    <n v="1"/>
    <x v="0"/>
    <x v="0"/>
  </r>
  <r>
    <n v="500619"/>
    <n v="69394"/>
    <x v="0"/>
    <x v="5"/>
    <d v="2026-03-15T00:00:00"/>
    <s v="11:08"/>
    <x v="184"/>
    <x v="5"/>
    <n v="47"/>
    <x v="7"/>
    <n v="0"/>
    <n v="1"/>
    <n v="1"/>
    <n v="0"/>
    <n v="0"/>
    <x v="0"/>
    <n v="1"/>
    <x v="0"/>
    <x v="0"/>
  </r>
  <r>
    <n v="500620"/>
    <n v="85990"/>
    <x v="1"/>
    <x v="4"/>
    <d v="2026-02-04T00:00:00"/>
    <s v="04:32"/>
    <x v="52"/>
    <x v="1"/>
    <n v="42"/>
    <x v="1"/>
    <n v="1"/>
    <n v="0"/>
    <n v="0"/>
    <n v="0"/>
    <n v="0"/>
    <x v="1"/>
    <n v="1"/>
    <x v="0"/>
    <x v="0"/>
  </r>
  <r>
    <n v="500621"/>
    <n v="36208"/>
    <x v="1"/>
    <x v="1"/>
    <d v="2026-04-12T00:00:00"/>
    <s v="20:10"/>
    <x v="90"/>
    <x v="5"/>
    <n v="22"/>
    <x v="6"/>
    <n v="1"/>
    <n v="0"/>
    <n v="0"/>
    <n v="0"/>
    <n v="0"/>
    <x v="1"/>
    <n v="1"/>
    <x v="1"/>
    <x v="1"/>
  </r>
  <r>
    <n v="500622"/>
    <n v="89879"/>
    <x v="1"/>
    <x v="3"/>
    <d v="2026-01-27T00:00:00"/>
    <s v="18:37"/>
    <x v="149"/>
    <x v="0"/>
    <n v="47"/>
    <x v="5"/>
    <n v="1"/>
    <n v="1"/>
    <n v="0"/>
    <n v="0"/>
    <n v="0"/>
    <x v="0"/>
    <n v="1"/>
    <x v="1"/>
    <x v="0"/>
  </r>
  <r>
    <n v="500623"/>
    <n v="84536"/>
    <x v="0"/>
    <x v="7"/>
    <d v="2026-02-02T00:00:00"/>
    <s v="06:09"/>
    <x v="28"/>
    <x v="5"/>
    <n v="75"/>
    <x v="2"/>
    <n v="0"/>
    <n v="0"/>
    <n v="0"/>
    <n v="0"/>
    <n v="0"/>
    <x v="1"/>
    <n v="1"/>
    <x v="0"/>
    <x v="2"/>
  </r>
  <r>
    <n v="500624"/>
    <n v="93623"/>
    <x v="0"/>
    <x v="1"/>
    <d v="2025-11-26T00:00:00"/>
    <s v="11:58"/>
    <x v="114"/>
    <x v="0"/>
    <n v="64"/>
    <x v="6"/>
    <n v="1"/>
    <n v="0"/>
    <n v="0"/>
    <n v="0"/>
    <n v="0"/>
    <x v="1"/>
    <n v="1"/>
    <x v="0"/>
    <x v="2"/>
  </r>
  <r>
    <n v="500625"/>
    <n v="42329"/>
    <x v="0"/>
    <x v="2"/>
    <d v="2026-03-06T00:00:00"/>
    <s v="16:55"/>
    <x v="89"/>
    <x v="1"/>
    <n v="69"/>
    <x v="5"/>
    <n v="0"/>
    <n v="0"/>
    <n v="0"/>
    <n v="0"/>
    <n v="0"/>
    <x v="1"/>
    <n v="0"/>
    <x v="1"/>
    <x v="2"/>
  </r>
  <r>
    <n v="500626"/>
    <n v="71689"/>
    <x v="0"/>
    <x v="4"/>
    <d v="2025-12-27T00:00:00"/>
    <s v="13:37"/>
    <x v="60"/>
    <x v="5"/>
    <n v="27"/>
    <x v="8"/>
    <n v="1"/>
    <n v="0"/>
    <n v="0"/>
    <n v="0"/>
    <n v="0"/>
    <x v="1"/>
    <n v="0"/>
    <x v="0"/>
    <x v="1"/>
  </r>
  <r>
    <n v="500627"/>
    <n v="41524"/>
    <x v="0"/>
    <x v="0"/>
    <d v="2025-12-04T00:00:00"/>
    <s v="14:13"/>
    <x v="38"/>
    <x v="6"/>
    <n v="18"/>
    <x v="5"/>
    <n v="0"/>
    <n v="0"/>
    <n v="0"/>
    <n v="0"/>
    <n v="0"/>
    <x v="1"/>
    <n v="1"/>
    <x v="1"/>
    <x v="3"/>
  </r>
  <r>
    <n v="500628"/>
    <n v="94887"/>
    <x v="0"/>
    <x v="0"/>
    <d v="2025-12-15T00:00:00"/>
    <s v="16:09"/>
    <x v="67"/>
    <x v="6"/>
    <n v="35"/>
    <x v="3"/>
    <n v="1"/>
    <n v="0"/>
    <n v="0"/>
    <n v="0"/>
    <n v="0"/>
    <x v="1"/>
    <n v="1"/>
    <x v="0"/>
    <x v="1"/>
  </r>
  <r>
    <n v="500629"/>
    <n v="69616"/>
    <x v="1"/>
    <x v="3"/>
    <d v="2026-03-08T00:00:00"/>
    <s v="06:03"/>
    <x v="112"/>
    <x v="4"/>
    <n v="39"/>
    <x v="5"/>
    <n v="0"/>
    <n v="0"/>
    <n v="0"/>
    <n v="0"/>
    <n v="0"/>
    <x v="1"/>
    <n v="1"/>
    <x v="0"/>
    <x v="1"/>
  </r>
  <r>
    <n v="500630"/>
    <n v="92222"/>
    <x v="0"/>
    <x v="4"/>
    <d v="2026-03-28T00:00:00"/>
    <s v="11:24"/>
    <x v="77"/>
    <x v="6"/>
    <n v="59"/>
    <x v="4"/>
    <n v="0"/>
    <n v="1"/>
    <n v="0"/>
    <n v="0"/>
    <n v="0"/>
    <x v="0"/>
    <n v="1"/>
    <x v="0"/>
    <x v="0"/>
  </r>
  <r>
    <n v="500631"/>
    <n v="91324"/>
    <x v="1"/>
    <x v="0"/>
    <d v="2026-04-13T00:00:00"/>
    <s v="20:52"/>
    <x v="18"/>
    <x v="5"/>
    <n v="4"/>
    <x v="8"/>
    <n v="0"/>
    <n v="0"/>
    <n v="0"/>
    <n v="0"/>
    <n v="0"/>
    <x v="1"/>
    <n v="1"/>
    <x v="0"/>
    <x v="3"/>
  </r>
  <r>
    <n v="500632"/>
    <n v="24544"/>
    <x v="1"/>
    <x v="2"/>
    <d v="2025-12-18T00:00:00"/>
    <s v="07:46"/>
    <x v="156"/>
    <x v="5"/>
    <n v="68"/>
    <x v="3"/>
    <n v="0"/>
    <n v="0"/>
    <n v="1"/>
    <n v="0"/>
    <n v="0"/>
    <x v="0"/>
    <n v="1"/>
    <x v="0"/>
    <x v="2"/>
  </r>
  <r>
    <n v="500633"/>
    <n v="41278"/>
    <x v="0"/>
    <x v="6"/>
    <d v="2026-01-22T00:00:00"/>
    <s v="11:51"/>
    <x v="42"/>
    <x v="5"/>
    <n v="34"/>
    <x v="9"/>
    <n v="0"/>
    <n v="0"/>
    <n v="0"/>
    <n v="0"/>
    <n v="0"/>
    <x v="1"/>
    <n v="1"/>
    <x v="0"/>
    <x v="1"/>
  </r>
  <r>
    <n v="500634"/>
    <n v="76003"/>
    <x v="1"/>
    <x v="7"/>
    <d v="2026-04-05T00:00:00"/>
    <s v="18:47"/>
    <x v="3"/>
    <x v="1"/>
    <n v="29"/>
    <x v="7"/>
    <n v="0"/>
    <n v="0"/>
    <n v="0"/>
    <n v="0"/>
    <n v="0"/>
    <x v="1"/>
    <n v="1"/>
    <x v="0"/>
    <x v="1"/>
  </r>
  <r>
    <n v="500635"/>
    <n v="71625"/>
    <x v="1"/>
    <x v="6"/>
    <d v="2026-02-17T00:00:00"/>
    <s v="18:26"/>
    <x v="21"/>
    <x v="1"/>
    <n v="17"/>
    <x v="9"/>
    <n v="0"/>
    <n v="0"/>
    <n v="0"/>
    <n v="0"/>
    <n v="0"/>
    <x v="1"/>
    <n v="1"/>
    <x v="0"/>
    <x v="3"/>
  </r>
  <r>
    <n v="500636"/>
    <n v="18601"/>
    <x v="0"/>
    <x v="6"/>
    <d v="2026-05-11T00:00:00"/>
    <s v="01:53"/>
    <x v="173"/>
    <x v="3"/>
    <n v="4"/>
    <x v="6"/>
    <n v="0"/>
    <n v="0"/>
    <n v="0"/>
    <n v="0"/>
    <n v="0"/>
    <x v="1"/>
    <n v="0"/>
    <x v="0"/>
    <x v="3"/>
  </r>
  <r>
    <n v="500637"/>
    <n v="20085"/>
    <x v="0"/>
    <x v="3"/>
    <d v="2026-03-19T00:00:00"/>
    <s v="14:34"/>
    <x v="15"/>
    <x v="2"/>
    <n v="54"/>
    <x v="0"/>
    <n v="0"/>
    <n v="0"/>
    <n v="0"/>
    <n v="0"/>
    <n v="0"/>
    <x v="1"/>
    <n v="1"/>
    <x v="0"/>
    <x v="0"/>
  </r>
  <r>
    <n v="500638"/>
    <n v="99443"/>
    <x v="0"/>
    <x v="6"/>
    <d v="2026-05-21T00:00:00"/>
    <s v="00:47"/>
    <x v="175"/>
    <x v="0"/>
    <n v="39"/>
    <x v="4"/>
    <n v="1"/>
    <n v="0"/>
    <n v="0"/>
    <n v="0"/>
    <n v="0"/>
    <x v="1"/>
    <n v="1"/>
    <x v="1"/>
    <x v="1"/>
  </r>
  <r>
    <n v="500639"/>
    <n v="40451"/>
    <x v="1"/>
    <x v="4"/>
    <d v="2026-02-01T00:00:00"/>
    <s v="06:50"/>
    <x v="33"/>
    <x v="4"/>
    <n v="12"/>
    <x v="9"/>
    <n v="0"/>
    <n v="0"/>
    <n v="0"/>
    <n v="0"/>
    <n v="0"/>
    <x v="1"/>
    <n v="1"/>
    <x v="0"/>
    <x v="3"/>
  </r>
  <r>
    <n v="500640"/>
    <n v="87772"/>
    <x v="1"/>
    <x v="6"/>
    <d v="2026-05-11T00:00:00"/>
    <s v="22:35"/>
    <x v="104"/>
    <x v="3"/>
    <n v="12"/>
    <x v="0"/>
    <n v="0"/>
    <n v="0"/>
    <n v="0"/>
    <n v="0"/>
    <n v="0"/>
    <x v="1"/>
    <n v="0"/>
    <x v="0"/>
    <x v="3"/>
  </r>
  <r>
    <n v="500641"/>
    <n v="44079"/>
    <x v="0"/>
    <x v="6"/>
    <d v="2026-01-16T00:00:00"/>
    <s v="04:14"/>
    <x v="11"/>
    <x v="1"/>
    <n v="31"/>
    <x v="4"/>
    <n v="1"/>
    <n v="0"/>
    <n v="0"/>
    <n v="0"/>
    <n v="0"/>
    <x v="1"/>
    <n v="1"/>
    <x v="0"/>
    <x v="1"/>
  </r>
  <r>
    <n v="500642"/>
    <n v="31805"/>
    <x v="0"/>
    <x v="7"/>
    <d v="2026-04-01T00:00:00"/>
    <s v="03:28"/>
    <x v="59"/>
    <x v="1"/>
    <n v="71"/>
    <x v="2"/>
    <n v="0"/>
    <n v="0"/>
    <n v="0"/>
    <n v="0"/>
    <n v="0"/>
    <x v="1"/>
    <n v="1"/>
    <x v="0"/>
    <x v="2"/>
  </r>
  <r>
    <n v="500643"/>
    <n v="26577"/>
    <x v="1"/>
    <x v="7"/>
    <d v="2026-02-07T00:00:00"/>
    <s v="12:14"/>
    <x v="2"/>
    <x v="2"/>
    <n v="32"/>
    <x v="4"/>
    <n v="0"/>
    <n v="0"/>
    <n v="0"/>
    <n v="0"/>
    <n v="0"/>
    <x v="1"/>
    <n v="1"/>
    <x v="0"/>
    <x v="1"/>
  </r>
  <r>
    <n v="500644"/>
    <n v="29391"/>
    <x v="1"/>
    <x v="6"/>
    <d v="2026-01-03T00:00:00"/>
    <s v="14:24"/>
    <x v="126"/>
    <x v="3"/>
    <n v="7"/>
    <x v="8"/>
    <n v="0"/>
    <n v="0"/>
    <n v="0"/>
    <n v="0"/>
    <n v="0"/>
    <x v="1"/>
    <n v="1"/>
    <x v="1"/>
    <x v="3"/>
  </r>
  <r>
    <n v="500645"/>
    <n v="13266"/>
    <x v="1"/>
    <x v="6"/>
    <d v="2025-12-07T00:00:00"/>
    <s v="02:26"/>
    <x v="113"/>
    <x v="3"/>
    <n v="33"/>
    <x v="2"/>
    <n v="1"/>
    <n v="0"/>
    <n v="0"/>
    <n v="0"/>
    <n v="0"/>
    <x v="1"/>
    <n v="0"/>
    <x v="0"/>
    <x v="1"/>
  </r>
  <r>
    <n v="500646"/>
    <n v="76507"/>
    <x v="1"/>
    <x v="7"/>
    <d v="2026-05-12T00:00:00"/>
    <s v="10:18"/>
    <x v="138"/>
    <x v="1"/>
    <n v="32"/>
    <x v="3"/>
    <n v="1"/>
    <n v="0"/>
    <n v="0"/>
    <n v="0"/>
    <n v="0"/>
    <x v="1"/>
    <n v="0"/>
    <x v="0"/>
    <x v="1"/>
  </r>
  <r>
    <n v="500647"/>
    <n v="84086"/>
    <x v="1"/>
    <x v="2"/>
    <d v="2025-12-17T00:00:00"/>
    <s v="08:53"/>
    <x v="73"/>
    <x v="6"/>
    <n v="0"/>
    <x v="6"/>
    <n v="0"/>
    <n v="0"/>
    <n v="0"/>
    <n v="0"/>
    <n v="0"/>
    <x v="1"/>
    <n v="0"/>
    <x v="1"/>
    <x v="3"/>
  </r>
  <r>
    <n v="500648"/>
    <n v="82215"/>
    <x v="0"/>
    <x v="7"/>
    <d v="2025-12-22T00:00:00"/>
    <s v="00:02"/>
    <x v="127"/>
    <x v="4"/>
    <n v="36"/>
    <x v="7"/>
    <n v="1"/>
    <n v="0"/>
    <n v="0"/>
    <n v="0"/>
    <n v="0"/>
    <x v="1"/>
    <n v="1"/>
    <x v="0"/>
    <x v="1"/>
  </r>
  <r>
    <n v="500649"/>
    <n v="89711"/>
    <x v="0"/>
    <x v="1"/>
    <d v="2025-12-09T00:00:00"/>
    <s v="22:38"/>
    <x v="86"/>
    <x v="5"/>
    <n v="33"/>
    <x v="0"/>
    <n v="0"/>
    <n v="0"/>
    <n v="0"/>
    <n v="1"/>
    <n v="0"/>
    <x v="1"/>
    <n v="1"/>
    <x v="0"/>
    <x v="1"/>
  </r>
  <r>
    <n v="500650"/>
    <n v="21452"/>
    <x v="1"/>
    <x v="1"/>
    <d v="2026-03-26T00:00:00"/>
    <s v="00:56"/>
    <x v="68"/>
    <x v="5"/>
    <n v="51"/>
    <x v="3"/>
    <n v="1"/>
    <n v="0"/>
    <n v="0"/>
    <n v="1"/>
    <n v="0"/>
    <x v="1"/>
    <n v="1"/>
    <x v="0"/>
    <x v="0"/>
  </r>
  <r>
    <n v="500651"/>
    <n v="66051"/>
    <x v="1"/>
    <x v="4"/>
    <d v="2026-05-17T00:00:00"/>
    <s v="11:22"/>
    <x v="104"/>
    <x v="3"/>
    <n v="74"/>
    <x v="4"/>
    <n v="0"/>
    <n v="1"/>
    <n v="0"/>
    <n v="0"/>
    <n v="0"/>
    <x v="0"/>
    <n v="0"/>
    <x v="0"/>
    <x v="2"/>
  </r>
  <r>
    <n v="500652"/>
    <n v="64474"/>
    <x v="1"/>
    <x v="7"/>
    <d v="2026-01-05T00:00:00"/>
    <s v="18:39"/>
    <x v="6"/>
    <x v="2"/>
    <n v="60"/>
    <x v="2"/>
    <n v="1"/>
    <n v="0"/>
    <n v="0"/>
    <n v="0"/>
    <n v="0"/>
    <x v="1"/>
    <n v="1"/>
    <x v="0"/>
    <x v="0"/>
  </r>
  <r>
    <n v="500653"/>
    <n v="78852"/>
    <x v="1"/>
    <x v="5"/>
    <d v="2026-01-26T00:00:00"/>
    <s v="17:45"/>
    <x v="96"/>
    <x v="0"/>
    <n v="32"/>
    <x v="9"/>
    <n v="1"/>
    <n v="0"/>
    <n v="0"/>
    <n v="0"/>
    <n v="0"/>
    <x v="1"/>
    <n v="0"/>
    <x v="0"/>
    <x v="1"/>
  </r>
  <r>
    <n v="500654"/>
    <n v="82851"/>
    <x v="1"/>
    <x v="3"/>
    <d v="2026-03-02T00:00:00"/>
    <s v="10:53"/>
    <x v="131"/>
    <x v="2"/>
    <n v="15"/>
    <x v="1"/>
    <n v="0"/>
    <n v="0"/>
    <n v="0"/>
    <n v="0"/>
    <n v="0"/>
    <x v="1"/>
    <n v="1"/>
    <x v="0"/>
    <x v="3"/>
  </r>
  <r>
    <n v="500655"/>
    <n v="15535"/>
    <x v="1"/>
    <x v="7"/>
    <d v="2025-12-07T00:00:00"/>
    <s v="07:31"/>
    <x v="86"/>
    <x v="5"/>
    <n v="89"/>
    <x v="3"/>
    <n v="1"/>
    <n v="1"/>
    <n v="0"/>
    <n v="0"/>
    <n v="0"/>
    <x v="0"/>
    <n v="1"/>
    <x v="1"/>
    <x v="2"/>
  </r>
  <r>
    <n v="500656"/>
    <n v="97282"/>
    <x v="1"/>
    <x v="4"/>
    <d v="2026-05-21T00:00:00"/>
    <s v="11:45"/>
    <x v="175"/>
    <x v="0"/>
    <n v="39"/>
    <x v="2"/>
    <n v="1"/>
    <n v="0"/>
    <n v="0"/>
    <n v="0"/>
    <n v="0"/>
    <x v="1"/>
    <n v="1"/>
    <x v="0"/>
    <x v="1"/>
  </r>
  <r>
    <n v="500657"/>
    <n v="74625"/>
    <x v="0"/>
    <x v="2"/>
    <d v="2026-04-12T00:00:00"/>
    <s v="17:47"/>
    <x v="105"/>
    <x v="6"/>
    <n v="38"/>
    <x v="9"/>
    <n v="1"/>
    <n v="0"/>
    <n v="0"/>
    <n v="0"/>
    <n v="0"/>
    <x v="1"/>
    <n v="1"/>
    <x v="0"/>
    <x v="1"/>
  </r>
  <r>
    <n v="500658"/>
    <n v="25674"/>
    <x v="1"/>
    <x v="0"/>
    <d v="2026-01-16T00:00:00"/>
    <s v="11:46"/>
    <x v="94"/>
    <x v="6"/>
    <n v="37"/>
    <x v="0"/>
    <n v="0"/>
    <n v="0"/>
    <n v="0"/>
    <n v="0"/>
    <n v="0"/>
    <x v="1"/>
    <n v="1"/>
    <x v="0"/>
    <x v="1"/>
  </r>
  <r>
    <n v="500659"/>
    <n v="56843"/>
    <x v="0"/>
    <x v="0"/>
    <d v="2026-02-02T00:00:00"/>
    <s v="04:54"/>
    <x v="20"/>
    <x v="0"/>
    <n v="41"/>
    <x v="0"/>
    <n v="1"/>
    <n v="0"/>
    <n v="0"/>
    <n v="0"/>
    <n v="0"/>
    <x v="1"/>
    <n v="1"/>
    <x v="0"/>
    <x v="0"/>
  </r>
  <r>
    <n v="500660"/>
    <n v="20069"/>
    <x v="0"/>
    <x v="3"/>
    <d v="2025-11-24T00:00:00"/>
    <s v="03:25"/>
    <x v="86"/>
    <x v="5"/>
    <n v="35"/>
    <x v="6"/>
    <n v="0"/>
    <n v="0"/>
    <n v="0"/>
    <n v="0"/>
    <n v="0"/>
    <x v="1"/>
    <n v="0"/>
    <x v="0"/>
    <x v="1"/>
  </r>
  <r>
    <n v="500661"/>
    <n v="49462"/>
    <x v="1"/>
    <x v="2"/>
    <d v="2026-04-25T00:00:00"/>
    <s v="09:11"/>
    <x v="116"/>
    <x v="6"/>
    <n v="26"/>
    <x v="6"/>
    <n v="1"/>
    <n v="0"/>
    <n v="0"/>
    <n v="0"/>
    <n v="0"/>
    <x v="1"/>
    <n v="1"/>
    <x v="0"/>
    <x v="1"/>
  </r>
  <r>
    <n v="500662"/>
    <n v="73556"/>
    <x v="1"/>
    <x v="2"/>
    <d v="2025-11-21T00:00:00"/>
    <s v="13:11"/>
    <x v="119"/>
    <x v="4"/>
    <n v="27"/>
    <x v="2"/>
    <n v="0"/>
    <n v="0"/>
    <n v="0"/>
    <n v="0"/>
    <n v="0"/>
    <x v="1"/>
    <n v="0"/>
    <x v="0"/>
    <x v="1"/>
  </r>
  <r>
    <n v="500663"/>
    <n v="83224"/>
    <x v="0"/>
    <x v="4"/>
    <d v="2026-04-06T00:00:00"/>
    <s v="16:43"/>
    <x v="45"/>
    <x v="2"/>
    <n v="37"/>
    <x v="3"/>
    <n v="0"/>
    <n v="0"/>
    <n v="0"/>
    <n v="0"/>
    <n v="0"/>
    <x v="1"/>
    <n v="1"/>
    <x v="0"/>
    <x v="1"/>
  </r>
  <r>
    <n v="500664"/>
    <n v="57522"/>
    <x v="0"/>
    <x v="6"/>
    <d v="2026-01-26T00:00:00"/>
    <s v="01:12"/>
    <x v="81"/>
    <x v="4"/>
    <n v="27"/>
    <x v="9"/>
    <n v="1"/>
    <n v="0"/>
    <n v="0"/>
    <n v="0"/>
    <n v="0"/>
    <x v="1"/>
    <n v="0"/>
    <x v="1"/>
    <x v="1"/>
  </r>
  <r>
    <n v="500665"/>
    <n v="26870"/>
    <x v="0"/>
    <x v="1"/>
    <d v="2025-11-26T00:00:00"/>
    <s v="07:52"/>
    <x v="170"/>
    <x v="1"/>
    <n v="23"/>
    <x v="0"/>
    <n v="0"/>
    <n v="0"/>
    <n v="0"/>
    <n v="0"/>
    <n v="0"/>
    <x v="1"/>
    <n v="1"/>
    <x v="0"/>
    <x v="1"/>
  </r>
  <r>
    <n v="500666"/>
    <n v="24643"/>
    <x v="0"/>
    <x v="0"/>
    <d v="2026-02-27T00:00:00"/>
    <s v="06:49"/>
    <x v="27"/>
    <x v="6"/>
    <n v="40"/>
    <x v="3"/>
    <n v="1"/>
    <n v="0"/>
    <n v="0"/>
    <n v="1"/>
    <n v="0"/>
    <x v="1"/>
    <n v="0"/>
    <x v="0"/>
    <x v="1"/>
  </r>
  <r>
    <n v="500667"/>
    <n v="17768"/>
    <x v="1"/>
    <x v="5"/>
    <d v="2026-03-31T00:00:00"/>
    <s v="22:02"/>
    <x v="3"/>
    <x v="1"/>
    <n v="32"/>
    <x v="0"/>
    <n v="0"/>
    <n v="0"/>
    <n v="0"/>
    <n v="1"/>
    <n v="0"/>
    <x v="1"/>
    <n v="0"/>
    <x v="0"/>
    <x v="1"/>
  </r>
  <r>
    <n v="500668"/>
    <n v="88878"/>
    <x v="0"/>
    <x v="1"/>
    <d v="2026-04-13T00:00:00"/>
    <s v="23:35"/>
    <x v="29"/>
    <x v="3"/>
    <n v="68"/>
    <x v="2"/>
    <n v="1"/>
    <n v="1"/>
    <n v="1"/>
    <n v="0"/>
    <n v="0"/>
    <x v="0"/>
    <n v="1"/>
    <x v="0"/>
    <x v="2"/>
  </r>
  <r>
    <n v="500669"/>
    <n v="90341"/>
    <x v="0"/>
    <x v="5"/>
    <d v="2026-03-28T00:00:00"/>
    <s v="14:00"/>
    <x v="90"/>
    <x v="5"/>
    <n v="0"/>
    <x v="6"/>
    <n v="0"/>
    <n v="0"/>
    <n v="0"/>
    <n v="0"/>
    <n v="0"/>
    <x v="1"/>
    <n v="0"/>
    <x v="0"/>
    <x v="3"/>
  </r>
  <r>
    <n v="500670"/>
    <n v="35106"/>
    <x v="1"/>
    <x v="3"/>
    <d v="2026-04-26T00:00:00"/>
    <s v="00:37"/>
    <x v="46"/>
    <x v="4"/>
    <n v="59"/>
    <x v="8"/>
    <n v="0"/>
    <n v="0"/>
    <n v="1"/>
    <n v="0"/>
    <n v="0"/>
    <x v="0"/>
    <n v="1"/>
    <x v="0"/>
    <x v="0"/>
  </r>
  <r>
    <n v="500671"/>
    <n v="67627"/>
    <x v="0"/>
    <x v="3"/>
    <d v="2025-11-29T00:00:00"/>
    <s v="14:23"/>
    <x v="121"/>
    <x v="3"/>
    <n v="62"/>
    <x v="4"/>
    <n v="1"/>
    <n v="0"/>
    <n v="0"/>
    <n v="0"/>
    <n v="0"/>
    <x v="1"/>
    <n v="1"/>
    <x v="0"/>
    <x v="2"/>
  </r>
  <r>
    <n v="500672"/>
    <n v="74987"/>
    <x v="1"/>
    <x v="7"/>
    <d v="2026-04-20T00:00:00"/>
    <s v="14:14"/>
    <x v="87"/>
    <x v="0"/>
    <n v="0"/>
    <x v="8"/>
    <n v="0"/>
    <n v="0"/>
    <n v="0"/>
    <n v="0"/>
    <n v="0"/>
    <x v="1"/>
    <n v="1"/>
    <x v="0"/>
    <x v="3"/>
  </r>
  <r>
    <n v="500673"/>
    <n v="60434"/>
    <x v="1"/>
    <x v="6"/>
    <d v="2025-12-03T00:00:00"/>
    <s v="18:05"/>
    <x v="180"/>
    <x v="0"/>
    <n v="31"/>
    <x v="9"/>
    <n v="1"/>
    <n v="0"/>
    <n v="0"/>
    <n v="0"/>
    <n v="0"/>
    <x v="1"/>
    <n v="1"/>
    <x v="0"/>
    <x v="1"/>
  </r>
  <r>
    <n v="500674"/>
    <n v="66093"/>
    <x v="0"/>
    <x v="5"/>
    <d v="2026-03-09T00:00:00"/>
    <s v="23:55"/>
    <x v="8"/>
    <x v="4"/>
    <n v="30"/>
    <x v="3"/>
    <n v="1"/>
    <n v="0"/>
    <n v="0"/>
    <n v="0"/>
    <n v="0"/>
    <x v="1"/>
    <n v="1"/>
    <x v="1"/>
    <x v="1"/>
  </r>
  <r>
    <n v="500675"/>
    <n v="67417"/>
    <x v="0"/>
    <x v="5"/>
    <d v="2026-02-15T00:00:00"/>
    <s v="05:54"/>
    <x v="165"/>
    <x v="4"/>
    <n v="9"/>
    <x v="2"/>
    <n v="0"/>
    <n v="0"/>
    <n v="0"/>
    <n v="0"/>
    <n v="0"/>
    <x v="1"/>
    <n v="1"/>
    <x v="0"/>
    <x v="3"/>
  </r>
  <r>
    <n v="500676"/>
    <n v="32114"/>
    <x v="0"/>
    <x v="2"/>
    <d v="2026-03-02T00:00:00"/>
    <s v="09:15"/>
    <x v="136"/>
    <x v="2"/>
    <n v="22"/>
    <x v="1"/>
    <n v="1"/>
    <n v="0"/>
    <n v="0"/>
    <n v="0"/>
    <n v="0"/>
    <x v="1"/>
    <n v="1"/>
    <x v="1"/>
    <x v="1"/>
  </r>
  <r>
    <n v="500677"/>
    <n v="65666"/>
    <x v="1"/>
    <x v="7"/>
    <d v="2026-02-02T00:00:00"/>
    <s v="18:18"/>
    <x v="167"/>
    <x v="3"/>
    <n v="15"/>
    <x v="9"/>
    <n v="0"/>
    <n v="0"/>
    <n v="0"/>
    <n v="0"/>
    <n v="0"/>
    <x v="1"/>
    <n v="0"/>
    <x v="0"/>
    <x v="3"/>
  </r>
  <r>
    <n v="500678"/>
    <n v="62459"/>
    <x v="1"/>
    <x v="6"/>
    <d v="2025-11-27T00:00:00"/>
    <s v="03:17"/>
    <x v="64"/>
    <x v="1"/>
    <n v="73"/>
    <x v="9"/>
    <n v="1"/>
    <n v="0"/>
    <n v="0"/>
    <n v="0"/>
    <n v="0"/>
    <x v="1"/>
    <n v="1"/>
    <x v="0"/>
    <x v="2"/>
  </r>
  <r>
    <n v="500679"/>
    <n v="27643"/>
    <x v="0"/>
    <x v="5"/>
    <d v="2026-02-14T00:00:00"/>
    <s v="04:16"/>
    <x v="2"/>
    <x v="2"/>
    <n v="56"/>
    <x v="7"/>
    <n v="0"/>
    <n v="0"/>
    <n v="1"/>
    <n v="0"/>
    <n v="0"/>
    <x v="0"/>
    <n v="1"/>
    <x v="0"/>
    <x v="0"/>
  </r>
  <r>
    <n v="500680"/>
    <n v="20029"/>
    <x v="1"/>
    <x v="6"/>
    <d v="2025-12-30T00:00:00"/>
    <s v="07:07"/>
    <x v="179"/>
    <x v="4"/>
    <n v="63"/>
    <x v="1"/>
    <n v="1"/>
    <n v="0"/>
    <n v="0"/>
    <n v="0"/>
    <n v="0"/>
    <x v="1"/>
    <n v="1"/>
    <x v="0"/>
    <x v="2"/>
  </r>
  <r>
    <n v="500681"/>
    <n v="14141"/>
    <x v="1"/>
    <x v="5"/>
    <d v="2026-05-07T00:00:00"/>
    <s v="16:28"/>
    <x v="133"/>
    <x v="0"/>
    <n v="52"/>
    <x v="5"/>
    <n v="1"/>
    <n v="1"/>
    <n v="0"/>
    <n v="0"/>
    <n v="0"/>
    <x v="0"/>
    <n v="1"/>
    <x v="0"/>
    <x v="0"/>
  </r>
  <r>
    <n v="500682"/>
    <n v="49720"/>
    <x v="0"/>
    <x v="6"/>
    <d v="2025-11-24T00:00:00"/>
    <s v="22:42"/>
    <x v="155"/>
    <x v="2"/>
    <n v="15"/>
    <x v="5"/>
    <n v="0"/>
    <n v="0"/>
    <n v="0"/>
    <n v="0"/>
    <n v="0"/>
    <x v="1"/>
    <n v="1"/>
    <x v="0"/>
    <x v="3"/>
  </r>
  <r>
    <n v="500683"/>
    <n v="24336"/>
    <x v="1"/>
    <x v="6"/>
    <d v="2026-02-08T00:00:00"/>
    <s v="14:35"/>
    <x v="40"/>
    <x v="4"/>
    <n v="27"/>
    <x v="3"/>
    <n v="0"/>
    <n v="0"/>
    <n v="0"/>
    <n v="0"/>
    <n v="0"/>
    <x v="1"/>
    <n v="1"/>
    <x v="0"/>
    <x v="1"/>
  </r>
  <r>
    <n v="500684"/>
    <n v="90863"/>
    <x v="1"/>
    <x v="7"/>
    <d v="2026-02-04T00:00:00"/>
    <s v="22:16"/>
    <x v="47"/>
    <x v="6"/>
    <n v="47"/>
    <x v="4"/>
    <n v="0"/>
    <n v="1"/>
    <n v="1"/>
    <n v="0"/>
    <n v="0"/>
    <x v="0"/>
    <n v="0"/>
    <x v="1"/>
    <x v="0"/>
  </r>
  <r>
    <n v="500685"/>
    <n v="91940"/>
    <x v="1"/>
    <x v="4"/>
    <d v="2026-04-17T00:00:00"/>
    <s v="03:12"/>
    <x v="29"/>
    <x v="3"/>
    <n v="13"/>
    <x v="6"/>
    <n v="0"/>
    <n v="0"/>
    <n v="0"/>
    <n v="0"/>
    <n v="0"/>
    <x v="1"/>
    <n v="0"/>
    <x v="0"/>
    <x v="3"/>
  </r>
  <r>
    <n v="500686"/>
    <n v="17398"/>
    <x v="0"/>
    <x v="1"/>
    <d v="2025-11-25T00:00:00"/>
    <s v="21:43"/>
    <x v="17"/>
    <x v="0"/>
    <n v="52"/>
    <x v="1"/>
    <n v="1"/>
    <n v="0"/>
    <n v="0"/>
    <n v="1"/>
    <n v="0"/>
    <x v="1"/>
    <n v="1"/>
    <x v="1"/>
    <x v="0"/>
  </r>
  <r>
    <n v="500687"/>
    <n v="52744"/>
    <x v="0"/>
    <x v="6"/>
    <d v="2026-01-16T00:00:00"/>
    <s v="10:00"/>
    <x v="137"/>
    <x v="3"/>
    <n v="33"/>
    <x v="5"/>
    <n v="1"/>
    <n v="0"/>
    <n v="0"/>
    <n v="0"/>
    <n v="0"/>
    <x v="1"/>
    <n v="1"/>
    <x v="0"/>
    <x v="1"/>
  </r>
  <r>
    <n v="500688"/>
    <n v="59510"/>
    <x v="1"/>
    <x v="2"/>
    <d v="2026-02-06T00:00:00"/>
    <s v="06:40"/>
    <x v="47"/>
    <x v="6"/>
    <n v="30"/>
    <x v="9"/>
    <n v="0"/>
    <n v="0"/>
    <n v="0"/>
    <n v="0"/>
    <n v="0"/>
    <x v="1"/>
    <n v="1"/>
    <x v="0"/>
    <x v="1"/>
  </r>
  <r>
    <n v="500689"/>
    <n v="75898"/>
    <x v="1"/>
    <x v="3"/>
    <d v="2026-01-15T00:00:00"/>
    <s v="20:01"/>
    <x v="74"/>
    <x v="1"/>
    <n v="52"/>
    <x v="9"/>
    <n v="1"/>
    <n v="0"/>
    <n v="0"/>
    <n v="0"/>
    <n v="0"/>
    <x v="1"/>
    <n v="0"/>
    <x v="0"/>
    <x v="0"/>
  </r>
  <r>
    <n v="500690"/>
    <n v="80232"/>
    <x v="0"/>
    <x v="7"/>
    <d v="2026-04-22T00:00:00"/>
    <s v="04:13"/>
    <x v="25"/>
    <x v="4"/>
    <n v="46"/>
    <x v="0"/>
    <n v="0"/>
    <n v="1"/>
    <n v="0"/>
    <n v="0"/>
    <n v="0"/>
    <x v="0"/>
    <n v="0"/>
    <x v="0"/>
    <x v="0"/>
  </r>
  <r>
    <n v="500691"/>
    <n v="85784"/>
    <x v="0"/>
    <x v="2"/>
    <d v="2026-02-06T00:00:00"/>
    <s v="21:40"/>
    <x v="40"/>
    <x v="4"/>
    <n v="30"/>
    <x v="0"/>
    <n v="0"/>
    <n v="0"/>
    <n v="0"/>
    <n v="0"/>
    <n v="0"/>
    <x v="1"/>
    <n v="1"/>
    <x v="0"/>
    <x v="1"/>
  </r>
  <r>
    <n v="500692"/>
    <n v="20048"/>
    <x v="1"/>
    <x v="7"/>
    <d v="2026-04-25T00:00:00"/>
    <s v="23:20"/>
    <x v="182"/>
    <x v="2"/>
    <n v="61"/>
    <x v="5"/>
    <n v="1"/>
    <n v="1"/>
    <n v="0"/>
    <n v="0"/>
    <n v="0"/>
    <x v="0"/>
    <n v="1"/>
    <x v="1"/>
    <x v="2"/>
  </r>
  <r>
    <n v="500693"/>
    <n v="77662"/>
    <x v="0"/>
    <x v="6"/>
    <d v="2026-02-04T00:00:00"/>
    <s v="02:39"/>
    <x v="40"/>
    <x v="4"/>
    <n v="16"/>
    <x v="1"/>
    <n v="0"/>
    <n v="0"/>
    <n v="0"/>
    <n v="0"/>
    <n v="0"/>
    <x v="1"/>
    <n v="0"/>
    <x v="0"/>
    <x v="3"/>
  </r>
  <r>
    <n v="500694"/>
    <n v="45118"/>
    <x v="1"/>
    <x v="0"/>
    <d v="2026-03-10T00:00:00"/>
    <s v="04:12"/>
    <x v="41"/>
    <x v="1"/>
    <n v="50"/>
    <x v="8"/>
    <n v="0"/>
    <n v="0"/>
    <n v="1"/>
    <n v="0"/>
    <n v="0"/>
    <x v="0"/>
    <n v="1"/>
    <x v="0"/>
    <x v="0"/>
  </r>
  <r>
    <n v="500695"/>
    <n v="51766"/>
    <x v="0"/>
    <x v="1"/>
    <d v="2025-12-23T00:00:00"/>
    <s v="16:54"/>
    <x v="148"/>
    <x v="2"/>
    <n v="49"/>
    <x v="5"/>
    <n v="1"/>
    <n v="0"/>
    <n v="0"/>
    <n v="0"/>
    <n v="0"/>
    <x v="1"/>
    <n v="1"/>
    <x v="1"/>
    <x v="0"/>
  </r>
  <r>
    <n v="500696"/>
    <n v="35154"/>
    <x v="0"/>
    <x v="1"/>
    <d v="2026-04-17T00:00:00"/>
    <s v="05:09"/>
    <x v="32"/>
    <x v="5"/>
    <n v="31"/>
    <x v="0"/>
    <n v="1"/>
    <n v="0"/>
    <n v="0"/>
    <n v="0"/>
    <n v="0"/>
    <x v="1"/>
    <n v="1"/>
    <x v="0"/>
    <x v="1"/>
  </r>
  <r>
    <n v="500697"/>
    <n v="36475"/>
    <x v="0"/>
    <x v="7"/>
    <d v="2026-04-01T00:00:00"/>
    <s v="00:28"/>
    <x v="8"/>
    <x v="4"/>
    <n v="44"/>
    <x v="2"/>
    <n v="0"/>
    <n v="0"/>
    <n v="0"/>
    <n v="0"/>
    <n v="0"/>
    <x v="1"/>
    <n v="1"/>
    <x v="0"/>
    <x v="0"/>
  </r>
  <r>
    <n v="500698"/>
    <n v="73680"/>
    <x v="0"/>
    <x v="0"/>
    <d v="2026-04-18T00:00:00"/>
    <s v="09:19"/>
    <x v="29"/>
    <x v="3"/>
    <n v="12"/>
    <x v="6"/>
    <n v="0"/>
    <n v="0"/>
    <n v="0"/>
    <n v="0"/>
    <n v="0"/>
    <x v="1"/>
    <n v="1"/>
    <x v="1"/>
    <x v="3"/>
  </r>
  <r>
    <n v="500699"/>
    <n v="63347"/>
    <x v="1"/>
    <x v="5"/>
    <d v="2026-02-02T00:00:00"/>
    <s v="11:37"/>
    <x v="163"/>
    <x v="0"/>
    <n v="56"/>
    <x v="5"/>
    <n v="0"/>
    <n v="1"/>
    <n v="0"/>
    <n v="0"/>
    <n v="0"/>
    <x v="0"/>
    <n v="1"/>
    <x v="0"/>
    <x v="0"/>
  </r>
  <r>
    <n v="500700"/>
    <n v="78846"/>
    <x v="1"/>
    <x v="6"/>
    <d v="2026-04-10T00:00:00"/>
    <s v="06:41"/>
    <x v="116"/>
    <x v="6"/>
    <n v="34"/>
    <x v="6"/>
    <n v="0"/>
    <n v="0"/>
    <n v="0"/>
    <n v="0"/>
    <n v="0"/>
    <x v="1"/>
    <n v="1"/>
    <x v="0"/>
    <x v="1"/>
  </r>
  <r>
    <n v="500701"/>
    <n v="61111"/>
    <x v="0"/>
    <x v="4"/>
    <d v="2026-04-10T00:00:00"/>
    <s v="20:56"/>
    <x v="90"/>
    <x v="5"/>
    <n v="27"/>
    <x v="1"/>
    <n v="0"/>
    <n v="0"/>
    <n v="0"/>
    <n v="0"/>
    <n v="0"/>
    <x v="1"/>
    <n v="1"/>
    <x v="0"/>
    <x v="1"/>
  </r>
  <r>
    <n v="500702"/>
    <n v="87264"/>
    <x v="0"/>
    <x v="6"/>
    <d v="2026-03-04T00:00:00"/>
    <s v="08:36"/>
    <x v="89"/>
    <x v="1"/>
    <n v="58"/>
    <x v="8"/>
    <n v="1"/>
    <n v="0"/>
    <n v="1"/>
    <n v="0"/>
    <n v="0"/>
    <x v="0"/>
    <n v="1"/>
    <x v="0"/>
    <x v="0"/>
  </r>
  <r>
    <n v="500703"/>
    <n v="28993"/>
    <x v="1"/>
    <x v="6"/>
    <d v="2026-01-05T00:00:00"/>
    <s v="06:15"/>
    <x v="33"/>
    <x v="4"/>
    <n v="23"/>
    <x v="4"/>
    <n v="1"/>
    <n v="0"/>
    <n v="0"/>
    <n v="1"/>
    <n v="0"/>
    <x v="1"/>
    <n v="1"/>
    <x v="0"/>
    <x v="1"/>
  </r>
  <r>
    <n v="500704"/>
    <n v="96798"/>
    <x v="0"/>
    <x v="1"/>
    <d v="2026-04-19T00:00:00"/>
    <s v="18:51"/>
    <x v="172"/>
    <x v="1"/>
    <n v="9"/>
    <x v="0"/>
    <n v="0"/>
    <n v="0"/>
    <n v="0"/>
    <n v="0"/>
    <n v="0"/>
    <x v="1"/>
    <n v="1"/>
    <x v="0"/>
    <x v="3"/>
  </r>
  <r>
    <n v="500705"/>
    <n v="57560"/>
    <x v="0"/>
    <x v="1"/>
    <d v="2026-04-17T00:00:00"/>
    <s v="02:58"/>
    <x v="29"/>
    <x v="3"/>
    <n v="6"/>
    <x v="3"/>
    <n v="0"/>
    <n v="0"/>
    <n v="0"/>
    <n v="0"/>
    <n v="0"/>
    <x v="1"/>
    <n v="0"/>
    <x v="0"/>
    <x v="3"/>
  </r>
  <r>
    <n v="500706"/>
    <n v="43493"/>
    <x v="1"/>
    <x v="5"/>
    <d v="2026-05-11T00:00:00"/>
    <s v="20:54"/>
    <x v="104"/>
    <x v="3"/>
    <n v="50"/>
    <x v="1"/>
    <n v="1"/>
    <n v="1"/>
    <n v="0"/>
    <n v="0"/>
    <n v="0"/>
    <x v="0"/>
    <n v="0"/>
    <x v="0"/>
    <x v="0"/>
  </r>
  <r>
    <n v="500707"/>
    <n v="63253"/>
    <x v="0"/>
    <x v="7"/>
    <d v="2026-04-24T00:00:00"/>
    <s v="15:51"/>
    <x v="76"/>
    <x v="6"/>
    <n v="12"/>
    <x v="6"/>
    <n v="0"/>
    <n v="0"/>
    <n v="0"/>
    <n v="0"/>
    <n v="0"/>
    <x v="1"/>
    <n v="0"/>
    <x v="0"/>
    <x v="3"/>
  </r>
  <r>
    <n v="500708"/>
    <n v="64127"/>
    <x v="1"/>
    <x v="4"/>
    <d v="2026-01-22T00:00:00"/>
    <s v="20:42"/>
    <x v="52"/>
    <x v="1"/>
    <n v="73"/>
    <x v="6"/>
    <n v="0"/>
    <n v="0"/>
    <n v="0"/>
    <n v="0"/>
    <n v="0"/>
    <x v="1"/>
    <n v="0"/>
    <x v="0"/>
    <x v="2"/>
  </r>
  <r>
    <n v="500709"/>
    <n v="13584"/>
    <x v="0"/>
    <x v="3"/>
    <d v="2025-12-18T00:00:00"/>
    <s v="07:58"/>
    <x v="70"/>
    <x v="1"/>
    <n v="0"/>
    <x v="3"/>
    <n v="0"/>
    <n v="0"/>
    <n v="0"/>
    <n v="0"/>
    <n v="0"/>
    <x v="1"/>
    <n v="1"/>
    <x v="1"/>
    <x v="3"/>
  </r>
  <r>
    <n v="500710"/>
    <n v="92352"/>
    <x v="1"/>
    <x v="2"/>
    <d v="2026-04-29T00:00:00"/>
    <s v="02:04"/>
    <x v="46"/>
    <x v="4"/>
    <n v="71"/>
    <x v="9"/>
    <n v="0"/>
    <n v="1"/>
    <n v="0"/>
    <n v="0"/>
    <n v="0"/>
    <x v="0"/>
    <n v="1"/>
    <x v="0"/>
    <x v="2"/>
  </r>
  <r>
    <n v="500711"/>
    <n v="63780"/>
    <x v="1"/>
    <x v="6"/>
    <d v="2026-02-05T00:00:00"/>
    <s v="02:41"/>
    <x v="21"/>
    <x v="1"/>
    <n v="42"/>
    <x v="3"/>
    <n v="0"/>
    <n v="0"/>
    <n v="0"/>
    <n v="0"/>
    <n v="0"/>
    <x v="1"/>
    <n v="0"/>
    <x v="1"/>
    <x v="0"/>
  </r>
  <r>
    <n v="500712"/>
    <n v="64328"/>
    <x v="1"/>
    <x v="3"/>
    <d v="2026-05-06T00:00:00"/>
    <s v="04:45"/>
    <x v="166"/>
    <x v="2"/>
    <n v="36"/>
    <x v="5"/>
    <n v="1"/>
    <n v="0"/>
    <n v="0"/>
    <n v="0"/>
    <n v="0"/>
    <x v="1"/>
    <n v="1"/>
    <x v="0"/>
    <x v="1"/>
  </r>
  <r>
    <n v="500713"/>
    <n v="83207"/>
    <x v="0"/>
    <x v="5"/>
    <d v="2026-02-08T00:00:00"/>
    <s v="04:21"/>
    <x v="92"/>
    <x v="3"/>
    <n v="27"/>
    <x v="3"/>
    <n v="0"/>
    <n v="0"/>
    <n v="0"/>
    <n v="0"/>
    <n v="0"/>
    <x v="1"/>
    <n v="1"/>
    <x v="0"/>
    <x v="1"/>
  </r>
  <r>
    <n v="500714"/>
    <n v="88694"/>
    <x v="1"/>
    <x v="3"/>
    <d v="2025-12-16T00:00:00"/>
    <s v="06:19"/>
    <x v="118"/>
    <x v="2"/>
    <n v="45"/>
    <x v="6"/>
    <n v="1"/>
    <n v="0"/>
    <n v="1"/>
    <n v="0"/>
    <n v="0"/>
    <x v="0"/>
    <n v="1"/>
    <x v="0"/>
    <x v="0"/>
  </r>
  <r>
    <n v="500715"/>
    <n v="69468"/>
    <x v="1"/>
    <x v="5"/>
    <d v="2026-01-15T00:00:00"/>
    <s v="00:41"/>
    <x v="74"/>
    <x v="1"/>
    <n v="37"/>
    <x v="1"/>
    <n v="0"/>
    <n v="0"/>
    <n v="0"/>
    <n v="0"/>
    <n v="0"/>
    <x v="1"/>
    <n v="0"/>
    <x v="1"/>
    <x v="1"/>
  </r>
  <r>
    <n v="500716"/>
    <n v="74771"/>
    <x v="1"/>
    <x v="3"/>
    <d v="2026-01-17T00:00:00"/>
    <s v="05:07"/>
    <x v="150"/>
    <x v="2"/>
    <n v="60"/>
    <x v="5"/>
    <n v="0"/>
    <n v="0"/>
    <n v="0"/>
    <n v="0"/>
    <n v="0"/>
    <x v="1"/>
    <n v="1"/>
    <x v="1"/>
    <x v="0"/>
  </r>
  <r>
    <n v="500717"/>
    <n v="48036"/>
    <x v="1"/>
    <x v="1"/>
    <d v="2026-03-22T00:00:00"/>
    <s v="17:24"/>
    <x v="102"/>
    <x v="4"/>
    <n v="40"/>
    <x v="9"/>
    <n v="1"/>
    <n v="0"/>
    <n v="0"/>
    <n v="0"/>
    <n v="0"/>
    <x v="1"/>
    <n v="1"/>
    <x v="0"/>
    <x v="1"/>
  </r>
  <r>
    <n v="500718"/>
    <n v="11352"/>
    <x v="1"/>
    <x v="3"/>
    <d v="2026-02-17T00:00:00"/>
    <s v="12:27"/>
    <x v="91"/>
    <x v="1"/>
    <n v="41"/>
    <x v="4"/>
    <n v="1"/>
    <n v="0"/>
    <n v="0"/>
    <n v="0"/>
    <n v="0"/>
    <x v="1"/>
    <n v="0"/>
    <x v="1"/>
    <x v="0"/>
  </r>
  <r>
    <n v="500719"/>
    <n v="22488"/>
    <x v="0"/>
    <x v="0"/>
    <d v="2026-01-04T00:00:00"/>
    <s v="22:20"/>
    <x v="123"/>
    <x v="4"/>
    <n v="30"/>
    <x v="4"/>
    <n v="0"/>
    <n v="0"/>
    <n v="0"/>
    <n v="0"/>
    <n v="0"/>
    <x v="1"/>
    <n v="1"/>
    <x v="0"/>
    <x v="1"/>
  </r>
  <r>
    <n v="500720"/>
    <n v="88411"/>
    <x v="0"/>
    <x v="0"/>
    <d v="2026-04-16T00:00:00"/>
    <s v="01:41"/>
    <x v="134"/>
    <x v="5"/>
    <n v="36"/>
    <x v="0"/>
    <n v="1"/>
    <n v="0"/>
    <n v="0"/>
    <n v="0"/>
    <n v="0"/>
    <x v="1"/>
    <n v="1"/>
    <x v="0"/>
    <x v="1"/>
  </r>
  <r>
    <n v="500721"/>
    <n v="83342"/>
    <x v="0"/>
    <x v="3"/>
    <d v="2025-12-08T00:00:00"/>
    <s v="06:54"/>
    <x v="156"/>
    <x v="5"/>
    <n v="44"/>
    <x v="0"/>
    <n v="0"/>
    <n v="0"/>
    <n v="0"/>
    <n v="0"/>
    <n v="0"/>
    <x v="1"/>
    <n v="1"/>
    <x v="1"/>
    <x v="0"/>
  </r>
  <r>
    <n v="500722"/>
    <n v="79523"/>
    <x v="1"/>
    <x v="3"/>
    <d v="2026-04-07T00:00:00"/>
    <s v="20:33"/>
    <x v="8"/>
    <x v="4"/>
    <n v="3"/>
    <x v="0"/>
    <n v="0"/>
    <n v="0"/>
    <n v="0"/>
    <n v="0"/>
    <n v="0"/>
    <x v="1"/>
    <n v="1"/>
    <x v="1"/>
    <x v="3"/>
  </r>
  <r>
    <n v="500723"/>
    <n v="46831"/>
    <x v="1"/>
    <x v="4"/>
    <d v="2026-05-12T00:00:00"/>
    <s v="17:48"/>
    <x v="177"/>
    <x v="3"/>
    <n v="11"/>
    <x v="0"/>
    <n v="0"/>
    <n v="0"/>
    <n v="0"/>
    <n v="0"/>
    <n v="0"/>
    <x v="1"/>
    <n v="1"/>
    <x v="0"/>
    <x v="3"/>
  </r>
  <r>
    <n v="500724"/>
    <n v="44571"/>
    <x v="1"/>
    <x v="4"/>
    <d v="2026-01-28T00:00:00"/>
    <s v="00:58"/>
    <x v="126"/>
    <x v="3"/>
    <n v="52"/>
    <x v="2"/>
    <n v="1"/>
    <n v="0"/>
    <n v="0"/>
    <n v="0"/>
    <n v="0"/>
    <x v="1"/>
    <n v="0"/>
    <x v="0"/>
    <x v="0"/>
  </r>
  <r>
    <n v="500725"/>
    <n v="67670"/>
    <x v="0"/>
    <x v="1"/>
    <d v="2026-02-11T00:00:00"/>
    <s v="22:41"/>
    <x v="53"/>
    <x v="1"/>
    <n v="41"/>
    <x v="2"/>
    <n v="0"/>
    <n v="0"/>
    <n v="0"/>
    <n v="1"/>
    <n v="0"/>
    <x v="1"/>
    <n v="1"/>
    <x v="0"/>
    <x v="0"/>
  </r>
  <r>
    <n v="500726"/>
    <n v="74868"/>
    <x v="0"/>
    <x v="6"/>
    <d v="2026-01-10T00:00:00"/>
    <s v="09:42"/>
    <x v="60"/>
    <x v="5"/>
    <n v="34"/>
    <x v="4"/>
    <n v="1"/>
    <n v="0"/>
    <n v="0"/>
    <n v="0"/>
    <n v="0"/>
    <x v="1"/>
    <n v="1"/>
    <x v="1"/>
    <x v="1"/>
  </r>
  <r>
    <n v="500727"/>
    <n v="55823"/>
    <x v="0"/>
    <x v="1"/>
    <d v="2026-04-21T00:00:00"/>
    <s v="23:41"/>
    <x v="157"/>
    <x v="1"/>
    <n v="38"/>
    <x v="0"/>
    <n v="0"/>
    <n v="0"/>
    <n v="0"/>
    <n v="0"/>
    <n v="0"/>
    <x v="1"/>
    <n v="0"/>
    <x v="0"/>
    <x v="1"/>
  </r>
  <r>
    <n v="500728"/>
    <n v="96918"/>
    <x v="0"/>
    <x v="0"/>
    <d v="2026-01-05T00:00:00"/>
    <s v="02:54"/>
    <x v="100"/>
    <x v="0"/>
    <n v="44"/>
    <x v="8"/>
    <n v="0"/>
    <n v="0"/>
    <n v="0"/>
    <n v="1"/>
    <n v="0"/>
    <x v="1"/>
    <n v="1"/>
    <x v="0"/>
    <x v="0"/>
  </r>
  <r>
    <n v="500729"/>
    <n v="13402"/>
    <x v="1"/>
    <x v="5"/>
    <d v="2025-12-07T00:00:00"/>
    <s v="21:57"/>
    <x v="6"/>
    <x v="2"/>
    <n v="27"/>
    <x v="5"/>
    <n v="1"/>
    <n v="0"/>
    <n v="0"/>
    <n v="0"/>
    <n v="0"/>
    <x v="1"/>
    <n v="0"/>
    <x v="1"/>
    <x v="1"/>
  </r>
  <r>
    <n v="500730"/>
    <n v="20625"/>
    <x v="1"/>
    <x v="6"/>
    <d v="2026-03-30T00:00:00"/>
    <s v="17:40"/>
    <x v="153"/>
    <x v="3"/>
    <n v="22"/>
    <x v="3"/>
    <n v="1"/>
    <n v="0"/>
    <n v="0"/>
    <n v="0"/>
    <n v="0"/>
    <x v="1"/>
    <n v="0"/>
    <x v="0"/>
    <x v="1"/>
  </r>
  <r>
    <n v="500731"/>
    <n v="69388"/>
    <x v="1"/>
    <x v="3"/>
    <d v="2026-02-17T00:00:00"/>
    <s v="19:23"/>
    <x v="72"/>
    <x v="4"/>
    <n v="41"/>
    <x v="1"/>
    <n v="0"/>
    <n v="0"/>
    <n v="0"/>
    <n v="0"/>
    <n v="0"/>
    <x v="1"/>
    <n v="0"/>
    <x v="0"/>
    <x v="0"/>
  </r>
  <r>
    <n v="500732"/>
    <n v="88943"/>
    <x v="1"/>
    <x v="5"/>
    <d v="2026-03-20T00:00:00"/>
    <s v="06:08"/>
    <x v="185"/>
    <x v="5"/>
    <n v="18"/>
    <x v="5"/>
    <n v="0"/>
    <n v="0"/>
    <n v="0"/>
    <n v="0"/>
    <n v="0"/>
    <x v="1"/>
    <n v="1"/>
    <x v="0"/>
    <x v="3"/>
  </r>
  <r>
    <n v="500733"/>
    <n v="62286"/>
    <x v="0"/>
    <x v="0"/>
    <d v="2026-02-02T00:00:00"/>
    <s v="18:24"/>
    <x v="72"/>
    <x v="4"/>
    <n v="46"/>
    <x v="1"/>
    <n v="0"/>
    <n v="0"/>
    <n v="0"/>
    <n v="0"/>
    <n v="0"/>
    <x v="1"/>
    <n v="1"/>
    <x v="0"/>
    <x v="0"/>
  </r>
  <r>
    <n v="500734"/>
    <n v="66670"/>
    <x v="1"/>
    <x v="3"/>
    <d v="2026-01-10T00:00:00"/>
    <s v="22:02"/>
    <x v="150"/>
    <x v="2"/>
    <n v="3"/>
    <x v="4"/>
    <n v="0"/>
    <n v="0"/>
    <n v="0"/>
    <n v="0"/>
    <n v="0"/>
    <x v="1"/>
    <n v="0"/>
    <x v="0"/>
    <x v="3"/>
  </r>
  <r>
    <n v="500735"/>
    <n v="74175"/>
    <x v="1"/>
    <x v="4"/>
    <d v="2026-04-03T00:00:00"/>
    <s v="12:33"/>
    <x v="3"/>
    <x v="1"/>
    <n v="58"/>
    <x v="3"/>
    <n v="1"/>
    <n v="0"/>
    <n v="0"/>
    <n v="0"/>
    <n v="0"/>
    <x v="1"/>
    <n v="1"/>
    <x v="0"/>
    <x v="0"/>
  </r>
  <r>
    <n v="500736"/>
    <n v="15300"/>
    <x v="1"/>
    <x v="6"/>
    <d v="2026-02-17T00:00:00"/>
    <s v="23:45"/>
    <x v="2"/>
    <x v="2"/>
    <n v="47"/>
    <x v="1"/>
    <n v="0"/>
    <n v="0"/>
    <n v="0"/>
    <n v="0"/>
    <n v="0"/>
    <x v="1"/>
    <n v="1"/>
    <x v="1"/>
    <x v="0"/>
  </r>
  <r>
    <n v="500737"/>
    <n v="72601"/>
    <x v="1"/>
    <x v="3"/>
    <d v="2026-03-31T00:00:00"/>
    <s v="17:58"/>
    <x v="186"/>
    <x v="0"/>
    <n v="43"/>
    <x v="2"/>
    <n v="1"/>
    <n v="0"/>
    <n v="0"/>
    <n v="0"/>
    <n v="0"/>
    <x v="1"/>
    <n v="1"/>
    <x v="1"/>
    <x v="0"/>
  </r>
  <r>
    <n v="500738"/>
    <n v="15910"/>
    <x v="0"/>
    <x v="4"/>
    <d v="2026-05-02T00:00:00"/>
    <s v="00:47"/>
    <x v="76"/>
    <x v="6"/>
    <n v="57"/>
    <x v="5"/>
    <n v="0"/>
    <n v="0"/>
    <n v="0"/>
    <n v="0"/>
    <n v="0"/>
    <x v="1"/>
    <n v="0"/>
    <x v="1"/>
    <x v="0"/>
  </r>
  <r>
    <n v="500739"/>
    <n v="96714"/>
    <x v="1"/>
    <x v="3"/>
    <d v="2026-05-21T00:00:00"/>
    <s v="03:32"/>
    <x v="142"/>
    <x v="5"/>
    <n v="71"/>
    <x v="2"/>
    <n v="1"/>
    <n v="1"/>
    <n v="0"/>
    <n v="0"/>
    <n v="0"/>
    <x v="0"/>
    <n v="0"/>
    <x v="0"/>
    <x v="2"/>
  </r>
  <r>
    <n v="500740"/>
    <n v="44743"/>
    <x v="1"/>
    <x v="3"/>
    <d v="2026-03-02T00:00:00"/>
    <s v="08:01"/>
    <x v="135"/>
    <x v="0"/>
    <n v="58"/>
    <x v="1"/>
    <n v="0"/>
    <n v="1"/>
    <n v="0"/>
    <n v="0"/>
    <n v="0"/>
    <x v="0"/>
    <n v="1"/>
    <x v="0"/>
    <x v="0"/>
  </r>
  <r>
    <n v="500741"/>
    <n v="11743"/>
    <x v="0"/>
    <x v="6"/>
    <d v="2026-03-25T00:00:00"/>
    <s v="17:00"/>
    <x v="77"/>
    <x v="6"/>
    <n v="1"/>
    <x v="3"/>
    <n v="0"/>
    <n v="0"/>
    <n v="0"/>
    <n v="0"/>
    <n v="0"/>
    <x v="1"/>
    <n v="0"/>
    <x v="0"/>
    <x v="3"/>
  </r>
  <r>
    <n v="500742"/>
    <n v="88890"/>
    <x v="1"/>
    <x v="7"/>
    <d v="2026-04-08T00:00:00"/>
    <s v="07:07"/>
    <x v="183"/>
    <x v="0"/>
    <n v="12"/>
    <x v="9"/>
    <n v="0"/>
    <n v="0"/>
    <n v="0"/>
    <n v="0"/>
    <n v="0"/>
    <x v="1"/>
    <n v="1"/>
    <x v="0"/>
    <x v="3"/>
  </r>
  <r>
    <n v="500743"/>
    <n v="98487"/>
    <x v="1"/>
    <x v="7"/>
    <d v="2026-03-05T00:00:00"/>
    <s v="08:27"/>
    <x v="66"/>
    <x v="6"/>
    <n v="25"/>
    <x v="6"/>
    <n v="0"/>
    <n v="0"/>
    <n v="0"/>
    <n v="0"/>
    <n v="0"/>
    <x v="1"/>
    <n v="0"/>
    <x v="0"/>
    <x v="1"/>
  </r>
  <r>
    <n v="500744"/>
    <n v="34670"/>
    <x v="0"/>
    <x v="1"/>
    <d v="2026-01-30T00:00:00"/>
    <s v="16:55"/>
    <x v="126"/>
    <x v="3"/>
    <n v="38"/>
    <x v="3"/>
    <n v="0"/>
    <n v="0"/>
    <n v="0"/>
    <n v="0"/>
    <n v="0"/>
    <x v="1"/>
    <n v="1"/>
    <x v="0"/>
    <x v="1"/>
  </r>
  <r>
    <n v="500745"/>
    <n v="35023"/>
    <x v="0"/>
    <x v="7"/>
    <d v="2025-12-25T00:00:00"/>
    <s v="07:41"/>
    <x v="170"/>
    <x v="1"/>
    <n v="48"/>
    <x v="3"/>
    <n v="0"/>
    <n v="0"/>
    <n v="1"/>
    <n v="0"/>
    <n v="0"/>
    <x v="0"/>
    <n v="1"/>
    <x v="0"/>
    <x v="0"/>
  </r>
  <r>
    <n v="500746"/>
    <n v="71799"/>
    <x v="0"/>
    <x v="6"/>
    <d v="2026-03-14T00:00:00"/>
    <s v="13:02"/>
    <x v="71"/>
    <x v="6"/>
    <n v="23"/>
    <x v="9"/>
    <n v="0"/>
    <n v="0"/>
    <n v="0"/>
    <n v="0"/>
    <n v="0"/>
    <x v="1"/>
    <n v="0"/>
    <x v="1"/>
    <x v="1"/>
  </r>
  <r>
    <n v="500747"/>
    <n v="11032"/>
    <x v="0"/>
    <x v="4"/>
    <d v="2026-04-16T00:00:00"/>
    <s v="17:51"/>
    <x v="31"/>
    <x v="2"/>
    <n v="41"/>
    <x v="5"/>
    <n v="1"/>
    <n v="0"/>
    <n v="0"/>
    <n v="0"/>
    <n v="0"/>
    <x v="1"/>
    <n v="1"/>
    <x v="0"/>
    <x v="0"/>
  </r>
  <r>
    <n v="500748"/>
    <n v="73714"/>
    <x v="1"/>
    <x v="1"/>
    <d v="2026-04-02T00:00:00"/>
    <s v="05:31"/>
    <x v="68"/>
    <x v="5"/>
    <n v="22"/>
    <x v="7"/>
    <n v="0"/>
    <n v="0"/>
    <n v="0"/>
    <n v="0"/>
    <n v="0"/>
    <x v="1"/>
    <n v="1"/>
    <x v="0"/>
    <x v="1"/>
  </r>
  <r>
    <n v="500749"/>
    <n v="64675"/>
    <x v="1"/>
    <x v="5"/>
    <d v="2026-04-23T00:00:00"/>
    <s v="02:10"/>
    <x v="79"/>
    <x v="5"/>
    <n v="25"/>
    <x v="3"/>
    <n v="1"/>
    <n v="0"/>
    <n v="0"/>
    <n v="0"/>
    <n v="0"/>
    <x v="1"/>
    <n v="1"/>
    <x v="0"/>
    <x v="1"/>
  </r>
  <r>
    <n v="500750"/>
    <n v="71504"/>
    <x v="1"/>
    <x v="6"/>
    <d v="2026-03-07T00:00:00"/>
    <s v="14:26"/>
    <x v="128"/>
    <x v="0"/>
    <n v="9"/>
    <x v="1"/>
    <n v="0"/>
    <n v="0"/>
    <n v="0"/>
    <n v="0"/>
    <n v="0"/>
    <x v="1"/>
    <n v="1"/>
    <x v="0"/>
    <x v="3"/>
  </r>
  <r>
    <n v="500751"/>
    <n v="88918"/>
    <x v="1"/>
    <x v="3"/>
    <d v="2025-11-22T00:00:00"/>
    <s v="19:32"/>
    <x v="129"/>
    <x v="3"/>
    <n v="19"/>
    <x v="0"/>
    <n v="1"/>
    <n v="0"/>
    <n v="0"/>
    <n v="0"/>
    <n v="0"/>
    <x v="1"/>
    <n v="0"/>
    <x v="0"/>
    <x v="1"/>
  </r>
  <r>
    <n v="500752"/>
    <n v="57219"/>
    <x v="1"/>
    <x v="3"/>
    <d v="2026-03-25T00:00:00"/>
    <s v="02:55"/>
    <x v="58"/>
    <x v="1"/>
    <n v="10"/>
    <x v="9"/>
    <n v="0"/>
    <n v="0"/>
    <n v="0"/>
    <n v="0"/>
    <n v="0"/>
    <x v="1"/>
    <n v="1"/>
    <x v="1"/>
    <x v="3"/>
  </r>
  <r>
    <n v="500753"/>
    <n v="73293"/>
    <x v="0"/>
    <x v="3"/>
    <d v="2026-01-16T00:00:00"/>
    <s v="20:37"/>
    <x v="94"/>
    <x v="6"/>
    <n v="18"/>
    <x v="1"/>
    <n v="0"/>
    <n v="0"/>
    <n v="0"/>
    <n v="0"/>
    <n v="0"/>
    <x v="1"/>
    <n v="1"/>
    <x v="0"/>
    <x v="3"/>
  </r>
  <r>
    <n v="500754"/>
    <n v="74713"/>
    <x v="1"/>
    <x v="1"/>
    <d v="2026-03-28T00:00:00"/>
    <s v="20:48"/>
    <x v="63"/>
    <x v="5"/>
    <n v="59"/>
    <x v="1"/>
    <n v="0"/>
    <n v="0"/>
    <n v="0"/>
    <n v="0"/>
    <n v="0"/>
    <x v="1"/>
    <n v="0"/>
    <x v="0"/>
    <x v="0"/>
  </r>
  <r>
    <n v="500755"/>
    <n v="18344"/>
    <x v="1"/>
    <x v="4"/>
    <d v="2026-01-19T00:00:00"/>
    <s v="03:34"/>
    <x v="150"/>
    <x v="2"/>
    <n v="19"/>
    <x v="6"/>
    <n v="0"/>
    <n v="0"/>
    <n v="0"/>
    <n v="0"/>
    <n v="0"/>
    <x v="1"/>
    <n v="1"/>
    <x v="0"/>
    <x v="1"/>
  </r>
  <r>
    <n v="500756"/>
    <n v="54606"/>
    <x v="1"/>
    <x v="0"/>
    <d v="2026-03-09T00:00:00"/>
    <s v="10:27"/>
    <x v="88"/>
    <x v="2"/>
    <n v="90"/>
    <x v="8"/>
    <n v="1"/>
    <n v="0"/>
    <n v="0"/>
    <n v="0"/>
    <n v="0"/>
    <x v="1"/>
    <n v="1"/>
    <x v="0"/>
    <x v="2"/>
  </r>
  <r>
    <n v="500757"/>
    <n v="69917"/>
    <x v="0"/>
    <x v="5"/>
    <d v="2026-01-22T00:00:00"/>
    <s v="19:14"/>
    <x v="96"/>
    <x v="0"/>
    <n v="47"/>
    <x v="9"/>
    <n v="0"/>
    <n v="0"/>
    <n v="1"/>
    <n v="0"/>
    <n v="0"/>
    <x v="0"/>
    <n v="0"/>
    <x v="0"/>
    <x v="0"/>
  </r>
  <r>
    <n v="500758"/>
    <n v="30582"/>
    <x v="1"/>
    <x v="6"/>
    <d v="2026-03-31T00:00:00"/>
    <s v="13:51"/>
    <x v="45"/>
    <x v="2"/>
    <n v="41"/>
    <x v="8"/>
    <n v="1"/>
    <n v="0"/>
    <n v="0"/>
    <n v="0"/>
    <n v="0"/>
    <x v="1"/>
    <n v="1"/>
    <x v="1"/>
    <x v="0"/>
  </r>
  <r>
    <n v="500759"/>
    <n v="36462"/>
    <x v="1"/>
    <x v="4"/>
    <d v="2026-04-29T00:00:00"/>
    <s v="07:41"/>
    <x v="124"/>
    <x v="0"/>
    <n v="20"/>
    <x v="7"/>
    <n v="0"/>
    <n v="0"/>
    <n v="0"/>
    <n v="0"/>
    <n v="0"/>
    <x v="1"/>
    <n v="1"/>
    <x v="1"/>
    <x v="1"/>
  </r>
  <r>
    <n v="500760"/>
    <n v="32447"/>
    <x v="0"/>
    <x v="7"/>
    <d v="2026-01-30T00:00:00"/>
    <s v="23:01"/>
    <x v="167"/>
    <x v="3"/>
    <n v="52"/>
    <x v="4"/>
    <n v="1"/>
    <n v="0"/>
    <n v="0"/>
    <n v="0"/>
    <n v="0"/>
    <x v="1"/>
    <n v="1"/>
    <x v="1"/>
    <x v="0"/>
  </r>
  <r>
    <n v="500761"/>
    <n v="66206"/>
    <x v="1"/>
    <x v="4"/>
    <d v="2026-03-20T00:00:00"/>
    <s v="18:31"/>
    <x v="102"/>
    <x v="4"/>
    <n v="26"/>
    <x v="3"/>
    <n v="1"/>
    <n v="0"/>
    <n v="0"/>
    <n v="0"/>
    <n v="0"/>
    <x v="1"/>
    <n v="0"/>
    <x v="0"/>
    <x v="1"/>
  </r>
  <r>
    <n v="500762"/>
    <n v="77809"/>
    <x v="0"/>
    <x v="5"/>
    <d v="2026-03-16T00:00:00"/>
    <s v="18:30"/>
    <x v="107"/>
    <x v="2"/>
    <n v="40"/>
    <x v="4"/>
    <n v="1"/>
    <n v="0"/>
    <n v="0"/>
    <n v="0"/>
    <n v="0"/>
    <x v="1"/>
    <n v="1"/>
    <x v="0"/>
    <x v="1"/>
  </r>
  <r>
    <n v="500763"/>
    <n v="14861"/>
    <x v="0"/>
    <x v="0"/>
    <d v="2026-02-08T00:00:00"/>
    <s v="15:05"/>
    <x v="165"/>
    <x v="4"/>
    <n v="89"/>
    <x v="8"/>
    <n v="1"/>
    <n v="0"/>
    <n v="0"/>
    <n v="0"/>
    <n v="0"/>
    <x v="1"/>
    <n v="1"/>
    <x v="0"/>
    <x v="2"/>
  </r>
  <r>
    <n v="500764"/>
    <n v="46671"/>
    <x v="0"/>
    <x v="4"/>
    <d v="2026-01-07T00:00:00"/>
    <s v="01:49"/>
    <x v="179"/>
    <x v="4"/>
    <n v="36"/>
    <x v="3"/>
    <n v="0"/>
    <n v="0"/>
    <n v="0"/>
    <n v="0"/>
    <n v="0"/>
    <x v="1"/>
    <n v="1"/>
    <x v="0"/>
    <x v="1"/>
  </r>
  <r>
    <n v="500765"/>
    <n v="55252"/>
    <x v="1"/>
    <x v="1"/>
    <d v="2026-01-14T00:00:00"/>
    <s v="02:59"/>
    <x v="100"/>
    <x v="0"/>
    <n v="60"/>
    <x v="0"/>
    <n v="0"/>
    <n v="1"/>
    <n v="0"/>
    <n v="0"/>
    <n v="0"/>
    <x v="0"/>
    <n v="0"/>
    <x v="0"/>
    <x v="0"/>
  </r>
  <r>
    <n v="500766"/>
    <n v="22166"/>
    <x v="1"/>
    <x v="2"/>
    <d v="2025-12-06T00:00:00"/>
    <s v="21:11"/>
    <x v="78"/>
    <x v="5"/>
    <n v="23"/>
    <x v="2"/>
    <n v="0"/>
    <n v="0"/>
    <n v="0"/>
    <n v="1"/>
    <n v="0"/>
    <x v="1"/>
    <n v="1"/>
    <x v="1"/>
    <x v="1"/>
  </r>
  <r>
    <n v="500767"/>
    <n v="49838"/>
    <x v="1"/>
    <x v="5"/>
    <d v="2026-04-21T00:00:00"/>
    <s v="19:33"/>
    <x v="79"/>
    <x v="5"/>
    <n v="37"/>
    <x v="7"/>
    <n v="1"/>
    <n v="0"/>
    <n v="0"/>
    <n v="0"/>
    <n v="0"/>
    <x v="1"/>
    <n v="1"/>
    <x v="0"/>
    <x v="1"/>
  </r>
  <r>
    <n v="500768"/>
    <n v="26351"/>
    <x v="1"/>
    <x v="7"/>
    <d v="2026-04-14T00:00:00"/>
    <s v="23:57"/>
    <x v="31"/>
    <x v="2"/>
    <n v="73"/>
    <x v="9"/>
    <n v="0"/>
    <n v="0"/>
    <n v="0"/>
    <n v="0"/>
    <n v="0"/>
    <x v="1"/>
    <n v="0"/>
    <x v="0"/>
    <x v="2"/>
  </r>
  <r>
    <n v="500769"/>
    <n v="79899"/>
    <x v="0"/>
    <x v="2"/>
    <d v="2026-02-21T00:00:00"/>
    <s v="17:59"/>
    <x v="12"/>
    <x v="5"/>
    <n v="25"/>
    <x v="0"/>
    <n v="1"/>
    <n v="0"/>
    <n v="0"/>
    <n v="0"/>
    <n v="0"/>
    <x v="1"/>
    <n v="1"/>
    <x v="1"/>
    <x v="1"/>
  </r>
  <r>
    <n v="500770"/>
    <n v="59501"/>
    <x v="0"/>
    <x v="5"/>
    <d v="2025-11-29T00:00:00"/>
    <s v="11:06"/>
    <x v="86"/>
    <x v="5"/>
    <n v="74"/>
    <x v="4"/>
    <n v="0"/>
    <n v="0"/>
    <n v="0"/>
    <n v="0"/>
    <n v="0"/>
    <x v="1"/>
    <n v="1"/>
    <x v="1"/>
    <x v="2"/>
  </r>
  <r>
    <n v="500771"/>
    <n v="27047"/>
    <x v="1"/>
    <x v="1"/>
    <d v="2025-12-09T00:00:00"/>
    <s v="12:03"/>
    <x v="86"/>
    <x v="5"/>
    <n v="52"/>
    <x v="3"/>
    <n v="0"/>
    <n v="0"/>
    <n v="0"/>
    <n v="0"/>
    <n v="0"/>
    <x v="1"/>
    <n v="1"/>
    <x v="0"/>
    <x v="0"/>
  </r>
  <r>
    <n v="500772"/>
    <n v="75382"/>
    <x v="1"/>
    <x v="6"/>
    <d v="2025-12-29T00:00:00"/>
    <s v="02:21"/>
    <x v="148"/>
    <x v="2"/>
    <n v="26"/>
    <x v="3"/>
    <n v="1"/>
    <n v="0"/>
    <n v="0"/>
    <n v="0"/>
    <n v="0"/>
    <x v="1"/>
    <n v="1"/>
    <x v="0"/>
    <x v="1"/>
  </r>
  <r>
    <n v="500773"/>
    <n v="26958"/>
    <x v="0"/>
    <x v="1"/>
    <d v="2026-04-18T00:00:00"/>
    <s v="14:59"/>
    <x v="48"/>
    <x v="1"/>
    <n v="50"/>
    <x v="3"/>
    <n v="1"/>
    <n v="1"/>
    <n v="1"/>
    <n v="0"/>
    <n v="0"/>
    <x v="0"/>
    <n v="1"/>
    <x v="0"/>
    <x v="0"/>
  </r>
  <r>
    <n v="500774"/>
    <n v="24461"/>
    <x v="0"/>
    <x v="2"/>
    <d v="2026-01-25T00:00:00"/>
    <s v="03:20"/>
    <x v="187"/>
    <x v="2"/>
    <n v="57"/>
    <x v="9"/>
    <n v="1"/>
    <n v="1"/>
    <n v="1"/>
    <n v="0"/>
    <n v="0"/>
    <x v="0"/>
    <n v="1"/>
    <x v="0"/>
    <x v="0"/>
  </r>
  <r>
    <n v="500775"/>
    <n v="28630"/>
    <x v="1"/>
    <x v="0"/>
    <d v="2026-02-06T00:00:00"/>
    <s v="11:12"/>
    <x v="47"/>
    <x v="6"/>
    <n v="50"/>
    <x v="0"/>
    <n v="1"/>
    <n v="1"/>
    <n v="0"/>
    <n v="0"/>
    <n v="0"/>
    <x v="0"/>
    <n v="1"/>
    <x v="0"/>
    <x v="0"/>
  </r>
  <r>
    <n v="500776"/>
    <n v="64732"/>
    <x v="1"/>
    <x v="7"/>
    <d v="2026-02-20T00:00:00"/>
    <s v="23:29"/>
    <x v="151"/>
    <x v="4"/>
    <n v="6"/>
    <x v="9"/>
    <n v="0"/>
    <n v="0"/>
    <n v="0"/>
    <n v="0"/>
    <n v="0"/>
    <x v="1"/>
    <n v="1"/>
    <x v="0"/>
    <x v="3"/>
  </r>
  <r>
    <n v="500777"/>
    <n v="89391"/>
    <x v="0"/>
    <x v="3"/>
    <d v="2026-05-19T00:00:00"/>
    <s v="16:38"/>
    <x v="181"/>
    <x v="1"/>
    <n v="23"/>
    <x v="8"/>
    <n v="1"/>
    <n v="0"/>
    <n v="0"/>
    <n v="0"/>
    <n v="0"/>
    <x v="1"/>
    <n v="1"/>
    <x v="0"/>
    <x v="1"/>
  </r>
  <r>
    <n v="500778"/>
    <n v="21706"/>
    <x v="1"/>
    <x v="4"/>
    <d v="2026-05-07T00:00:00"/>
    <s v="07:18"/>
    <x v="133"/>
    <x v="0"/>
    <n v="33"/>
    <x v="1"/>
    <n v="1"/>
    <n v="0"/>
    <n v="0"/>
    <n v="0"/>
    <n v="0"/>
    <x v="1"/>
    <n v="1"/>
    <x v="0"/>
    <x v="1"/>
  </r>
  <r>
    <n v="500779"/>
    <n v="46356"/>
    <x v="0"/>
    <x v="3"/>
    <d v="2026-02-09T00:00:00"/>
    <s v="18:12"/>
    <x v="69"/>
    <x v="2"/>
    <n v="36"/>
    <x v="7"/>
    <n v="1"/>
    <n v="0"/>
    <n v="0"/>
    <n v="0"/>
    <n v="0"/>
    <x v="1"/>
    <n v="1"/>
    <x v="1"/>
    <x v="1"/>
  </r>
  <r>
    <n v="500780"/>
    <n v="91094"/>
    <x v="0"/>
    <x v="1"/>
    <d v="2026-03-22T00:00:00"/>
    <s v="04:29"/>
    <x v="185"/>
    <x v="5"/>
    <n v="50"/>
    <x v="3"/>
    <n v="0"/>
    <n v="1"/>
    <n v="0"/>
    <n v="0"/>
    <n v="0"/>
    <x v="0"/>
    <n v="0"/>
    <x v="0"/>
    <x v="0"/>
  </r>
  <r>
    <n v="500781"/>
    <n v="85963"/>
    <x v="1"/>
    <x v="5"/>
    <d v="2025-11-21T00:00:00"/>
    <s v="03:00"/>
    <x v="93"/>
    <x v="6"/>
    <n v="41"/>
    <x v="8"/>
    <n v="1"/>
    <n v="0"/>
    <n v="0"/>
    <n v="1"/>
    <n v="0"/>
    <x v="1"/>
    <n v="1"/>
    <x v="1"/>
    <x v="0"/>
  </r>
  <r>
    <n v="500782"/>
    <n v="64386"/>
    <x v="0"/>
    <x v="2"/>
    <d v="2025-11-28T00:00:00"/>
    <s v="01:08"/>
    <x v="110"/>
    <x v="5"/>
    <n v="11"/>
    <x v="5"/>
    <n v="0"/>
    <n v="0"/>
    <n v="0"/>
    <n v="0"/>
    <n v="0"/>
    <x v="1"/>
    <n v="1"/>
    <x v="1"/>
    <x v="3"/>
  </r>
  <r>
    <n v="500783"/>
    <n v="32040"/>
    <x v="1"/>
    <x v="3"/>
    <d v="2026-03-28T00:00:00"/>
    <s v="07:54"/>
    <x v="36"/>
    <x v="3"/>
    <n v="45"/>
    <x v="2"/>
    <n v="1"/>
    <n v="0"/>
    <n v="0"/>
    <n v="0"/>
    <n v="0"/>
    <x v="1"/>
    <n v="1"/>
    <x v="1"/>
    <x v="0"/>
  </r>
  <r>
    <n v="500784"/>
    <n v="52636"/>
    <x v="0"/>
    <x v="0"/>
    <d v="2026-05-07T00:00:00"/>
    <s v="09:19"/>
    <x v="132"/>
    <x v="5"/>
    <n v="50"/>
    <x v="7"/>
    <n v="1"/>
    <n v="0"/>
    <n v="0"/>
    <n v="0"/>
    <n v="0"/>
    <x v="1"/>
    <n v="1"/>
    <x v="0"/>
    <x v="0"/>
  </r>
  <r>
    <n v="500785"/>
    <n v="25855"/>
    <x v="0"/>
    <x v="1"/>
    <d v="2026-05-19T00:00:00"/>
    <s v="09:15"/>
    <x v="7"/>
    <x v="4"/>
    <n v="49"/>
    <x v="1"/>
    <n v="0"/>
    <n v="0"/>
    <n v="0"/>
    <n v="0"/>
    <n v="0"/>
    <x v="1"/>
    <n v="1"/>
    <x v="0"/>
    <x v="0"/>
  </r>
  <r>
    <n v="500786"/>
    <n v="63356"/>
    <x v="0"/>
    <x v="6"/>
    <d v="2025-12-29T00:00:00"/>
    <s v="11:38"/>
    <x v="84"/>
    <x v="3"/>
    <n v="59"/>
    <x v="7"/>
    <n v="1"/>
    <n v="0"/>
    <n v="0"/>
    <n v="1"/>
    <n v="0"/>
    <x v="1"/>
    <n v="1"/>
    <x v="0"/>
    <x v="0"/>
  </r>
  <r>
    <n v="500787"/>
    <n v="95400"/>
    <x v="0"/>
    <x v="7"/>
    <d v="2025-12-03T00:00:00"/>
    <s v="23:59"/>
    <x v="180"/>
    <x v="0"/>
    <n v="54"/>
    <x v="9"/>
    <n v="1"/>
    <n v="0"/>
    <n v="0"/>
    <n v="0"/>
    <n v="0"/>
    <x v="1"/>
    <n v="1"/>
    <x v="0"/>
    <x v="0"/>
  </r>
  <r>
    <n v="500788"/>
    <n v="32044"/>
    <x v="0"/>
    <x v="4"/>
    <d v="2026-04-22T00:00:00"/>
    <s v="13:56"/>
    <x v="25"/>
    <x v="4"/>
    <n v="47"/>
    <x v="8"/>
    <n v="1"/>
    <n v="1"/>
    <n v="0"/>
    <n v="0"/>
    <n v="0"/>
    <x v="0"/>
    <n v="1"/>
    <x v="1"/>
    <x v="0"/>
  </r>
  <r>
    <n v="500789"/>
    <n v="17887"/>
    <x v="1"/>
    <x v="7"/>
    <d v="2026-03-06T00:00:00"/>
    <s v="03:14"/>
    <x v="85"/>
    <x v="3"/>
    <n v="36"/>
    <x v="9"/>
    <n v="1"/>
    <n v="0"/>
    <n v="0"/>
    <n v="0"/>
    <n v="0"/>
    <x v="1"/>
    <n v="1"/>
    <x v="0"/>
    <x v="1"/>
  </r>
  <r>
    <n v="500790"/>
    <n v="86697"/>
    <x v="1"/>
    <x v="0"/>
    <d v="2025-12-17T00:00:00"/>
    <s v="18:30"/>
    <x v="73"/>
    <x v="6"/>
    <n v="4"/>
    <x v="2"/>
    <n v="0"/>
    <n v="0"/>
    <n v="0"/>
    <n v="0"/>
    <n v="0"/>
    <x v="1"/>
    <n v="1"/>
    <x v="0"/>
    <x v="3"/>
  </r>
  <r>
    <n v="500791"/>
    <n v="61813"/>
    <x v="0"/>
    <x v="3"/>
    <d v="2026-04-18T00:00:00"/>
    <s v="00:24"/>
    <x v="18"/>
    <x v="5"/>
    <n v="46"/>
    <x v="8"/>
    <n v="1"/>
    <n v="0"/>
    <n v="1"/>
    <n v="0"/>
    <n v="0"/>
    <x v="0"/>
    <n v="0"/>
    <x v="0"/>
    <x v="0"/>
  </r>
  <r>
    <n v="500792"/>
    <n v="93252"/>
    <x v="1"/>
    <x v="6"/>
    <d v="2025-12-28T00:00:00"/>
    <s v="02:26"/>
    <x v="148"/>
    <x v="2"/>
    <n v="42"/>
    <x v="0"/>
    <n v="0"/>
    <n v="0"/>
    <n v="0"/>
    <n v="0"/>
    <n v="0"/>
    <x v="1"/>
    <n v="0"/>
    <x v="0"/>
    <x v="0"/>
  </r>
  <r>
    <n v="500793"/>
    <n v="27527"/>
    <x v="0"/>
    <x v="6"/>
    <d v="2026-02-13T00:00:00"/>
    <s v="16:37"/>
    <x v="135"/>
    <x v="0"/>
    <n v="43"/>
    <x v="7"/>
    <n v="0"/>
    <n v="0"/>
    <n v="0"/>
    <n v="0"/>
    <n v="0"/>
    <x v="1"/>
    <n v="1"/>
    <x v="0"/>
    <x v="0"/>
  </r>
  <r>
    <n v="500794"/>
    <n v="80533"/>
    <x v="0"/>
    <x v="5"/>
    <d v="2026-03-25T00:00:00"/>
    <s v="13:35"/>
    <x v="102"/>
    <x v="4"/>
    <n v="12"/>
    <x v="8"/>
    <n v="0"/>
    <n v="0"/>
    <n v="0"/>
    <n v="0"/>
    <n v="0"/>
    <x v="1"/>
    <n v="0"/>
    <x v="0"/>
    <x v="3"/>
  </r>
  <r>
    <n v="500795"/>
    <n v="98112"/>
    <x v="0"/>
    <x v="2"/>
    <d v="2026-01-06T00:00:00"/>
    <s v="16:43"/>
    <x v="35"/>
    <x v="4"/>
    <n v="16"/>
    <x v="5"/>
    <n v="0"/>
    <n v="0"/>
    <n v="0"/>
    <n v="0"/>
    <n v="0"/>
    <x v="1"/>
    <n v="1"/>
    <x v="1"/>
    <x v="3"/>
  </r>
  <r>
    <n v="500796"/>
    <n v="11105"/>
    <x v="0"/>
    <x v="6"/>
    <d v="2026-04-27T00:00:00"/>
    <s v="14:44"/>
    <x v="32"/>
    <x v="5"/>
    <n v="59"/>
    <x v="4"/>
    <n v="0"/>
    <n v="0"/>
    <n v="0"/>
    <n v="1"/>
    <n v="0"/>
    <x v="1"/>
    <n v="1"/>
    <x v="1"/>
    <x v="0"/>
  </r>
  <r>
    <n v="500797"/>
    <n v="90405"/>
    <x v="1"/>
    <x v="1"/>
    <d v="2026-01-24T00:00:00"/>
    <s v="15:18"/>
    <x v="54"/>
    <x v="6"/>
    <n v="37"/>
    <x v="1"/>
    <n v="1"/>
    <n v="0"/>
    <n v="0"/>
    <n v="0"/>
    <n v="0"/>
    <x v="1"/>
    <n v="1"/>
    <x v="0"/>
    <x v="1"/>
  </r>
  <r>
    <n v="500798"/>
    <n v="89433"/>
    <x v="0"/>
    <x v="0"/>
    <d v="2025-12-21T00:00:00"/>
    <s v="22:42"/>
    <x v="129"/>
    <x v="3"/>
    <n v="51"/>
    <x v="1"/>
    <n v="1"/>
    <n v="1"/>
    <n v="0"/>
    <n v="0"/>
    <n v="0"/>
    <x v="0"/>
    <n v="1"/>
    <x v="0"/>
    <x v="0"/>
  </r>
  <r>
    <n v="500799"/>
    <n v="98103"/>
    <x v="0"/>
    <x v="5"/>
    <d v="2026-04-01T00:00:00"/>
    <s v="10:32"/>
    <x v="186"/>
    <x v="0"/>
    <n v="38"/>
    <x v="9"/>
    <n v="0"/>
    <n v="0"/>
    <n v="0"/>
    <n v="0"/>
    <n v="0"/>
    <x v="1"/>
    <n v="0"/>
    <x v="0"/>
    <x v="1"/>
  </r>
  <r>
    <n v="500800"/>
    <n v="78561"/>
    <x v="1"/>
    <x v="1"/>
    <d v="2026-03-03T00:00:00"/>
    <s v="09:36"/>
    <x v="49"/>
    <x v="3"/>
    <n v="38"/>
    <x v="7"/>
    <n v="1"/>
    <n v="0"/>
    <n v="0"/>
    <n v="0"/>
    <n v="0"/>
    <x v="1"/>
    <n v="1"/>
    <x v="0"/>
    <x v="1"/>
  </r>
  <r>
    <n v="500801"/>
    <n v="98224"/>
    <x v="0"/>
    <x v="2"/>
    <d v="2026-04-25T00:00:00"/>
    <s v="17:35"/>
    <x v="182"/>
    <x v="2"/>
    <n v="56"/>
    <x v="5"/>
    <n v="1"/>
    <n v="1"/>
    <n v="0"/>
    <n v="0"/>
    <n v="0"/>
    <x v="0"/>
    <n v="0"/>
    <x v="0"/>
    <x v="0"/>
  </r>
  <r>
    <n v="500802"/>
    <n v="46429"/>
    <x v="1"/>
    <x v="6"/>
    <d v="2025-12-13T00:00:00"/>
    <s v="08:57"/>
    <x v="118"/>
    <x v="2"/>
    <n v="27"/>
    <x v="4"/>
    <n v="0"/>
    <n v="0"/>
    <n v="0"/>
    <n v="0"/>
    <n v="0"/>
    <x v="1"/>
    <n v="0"/>
    <x v="0"/>
    <x v="1"/>
  </r>
  <r>
    <n v="500803"/>
    <n v="39573"/>
    <x v="1"/>
    <x v="5"/>
    <d v="2026-02-05T00:00:00"/>
    <s v="16:47"/>
    <x v="47"/>
    <x v="6"/>
    <n v="39"/>
    <x v="1"/>
    <n v="0"/>
    <n v="0"/>
    <n v="0"/>
    <n v="0"/>
    <n v="0"/>
    <x v="1"/>
    <n v="1"/>
    <x v="1"/>
    <x v="1"/>
  </r>
  <r>
    <n v="500804"/>
    <n v="72910"/>
    <x v="1"/>
    <x v="0"/>
    <d v="2026-02-20T00:00:00"/>
    <s v="11:26"/>
    <x v="28"/>
    <x v="5"/>
    <n v="28"/>
    <x v="9"/>
    <n v="1"/>
    <n v="0"/>
    <n v="0"/>
    <n v="0"/>
    <n v="0"/>
    <x v="1"/>
    <n v="1"/>
    <x v="0"/>
    <x v="1"/>
  </r>
  <r>
    <n v="500805"/>
    <n v="17134"/>
    <x v="1"/>
    <x v="1"/>
    <d v="2026-04-22T00:00:00"/>
    <s v="06:51"/>
    <x v="25"/>
    <x v="4"/>
    <n v="29"/>
    <x v="6"/>
    <n v="1"/>
    <n v="0"/>
    <n v="0"/>
    <n v="0"/>
    <n v="0"/>
    <x v="1"/>
    <n v="1"/>
    <x v="1"/>
    <x v="1"/>
  </r>
  <r>
    <n v="500806"/>
    <n v="17954"/>
    <x v="0"/>
    <x v="4"/>
    <d v="2026-05-14T00:00:00"/>
    <s v="07:18"/>
    <x v="124"/>
    <x v="0"/>
    <n v="31"/>
    <x v="4"/>
    <n v="0"/>
    <n v="0"/>
    <n v="0"/>
    <n v="0"/>
    <n v="0"/>
    <x v="1"/>
    <n v="0"/>
    <x v="1"/>
    <x v="1"/>
  </r>
  <r>
    <n v="500807"/>
    <n v="90050"/>
    <x v="1"/>
    <x v="5"/>
    <d v="2026-03-22T00:00:00"/>
    <s v="01:28"/>
    <x v="102"/>
    <x v="4"/>
    <n v="42"/>
    <x v="6"/>
    <n v="0"/>
    <n v="0"/>
    <n v="0"/>
    <n v="0"/>
    <n v="0"/>
    <x v="1"/>
    <n v="1"/>
    <x v="0"/>
    <x v="0"/>
  </r>
  <r>
    <n v="500808"/>
    <n v="40554"/>
    <x v="0"/>
    <x v="6"/>
    <d v="2025-12-08T00:00:00"/>
    <s v="04:15"/>
    <x v="156"/>
    <x v="5"/>
    <n v="28"/>
    <x v="5"/>
    <n v="1"/>
    <n v="0"/>
    <n v="0"/>
    <n v="0"/>
    <n v="0"/>
    <x v="1"/>
    <n v="1"/>
    <x v="0"/>
    <x v="1"/>
  </r>
  <r>
    <n v="500809"/>
    <n v="98575"/>
    <x v="0"/>
    <x v="6"/>
    <d v="2026-02-28T00:00:00"/>
    <s v="20:24"/>
    <x v="66"/>
    <x v="6"/>
    <n v="63"/>
    <x v="8"/>
    <n v="1"/>
    <n v="0"/>
    <n v="1"/>
    <n v="1"/>
    <n v="0"/>
    <x v="0"/>
    <n v="0"/>
    <x v="0"/>
    <x v="2"/>
  </r>
  <r>
    <n v="500810"/>
    <n v="26512"/>
    <x v="1"/>
    <x v="2"/>
    <d v="2026-01-08T00:00:00"/>
    <s v="23:39"/>
    <x v="117"/>
    <x v="5"/>
    <n v="20"/>
    <x v="5"/>
    <n v="1"/>
    <n v="0"/>
    <n v="0"/>
    <n v="0"/>
    <n v="0"/>
    <x v="1"/>
    <n v="1"/>
    <x v="1"/>
    <x v="1"/>
  </r>
  <r>
    <n v="500811"/>
    <n v="15776"/>
    <x v="0"/>
    <x v="3"/>
    <d v="2026-02-05T00:00:00"/>
    <s v="23:40"/>
    <x v="163"/>
    <x v="0"/>
    <n v="34"/>
    <x v="0"/>
    <n v="1"/>
    <n v="0"/>
    <n v="0"/>
    <n v="0"/>
    <n v="0"/>
    <x v="1"/>
    <n v="1"/>
    <x v="0"/>
    <x v="1"/>
  </r>
  <r>
    <n v="500812"/>
    <n v="80928"/>
    <x v="0"/>
    <x v="3"/>
    <d v="2026-05-21T00:00:00"/>
    <s v="07:42"/>
    <x v="14"/>
    <x v="6"/>
    <n v="29"/>
    <x v="3"/>
    <n v="1"/>
    <n v="0"/>
    <n v="0"/>
    <n v="0"/>
    <n v="0"/>
    <x v="1"/>
    <n v="0"/>
    <x v="0"/>
    <x v="1"/>
  </r>
  <r>
    <n v="500813"/>
    <n v="96203"/>
    <x v="0"/>
    <x v="0"/>
    <d v="2026-02-25T00:00:00"/>
    <s v="21:35"/>
    <x v="128"/>
    <x v="0"/>
    <n v="66"/>
    <x v="1"/>
    <n v="0"/>
    <n v="0"/>
    <n v="1"/>
    <n v="0"/>
    <n v="0"/>
    <x v="0"/>
    <n v="1"/>
    <x v="0"/>
    <x v="2"/>
  </r>
  <r>
    <n v="500814"/>
    <n v="71263"/>
    <x v="1"/>
    <x v="2"/>
    <d v="2025-12-11T00:00:00"/>
    <s v="18:03"/>
    <x v="118"/>
    <x v="2"/>
    <n v="41"/>
    <x v="9"/>
    <n v="1"/>
    <n v="0"/>
    <n v="0"/>
    <n v="0"/>
    <n v="0"/>
    <x v="1"/>
    <n v="0"/>
    <x v="1"/>
    <x v="0"/>
  </r>
  <r>
    <n v="500815"/>
    <n v="38757"/>
    <x v="0"/>
    <x v="1"/>
    <d v="2026-01-12T00:00:00"/>
    <s v="16:54"/>
    <x v="100"/>
    <x v="0"/>
    <n v="58"/>
    <x v="1"/>
    <n v="1"/>
    <n v="0"/>
    <n v="0"/>
    <n v="0"/>
    <n v="0"/>
    <x v="1"/>
    <n v="0"/>
    <x v="1"/>
    <x v="0"/>
  </r>
  <r>
    <n v="500816"/>
    <n v="34149"/>
    <x v="0"/>
    <x v="2"/>
    <d v="2026-04-30T00:00:00"/>
    <s v="23:09"/>
    <x v="87"/>
    <x v="0"/>
    <n v="8"/>
    <x v="7"/>
    <n v="0"/>
    <n v="0"/>
    <n v="0"/>
    <n v="0"/>
    <n v="0"/>
    <x v="1"/>
    <n v="1"/>
    <x v="1"/>
    <x v="3"/>
  </r>
  <r>
    <n v="500817"/>
    <n v="48086"/>
    <x v="1"/>
    <x v="1"/>
    <d v="2025-12-05T00:00:00"/>
    <s v="17:08"/>
    <x v="13"/>
    <x v="5"/>
    <n v="43"/>
    <x v="9"/>
    <n v="1"/>
    <n v="0"/>
    <n v="1"/>
    <n v="1"/>
    <n v="0"/>
    <x v="0"/>
    <n v="1"/>
    <x v="0"/>
    <x v="0"/>
  </r>
  <r>
    <n v="500818"/>
    <n v="32843"/>
    <x v="1"/>
    <x v="1"/>
    <d v="2026-05-01T00:00:00"/>
    <s v="09:53"/>
    <x v="157"/>
    <x v="1"/>
    <n v="55"/>
    <x v="2"/>
    <n v="0"/>
    <n v="1"/>
    <n v="0"/>
    <n v="0"/>
    <n v="0"/>
    <x v="0"/>
    <n v="1"/>
    <x v="0"/>
    <x v="0"/>
  </r>
  <r>
    <n v="500819"/>
    <n v="24544"/>
    <x v="1"/>
    <x v="1"/>
    <d v="2026-01-03T00:00:00"/>
    <s v="00:26"/>
    <x v="117"/>
    <x v="5"/>
    <n v="39"/>
    <x v="0"/>
    <n v="1"/>
    <n v="0"/>
    <n v="0"/>
    <n v="0"/>
    <n v="0"/>
    <x v="1"/>
    <n v="1"/>
    <x v="0"/>
    <x v="1"/>
  </r>
  <r>
    <n v="500820"/>
    <n v="91684"/>
    <x v="1"/>
    <x v="5"/>
    <d v="2026-03-30T00:00:00"/>
    <s v="16:39"/>
    <x v="0"/>
    <x v="0"/>
    <n v="59"/>
    <x v="6"/>
    <n v="0"/>
    <n v="0"/>
    <n v="1"/>
    <n v="0"/>
    <n v="0"/>
    <x v="0"/>
    <n v="1"/>
    <x v="0"/>
    <x v="0"/>
  </r>
  <r>
    <n v="500821"/>
    <n v="93380"/>
    <x v="0"/>
    <x v="0"/>
    <d v="2026-01-14T00:00:00"/>
    <s v="05:08"/>
    <x v="11"/>
    <x v="1"/>
    <n v="27"/>
    <x v="9"/>
    <n v="0"/>
    <n v="0"/>
    <n v="0"/>
    <n v="0"/>
    <n v="0"/>
    <x v="1"/>
    <n v="1"/>
    <x v="0"/>
    <x v="1"/>
  </r>
  <r>
    <n v="500822"/>
    <n v="92504"/>
    <x v="1"/>
    <x v="3"/>
    <d v="2026-03-17T00:00:00"/>
    <s v="21:38"/>
    <x v="136"/>
    <x v="2"/>
    <n v="66"/>
    <x v="8"/>
    <n v="1"/>
    <n v="1"/>
    <n v="1"/>
    <n v="0"/>
    <n v="0"/>
    <x v="0"/>
    <n v="1"/>
    <x v="0"/>
    <x v="2"/>
  </r>
  <r>
    <n v="500823"/>
    <n v="94550"/>
    <x v="1"/>
    <x v="6"/>
    <d v="2026-03-21T00:00:00"/>
    <s v="06:57"/>
    <x v="29"/>
    <x v="3"/>
    <n v="83"/>
    <x v="8"/>
    <n v="1"/>
    <n v="1"/>
    <n v="0"/>
    <n v="0"/>
    <n v="0"/>
    <x v="0"/>
    <n v="1"/>
    <x v="0"/>
    <x v="2"/>
  </r>
  <r>
    <n v="500824"/>
    <n v="93637"/>
    <x v="0"/>
    <x v="1"/>
    <d v="2025-12-07T00:00:00"/>
    <s v="01:02"/>
    <x v="188"/>
    <x v="2"/>
    <n v="30"/>
    <x v="1"/>
    <n v="0"/>
    <n v="0"/>
    <n v="0"/>
    <n v="0"/>
    <n v="0"/>
    <x v="1"/>
    <n v="1"/>
    <x v="0"/>
    <x v="1"/>
  </r>
  <r>
    <n v="500825"/>
    <n v="59425"/>
    <x v="0"/>
    <x v="2"/>
    <d v="2025-12-21T00:00:00"/>
    <s v="03:28"/>
    <x v="78"/>
    <x v="5"/>
    <n v="29"/>
    <x v="0"/>
    <n v="0"/>
    <n v="0"/>
    <n v="0"/>
    <n v="0"/>
    <n v="0"/>
    <x v="1"/>
    <n v="1"/>
    <x v="0"/>
    <x v="1"/>
  </r>
  <r>
    <n v="500826"/>
    <n v="86541"/>
    <x v="0"/>
    <x v="6"/>
    <d v="2026-02-13T00:00:00"/>
    <s v="15:24"/>
    <x v="56"/>
    <x v="3"/>
    <n v="67"/>
    <x v="8"/>
    <n v="1"/>
    <n v="0"/>
    <n v="0"/>
    <n v="0"/>
    <n v="0"/>
    <x v="1"/>
    <n v="1"/>
    <x v="1"/>
    <x v="2"/>
  </r>
  <r>
    <n v="500827"/>
    <n v="40643"/>
    <x v="1"/>
    <x v="5"/>
    <d v="2026-04-14T00:00:00"/>
    <s v="00:13"/>
    <x v="139"/>
    <x v="0"/>
    <n v="69"/>
    <x v="4"/>
    <n v="0"/>
    <n v="1"/>
    <n v="0"/>
    <n v="0"/>
    <n v="0"/>
    <x v="0"/>
    <n v="1"/>
    <x v="1"/>
    <x v="2"/>
  </r>
  <r>
    <n v="500828"/>
    <n v="57216"/>
    <x v="0"/>
    <x v="1"/>
    <d v="2026-01-14T00:00:00"/>
    <s v="12:22"/>
    <x v="11"/>
    <x v="1"/>
    <n v="27"/>
    <x v="4"/>
    <n v="0"/>
    <n v="0"/>
    <n v="0"/>
    <n v="0"/>
    <n v="0"/>
    <x v="1"/>
    <n v="0"/>
    <x v="0"/>
    <x v="1"/>
  </r>
  <r>
    <n v="500829"/>
    <n v="45974"/>
    <x v="0"/>
    <x v="3"/>
    <d v="2026-01-22T00:00:00"/>
    <s v="13:47"/>
    <x v="54"/>
    <x v="6"/>
    <n v="29"/>
    <x v="8"/>
    <n v="1"/>
    <n v="0"/>
    <n v="0"/>
    <n v="1"/>
    <n v="0"/>
    <x v="1"/>
    <n v="0"/>
    <x v="0"/>
    <x v="1"/>
  </r>
  <r>
    <n v="500830"/>
    <n v="62928"/>
    <x v="1"/>
    <x v="0"/>
    <d v="2025-11-24T00:00:00"/>
    <s v="02:25"/>
    <x v="119"/>
    <x v="4"/>
    <n v="32"/>
    <x v="3"/>
    <n v="0"/>
    <n v="0"/>
    <n v="0"/>
    <n v="0"/>
    <n v="0"/>
    <x v="1"/>
    <n v="0"/>
    <x v="0"/>
    <x v="1"/>
  </r>
  <r>
    <n v="500831"/>
    <n v="40634"/>
    <x v="1"/>
    <x v="6"/>
    <d v="2025-11-30T00:00:00"/>
    <s v="14:50"/>
    <x v="122"/>
    <x v="3"/>
    <n v="11"/>
    <x v="4"/>
    <n v="0"/>
    <n v="0"/>
    <n v="0"/>
    <n v="0"/>
    <n v="0"/>
    <x v="1"/>
    <n v="1"/>
    <x v="1"/>
    <x v="3"/>
  </r>
  <r>
    <n v="500832"/>
    <n v="64747"/>
    <x v="0"/>
    <x v="6"/>
    <d v="2025-12-13T00:00:00"/>
    <s v="13:26"/>
    <x v="118"/>
    <x v="2"/>
    <n v="19"/>
    <x v="3"/>
    <n v="0"/>
    <n v="0"/>
    <n v="0"/>
    <n v="0"/>
    <n v="0"/>
    <x v="1"/>
    <n v="1"/>
    <x v="1"/>
    <x v="1"/>
  </r>
  <r>
    <n v="500833"/>
    <n v="11268"/>
    <x v="1"/>
    <x v="2"/>
    <d v="2025-11-29T00:00:00"/>
    <s v="17:36"/>
    <x v="121"/>
    <x v="3"/>
    <n v="17"/>
    <x v="4"/>
    <n v="0"/>
    <n v="0"/>
    <n v="0"/>
    <n v="0"/>
    <n v="0"/>
    <x v="1"/>
    <n v="1"/>
    <x v="0"/>
    <x v="3"/>
  </r>
  <r>
    <n v="500834"/>
    <n v="80464"/>
    <x v="1"/>
    <x v="2"/>
    <d v="2026-01-11T00:00:00"/>
    <s v="16:32"/>
    <x v="60"/>
    <x v="5"/>
    <n v="22"/>
    <x v="9"/>
    <n v="0"/>
    <n v="0"/>
    <n v="0"/>
    <n v="0"/>
    <n v="0"/>
    <x v="1"/>
    <n v="1"/>
    <x v="0"/>
    <x v="1"/>
  </r>
  <r>
    <n v="500835"/>
    <n v="53286"/>
    <x v="1"/>
    <x v="4"/>
    <d v="2026-01-17T00:00:00"/>
    <s v="17:26"/>
    <x v="150"/>
    <x v="2"/>
    <n v="37"/>
    <x v="1"/>
    <n v="1"/>
    <n v="0"/>
    <n v="0"/>
    <n v="1"/>
    <n v="0"/>
    <x v="1"/>
    <n v="1"/>
    <x v="0"/>
    <x v="1"/>
  </r>
  <r>
    <n v="500836"/>
    <n v="69183"/>
    <x v="1"/>
    <x v="5"/>
    <d v="2025-12-16T00:00:00"/>
    <s v="18:32"/>
    <x v="158"/>
    <x v="4"/>
    <n v="42"/>
    <x v="2"/>
    <n v="0"/>
    <n v="0"/>
    <n v="0"/>
    <n v="0"/>
    <n v="0"/>
    <x v="1"/>
    <n v="1"/>
    <x v="1"/>
    <x v="0"/>
  </r>
  <r>
    <n v="500837"/>
    <n v="36083"/>
    <x v="0"/>
    <x v="4"/>
    <d v="2026-04-06T00:00:00"/>
    <s v="22:41"/>
    <x v="160"/>
    <x v="6"/>
    <n v="69"/>
    <x v="0"/>
    <n v="0"/>
    <n v="1"/>
    <n v="0"/>
    <n v="1"/>
    <n v="1"/>
    <x v="0"/>
    <n v="1"/>
    <x v="0"/>
    <x v="2"/>
  </r>
  <r>
    <n v="500838"/>
    <n v="63852"/>
    <x v="1"/>
    <x v="3"/>
    <d v="2025-12-28T00:00:00"/>
    <s v="18:46"/>
    <x v="30"/>
    <x v="3"/>
    <n v="18"/>
    <x v="6"/>
    <n v="0"/>
    <n v="0"/>
    <n v="0"/>
    <n v="0"/>
    <n v="0"/>
    <x v="1"/>
    <n v="1"/>
    <x v="0"/>
    <x v="3"/>
  </r>
  <r>
    <n v="500839"/>
    <n v="60986"/>
    <x v="0"/>
    <x v="3"/>
    <d v="2025-12-02T00:00:00"/>
    <s v="12:16"/>
    <x v="129"/>
    <x v="3"/>
    <n v="57"/>
    <x v="1"/>
    <n v="1"/>
    <n v="0"/>
    <n v="0"/>
    <n v="0"/>
    <n v="0"/>
    <x v="1"/>
    <n v="1"/>
    <x v="0"/>
    <x v="0"/>
  </r>
  <r>
    <n v="500840"/>
    <n v="99762"/>
    <x v="1"/>
    <x v="7"/>
    <d v="2026-04-26T00:00:00"/>
    <s v="17:25"/>
    <x v="157"/>
    <x v="1"/>
    <n v="33"/>
    <x v="1"/>
    <n v="0"/>
    <n v="0"/>
    <n v="0"/>
    <n v="0"/>
    <n v="0"/>
    <x v="1"/>
    <n v="0"/>
    <x v="0"/>
    <x v="1"/>
  </r>
  <r>
    <n v="500841"/>
    <n v="42353"/>
    <x v="1"/>
    <x v="6"/>
    <d v="2026-04-29T00:00:00"/>
    <s v="08:09"/>
    <x v="76"/>
    <x v="6"/>
    <n v="37"/>
    <x v="3"/>
    <n v="1"/>
    <n v="0"/>
    <n v="0"/>
    <n v="0"/>
    <n v="0"/>
    <x v="1"/>
    <n v="1"/>
    <x v="0"/>
    <x v="1"/>
  </r>
  <r>
    <n v="500842"/>
    <n v="69809"/>
    <x v="1"/>
    <x v="7"/>
    <d v="2025-12-07T00:00:00"/>
    <s v="00:49"/>
    <x v="24"/>
    <x v="4"/>
    <n v="51"/>
    <x v="5"/>
    <n v="0"/>
    <n v="0"/>
    <n v="1"/>
    <n v="0"/>
    <n v="0"/>
    <x v="0"/>
    <n v="1"/>
    <x v="0"/>
    <x v="0"/>
  </r>
  <r>
    <n v="500843"/>
    <n v="84529"/>
    <x v="0"/>
    <x v="4"/>
    <d v="2025-12-01T00:00:00"/>
    <s v="07:36"/>
    <x v="99"/>
    <x v="4"/>
    <n v="15"/>
    <x v="7"/>
    <n v="0"/>
    <n v="0"/>
    <n v="0"/>
    <n v="0"/>
    <n v="0"/>
    <x v="1"/>
    <n v="0"/>
    <x v="0"/>
    <x v="3"/>
  </r>
  <r>
    <n v="500844"/>
    <n v="92324"/>
    <x v="1"/>
    <x v="5"/>
    <d v="2026-02-04T00:00:00"/>
    <s v="10:12"/>
    <x v="20"/>
    <x v="0"/>
    <n v="45"/>
    <x v="1"/>
    <n v="1"/>
    <n v="0"/>
    <n v="0"/>
    <n v="0"/>
    <n v="0"/>
    <x v="1"/>
    <n v="1"/>
    <x v="0"/>
    <x v="0"/>
  </r>
  <r>
    <n v="500845"/>
    <n v="76112"/>
    <x v="1"/>
    <x v="4"/>
    <d v="2026-01-20T00:00:00"/>
    <s v="06:18"/>
    <x v="106"/>
    <x v="5"/>
    <n v="41"/>
    <x v="3"/>
    <n v="0"/>
    <n v="0"/>
    <n v="0"/>
    <n v="0"/>
    <n v="0"/>
    <x v="1"/>
    <n v="1"/>
    <x v="0"/>
    <x v="0"/>
  </r>
  <r>
    <n v="500846"/>
    <n v="70542"/>
    <x v="1"/>
    <x v="2"/>
    <d v="2025-11-25T00:00:00"/>
    <s v="11:15"/>
    <x v="122"/>
    <x v="3"/>
    <n v="47"/>
    <x v="5"/>
    <n v="0"/>
    <n v="0"/>
    <n v="1"/>
    <n v="0"/>
    <n v="0"/>
    <x v="0"/>
    <n v="1"/>
    <x v="0"/>
    <x v="0"/>
  </r>
  <r>
    <n v="500847"/>
    <n v="73538"/>
    <x v="1"/>
    <x v="5"/>
    <d v="2026-04-17T00:00:00"/>
    <s v="12:39"/>
    <x v="145"/>
    <x v="4"/>
    <n v="43"/>
    <x v="6"/>
    <n v="0"/>
    <n v="0"/>
    <n v="0"/>
    <n v="0"/>
    <n v="0"/>
    <x v="1"/>
    <n v="1"/>
    <x v="0"/>
    <x v="0"/>
  </r>
  <r>
    <n v="500848"/>
    <n v="12367"/>
    <x v="0"/>
    <x v="3"/>
    <d v="2025-12-28T00:00:00"/>
    <s v="02:44"/>
    <x v="123"/>
    <x v="4"/>
    <n v="87"/>
    <x v="0"/>
    <n v="0"/>
    <n v="0"/>
    <n v="0"/>
    <n v="1"/>
    <n v="0"/>
    <x v="1"/>
    <n v="1"/>
    <x v="0"/>
    <x v="2"/>
  </r>
  <r>
    <n v="500849"/>
    <n v="38399"/>
    <x v="0"/>
    <x v="1"/>
    <d v="2025-12-02T00:00:00"/>
    <s v="12:50"/>
    <x v="152"/>
    <x v="4"/>
    <n v="25"/>
    <x v="3"/>
    <n v="0"/>
    <n v="0"/>
    <n v="0"/>
    <n v="0"/>
    <n v="0"/>
    <x v="1"/>
    <n v="1"/>
    <x v="0"/>
    <x v="1"/>
  </r>
  <r>
    <n v="500850"/>
    <n v="23473"/>
    <x v="1"/>
    <x v="7"/>
    <d v="2025-11-24T00:00:00"/>
    <s v="00:32"/>
    <x v="159"/>
    <x v="3"/>
    <n v="27"/>
    <x v="3"/>
    <n v="0"/>
    <n v="0"/>
    <n v="0"/>
    <n v="0"/>
    <n v="0"/>
    <x v="1"/>
    <n v="1"/>
    <x v="0"/>
    <x v="1"/>
  </r>
  <r>
    <n v="500851"/>
    <n v="42728"/>
    <x v="1"/>
    <x v="1"/>
    <d v="2026-01-15T00:00:00"/>
    <s v="21:20"/>
    <x v="100"/>
    <x v="0"/>
    <n v="25"/>
    <x v="1"/>
    <n v="0"/>
    <n v="0"/>
    <n v="0"/>
    <n v="1"/>
    <n v="0"/>
    <x v="1"/>
    <n v="1"/>
    <x v="0"/>
    <x v="1"/>
  </r>
  <r>
    <n v="500852"/>
    <n v="99123"/>
    <x v="0"/>
    <x v="1"/>
    <d v="2026-04-09T00:00:00"/>
    <s v="04:21"/>
    <x v="0"/>
    <x v="0"/>
    <n v="26"/>
    <x v="6"/>
    <n v="0"/>
    <n v="0"/>
    <n v="0"/>
    <n v="0"/>
    <n v="0"/>
    <x v="1"/>
    <n v="1"/>
    <x v="0"/>
    <x v="1"/>
  </r>
  <r>
    <n v="500853"/>
    <n v="52294"/>
    <x v="0"/>
    <x v="1"/>
    <d v="2026-04-03T00:00:00"/>
    <s v="19:09"/>
    <x v="77"/>
    <x v="6"/>
    <n v="25"/>
    <x v="8"/>
    <n v="1"/>
    <n v="0"/>
    <n v="0"/>
    <n v="0"/>
    <n v="0"/>
    <x v="1"/>
    <n v="1"/>
    <x v="0"/>
    <x v="1"/>
  </r>
  <r>
    <n v="500854"/>
    <n v="32756"/>
    <x v="0"/>
    <x v="4"/>
    <d v="2026-02-08T00:00:00"/>
    <s v="16:18"/>
    <x v="115"/>
    <x v="5"/>
    <n v="61"/>
    <x v="4"/>
    <n v="0"/>
    <n v="0"/>
    <n v="0"/>
    <n v="1"/>
    <n v="0"/>
    <x v="1"/>
    <n v="1"/>
    <x v="1"/>
    <x v="2"/>
  </r>
  <r>
    <n v="500855"/>
    <n v="38647"/>
    <x v="1"/>
    <x v="7"/>
    <d v="2025-11-26T00:00:00"/>
    <s v="03:17"/>
    <x v="114"/>
    <x v="0"/>
    <n v="66"/>
    <x v="9"/>
    <n v="1"/>
    <n v="0"/>
    <n v="1"/>
    <n v="0"/>
    <n v="0"/>
    <x v="0"/>
    <n v="1"/>
    <x v="0"/>
    <x v="2"/>
  </r>
  <r>
    <n v="500856"/>
    <n v="88625"/>
    <x v="1"/>
    <x v="4"/>
    <d v="2026-05-10T00:00:00"/>
    <s v="04:15"/>
    <x v="7"/>
    <x v="4"/>
    <n v="26"/>
    <x v="2"/>
    <n v="1"/>
    <n v="0"/>
    <n v="0"/>
    <n v="0"/>
    <n v="0"/>
    <x v="1"/>
    <n v="1"/>
    <x v="0"/>
    <x v="1"/>
  </r>
  <r>
    <n v="500857"/>
    <n v="97342"/>
    <x v="1"/>
    <x v="5"/>
    <d v="2025-12-28T00:00:00"/>
    <s v="21:58"/>
    <x v="50"/>
    <x v="5"/>
    <n v="21"/>
    <x v="4"/>
    <n v="0"/>
    <n v="0"/>
    <n v="0"/>
    <n v="0"/>
    <n v="0"/>
    <x v="1"/>
    <n v="1"/>
    <x v="0"/>
    <x v="1"/>
  </r>
  <r>
    <n v="500858"/>
    <n v="40464"/>
    <x v="0"/>
    <x v="1"/>
    <d v="2025-12-01T00:00:00"/>
    <s v="03:01"/>
    <x v="113"/>
    <x v="3"/>
    <n v="47"/>
    <x v="7"/>
    <n v="0"/>
    <n v="1"/>
    <n v="0"/>
    <n v="0"/>
    <n v="0"/>
    <x v="0"/>
    <n v="1"/>
    <x v="0"/>
    <x v="0"/>
  </r>
  <r>
    <n v="500859"/>
    <n v="48877"/>
    <x v="0"/>
    <x v="3"/>
    <d v="2025-12-21T00:00:00"/>
    <s v="20:17"/>
    <x v="140"/>
    <x v="2"/>
    <n v="26"/>
    <x v="5"/>
    <n v="0"/>
    <n v="0"/>
    <n v="0"/>
    <n v="0"/>
    <n v="0"/>
    <x v="1"/>
    <n v="0"/>
    <x v="0"/>
    <x v="1"/>
  </r>
  <r>
    <n v="500860"/>
    <n v="68160"/>
    <x v="1"/>
    <x v="3"/>
    <d v="2025-12-20T00:00:00"/>
    <s v="11:09"/>
    <x v="65"/>
    <x v="3"/>
    <n v="50"/>
    <x v="0"/>
    <n v="1"/>
    <n v="0"/>
    <n v="0"/>
    <n v="0"/>
    <n v="0"/>
    <x v="1"/>
    <n v="1"/>
    <x v="1"/>
    <x v="0"/>
  </r>
  <r>
    <n v="500861"/>
    <n v="13105"/>
    <x v="0"/>
    <x v="2"/>
    <d v="2026-04-21T00:00:00"/>
    <s v="02:45"/>
    <x v="173"/>
    <x v="3"/>
    <n v="42"/>
    <x v="4"/>
    <n v="0"/>
    <n v="0"/>
    <n v="1"/>
    <n v="1"/>
    <n v="0"/>
    <x v="0"/>
    <n v="0"/>
    <x v="0"/>
    <x v="0"/>
  </r>
  <r>
    <n v="500862"/>
    <n v="39156"/>
    <x v="1"/>
    <x v="2"/>
    <d v="2026-04-28T00:00:00"/>
    <s v="18:26"/>
    <x v="18"/>
    <x v="5"/>
    <n v="7"/>
    <x v="2"/>
    <n v="0"/>
    <n v="0"/>
    <n v="0"/>
    <n v="0"/>
    <n v="0"/>
    <x v="1"/>
    <n v="1"/>
    <x v="0"/>
    <x v="3"/>
  </r>
  <r>
    <n v="500863"/>
    <n v="19173"/>
    <x v="0"/>
    <x v="0"/>
    <d v="2026-04-04T00:00:00"/>
    <s v="03:04"/>
    <x v="43"/>
    <x v="3"/>
    <n v="68"/>
    <x v="2"/>
    <n v="0"/>
    <n v="1"/>
    <n v="1"/>
    <n v="0"/>
    <n v="0"/>
    <x v="0"/>
    <n v="1"/>
    <x v="0"/>
    <x v="2"/>
  </r>
  <r>
    <n v="500864"/>
    <n v="71220"/>
    <x v="1"/>
    <x v="3"/>
    <d v="2026-03-21T00:00:00"/>
    <s v="14:19"/>
    <x v="29"/>
    <x v="3"/>
    <n v="73"/>
    <x v="1"/>
    <n v="0"/>
    <n v="0"/>
    <n v="0"/>
    <n v="0"/>
    <n v="0"/>
    <x v="1"/>
    <n v="1"/>
    <x v="0"/>
    <x v="2"/>
  </r>
  <r>
    <n v="500865"/>
    <n v="73068"/>
    <x v="0"/>
    <x v="2"/>
    <d v="2026-03-23T00:00:00"/>
    <s v="08:25"/>
    <x v="16"/>
    <x v="0"/>
    <n v="25"/>
    <x v="5"/>
    <n v="1"/>
    <n v="0"/>
    <n v="0"/>
    <n v="0"/>
    <n v="0"/>
    <x v="1"/>
    <n v="1"/>
    <x v="0"/>
    <x v="1"/>
  </r>
  <r>
    <n v="500866"/>
    <n v="30431"/>
    <x v="1"/>
    <x v="0"/>
    <d v="2026-02-16T00:00:00"/>
    <s v="14:51"/>
    <x v="149"/>
    <x v="0"/>
    <n v="30"/>
    <x v="5"/>
    <n v="1"/>
    <n v="0"/>
    <n v="0"/>
    <n v="0"/>
    <n v="0"/>
    <x v="1"/>
    <n v="0"/>
    <x v="0"/>
    <x v="1"/>
  </r>
  <r>
    <n v="500867"/>
    <n v="30027"/>
    <x v="0"/>
    <x v="7"/>
    <d v="2025-12-13T00:00:00"/>
    <s v="16:30"/>
    <x v="67"/>
    <x v="6"/>
    <n v="43"/>
    <x v="5"/>
    <n v="1"/>
    <n v="0"/>
    <n v="0"/>
    <n v="0"/>
    <n v="0"/>
    <x v="1"/>
    <n v="1"/>
    <x v="0"/>
    <x v="0"/>
  </r>
  <r>
    <n v="500868"/>
    <n v="71506"/>
    <x v="0"/>
    <x v="3"/>
    <d v="2026-04-26T00:00:00"/>
    <s v="08:09"/>
    <x v="46"/>
    <x v="4"/>
    <n v="44"/>
    <x v="1"/>
    <n v="0"/>
    <n v="0"/>
    <n v="1"/>
    <n v="0"/>
    <n v="0"/>
    <x v="0"/>
    <n v="1"/>
    <x v="0"/>
    <x v="0"/>
  </r>
  <r>
    <n v="500869"/>
    <n v="61727"/>
    <x v="1"/>
    <x v="4"/>
    <d v="2025-11-20T00:00:00"/>
    <s v="14:08"/>
    <x v="189"/>
    <x v="0"/>
    <n v="51"/>
    <x v="3"/>
    <n v="1"/>
    <n v="0"/>
    <n v="0"/>
    <n v="0"/>
    <n v="0"/>
    <x v="1"/>
    <n v="0"/>
    <x v="0"/>
    <x v="0"/>
  </r>
  <r>
    <n v="500870"/>
    <n v="84135"/>
    <x v="0"/>
    <x v="1"/>
    <d v="2026-05-09T00:00:00"/>
    <s v="22:51"/>
    <x v="55"/>
    <x v="6"/>
    <n v="78"/>
    <x v="5"/>
    <n v="1"/>
    <n v="0"/>
    <n v="0"/>
    <n v="0"/>
    <n v="0"/>
    <x v="1"/>
    <n v="1"/>
    <x v="1"/>
    <x v="2"/>
  </r>
  <r>
    <n v="500871"/>
    <n v="60506"/>
    <x v="1"/>
    <x v="1"/>
    <d v="2026-05-04T00:00:00"/>
    <s v="18:10"/>
    <x v="162"/>
    <x v="2"/>
    <n v="34"/>
    <x v="1"/>
    <n v="1"/>
    <n v="0"/>
    <n v="0"/>
    <n v="1"/>
    <n v="0"/>
    <x v="1"/>
    <n v="1"/>
    <x v="0"/>
    <x v="1"/>
  </r>
  <r>
    <n v="500872"/>
    <n v="97251"/>
    <x v="0"/>
    <x v="7"/>
    <d v="2026-05-11T00:00:00"/>
    <s v="21:43"/>
    <x v="190"/>
    <x v="2"/>
    <n v="22"/>
    <x v="9"/>
    <n v="1"/>
    <n v="0"/>
    <n v="0"/>
    <n v="0"/>
    <n v="0"/>
    <x v="1"/>
    <n v="1"/>
    <x v="0"/>
    <x v="1"/>
  </r>
  <r>
    <n v="500873"/>
    <n v="96848"/>
    <x v="0"/>
    <x v="0"/>
    <d v="2026-05-18T00:00:00"/>
    <s v="08:32"/>
    <x v="164"/>
    <x v="2"/>
    <n v="10"/>
    <x v="6"/>
    <n v="0"/>
    <n v="0"/>
    <n v="0"/>
    <n v="0"/>
    <n v="0"/>
    <x v="1"/>
    <n v="1"/>
    <x v="0"/>
    <x v="3"/>
  </r>
  <r>
    <n v="500874"/>
    <n v="62122"/>
    <x v="0"/>
    <x v="1"/>
    <d v="2026-02-21T00:00:00"/>
    <s v="11:41"/>
    <x v="92"/>
    <x v="3"/>
    <n v="23"/>
    <x v="5"/>
    <n v="0"/>
    <n v="0"/>
    <n v="0"/>
    <n v="0"/>
    <n v="0"/>
    <x v="1"/>
    <n v="1"/>
    <x v="0"/>
    <x v="1"/>
  </r>
  <r>
    <n v="500875"/>
    <n v="96309"/>
    <x v="1"/>
    <x v="7"/>
    <d v="2025-12-05T00:00:00"/>
    <s v="16:34"/>
    <x v="1"/>
    <x v="1"/>
    <n v="37"/>
    <x v="5"/>
    <n v="0"/>
    <n v="0"/>
    <n v="0"/>
    <n v="0"/>
    <n v="0"/>
    <x v="1"/>
    <n v="0"/>
    <x v="0"/>
    <x v="1"/>
  </r>
  <r>
    <n v="500876"/>
    <n v="45261"/>
    <x v="0"/>
    <x v="4"/>
    <d v="2026-04-12T00:00:00"/>
    <s v="10:29"/>
    <x v="145"/>
    <x v="4"/>
    <n v="73"/>
    <x v="0"/>
    <n v="0"/>
    <n v="0"/>
    <n v="0"/>
    <n v="1"/>
    <n v="0"/>
    <x v="1"/>
    <n v="1"/>
    <x v="0"/>
    <x v="2"/>
  </r>
  <r>
    <n v="500877"/>
    <n v="66485"/>
    <x v="0"/>
    <x v="3"/>
    <d v="2026-02-22T00:00:00"/>
    <s v="01:06"/>
    <x v="19"/>
    <x v="2"/>
    <n v="27"/>
    <x v="4"/>
    <n v="0"/>
    <n v="0"/>
    <n v="0"/>
    <n v="0"/>
    <n v="0"/>
    <x v="1"/>
    <n v="1"/>
    <x v="0"/>
    <x v="1"/>
  </r>
  <r>
    <n v="500878"/>
    <n v="69069"/>
    <x v="0"/>
    <x v="3"/>
    <d v="2026-05-17T00:00:00"/>
    <s v="07:33"/>
    <x v="162"/>
    <x v="2"/>
    <n v="42"/>
    <x v="1"/>
    <n v="0"/>
    <n v="0"/>
    <n v="0"/>
    <n v="0"/>
    <n v="0"/>
    <x v="1"/>
    <n v="0"/>
    <x v="0"/>
    <x v="0"/>
  </r>
  <r>
    <n v="500879"/>
    <n v="67767"/>
    <x v="0"/>
    <x v="3"/>
    <d v="2026-02-18T00:00:00"/>
    <s v="22:03"/>
    <x v="44"/>
    <x v="0"/>
    <n v="37"/>
    <x v="6"/>
    <n v="1"/>
    <n v="0"/>
    <n v="0"/>
    <n v="0"/>
    <n v="0"/>
    <x v="1"/>
    <n v="1"/>
    <x v="1"/>
    <x v="1"/>
  </r>
  <r>
    <n v="500880"/>
    <n v="40773"/>
    <x v="1"/>
    <x v="6"/>
    <d v="2026-02-22T00:00:00"/>
    <s v="11:37"/>
    <x v="15"/>
    <x v="2"/>
    <n v="61"/>
    <x v="6"/>
    <n v="0"/>
    <n v="1"/>
    <n v="0"/>
    <n v="1"/>
    <n v="0"/>
    <x v="0"/>
    <n v="1"/>
    <x v="0"/>
    <x v="2"/>
  </r>
  <r>
    <n v="500881"/>
    <n v="10951"/>
    <x v="1"/>
    <x v="7"/>
    <d v="2026-02-14T00:00:00"/>
    <s v="07:01"/>
    <x v="2"/>
    <x v="2"/>
    <n v="88"/>
    <x v="3"/>
    <n v="1"/>
    <n v="0"/>
    <n v="0"/>
    <n v="0"/>
    <n v="0"/>
    <x v="1"/>
    <n v="1"/>
    <x v="0"/>
    <x v="2"/>
  </r>
  <r>
    <n v="500882"/>
    <n v="57344"/>
    <x v="1"/>
    <x v="4"/>
    <d v="2026-01-28T00:00:00"/>
    <s v="09:08"/>
    <x v="2"/>
    <x v="2"/>
    <n v="27"/>
    <x v="9"/>
    <n v="0"/>
    <n v="0"/>
    <n v="0"/>
    <n v="0"/>
    <n v="0"/>
    <x v="1"/>
    <n v="0"/>
    <x v="1"/>
    <x v="1"/>
  </r>
  <r>
    <n v="500883"/>
    <n v="62665"/>
    <x v="0"/>
    <x v="0"/>
    <d v="2025-12-06T00:00:00"/>
    <s v="19:09"/>
    <x v="113"/>
    <x v="3"/>
    <n v="28"/>
    <x v="9"/>
    <n v="0"/>
    <n v="0"/>
    <n v="0"/>
    <n v="0"/>
    <n v="0"/>
    <x v="1"/>
    <n v="1"/>
    <x v="0"/>
    <x v="1"/>
  </r>
  <r>
    <n v="500884"/>
    <n v="58290"/>
    <x v="1"/>
    <x v="6"/>
    <d v="2025-12-14T00:00:00"/>
    <s v="18:12"/>
    <x v="152"/>
    <x v="4"/>
    <n v="58"/>
    <x v="8"/>
    <n v="1"/>
    <n v="0"/>
    <n v="1"/>
    <n v="0"/>
    <n v="0"/>
    <x v="0"/>
    <n v="1"/>
    <x v="0"/>
    <x v="0"/>
  </r>
  <r>
    <n v="500885"/>
    <n v="52667"/>
    <x v="1"/>
    <x v="1"/>
    <d v="2025-11-24T00:00:00"/>
    <s v="15:17"/>
    <x v="17"/>
    <x v="0"/>
    <n v="51"/>
    <x v="9"/>
    <n v="1"/>
    <n v="0"/>
    <n v="0"/>
    <n v="0"/>
    <n v="0"/>
    <x v="1"/>
    <n v="0"/>
    <x v="0"/>
    <x v="0"/>
  </r>
  <r>
    <n v="500886"/>
    <n v="96289"/>
    <x v="0"/>
    <x v="4"/>
    <d v="2026-03-27T00:00:00"/>
    <s v="03:52"/>
    <x v="43"/>
    <x v="3"/>
    <n v="74"/>
    <x v="0"/>
    <n v="0"/>
    <n v="0"/>
    <n v="0"/>
    <n v="0"/>
    <n v="0"/>
    <x v="1"/>
    <n v="1"/>
    <x v="0"/>
    <x v="2"/>
  </r>
  <r>
    <n v="500887"/>
    <n v="21415"/>
    <x v="1"/>
    <x v="6"/>
    <d v="2026-05-10T00:00:00"/>
    <s v="19:57"/>
    <x v="190"/>
    <x v="2"/>
    <n v="49"/>
    <x v="2"/>
    <n v="1"/>
    <n v="0"/>
    <n v="0"/>
    <n v="0"/>
    <n v="0"/>
    <x v="1"/>
    <n v="1"/>
    <x v="0"/>
    <x v="0"/>
  </r>
  <r>
    <n v="500888"/>
    <n v="21722"/>
    <x v="0"/>
    <x v="4"/>
    <d v="2026-05-03T00:00:00"/>
    <s v="06:05"/>
    <x v="46"/>
    <x v="4"/>
    <n v="30"/>
    <x v="7"/>
    <n v="0"/>
    <n v="0"/>
    <n v="0"/>
    <n v="0"/>
    <n v="0"/>
    <x v="1"/>
    <n v="1"/>
    <x v="0"/>
    <x v="1"/>
  </r>
  <r>
    <n v="500889"/>
    <n v="43767"/>
    <x v="1"/>
    <x v="5"/>
    <d v="2026-01-10T00:00:00"/>
    <s v="21:50"/>
    <x v="74"/>
    <x v="1"/>
    <n v="49"/>
    <x v="2"/>
    <n v="1"/>
    <n v="1"/>
    <n v="0"/>
    <n v="0"/>
    <n v="0"/>
    <x v="0"/>
    <n v="0"/>
    <x v="0"/>
    <x v="0"/>
  </r>
  <r>
    <n v="500890"/>
    <n v="94408"/>
    <x v="1"/>
    <x v="4"/>
    <d v="2026-04-28T00:00:00"/>
    <s v="21:53"/>
    <x v="25"/>
    <x v="4"/>
    <n v="60"/>
    <x v="5"/>
    <n v="1"/>
    <n v="0"/>
    <n v="0"/>
    <n v="0"/>
    <n v="0"/>
    <x v="1"/>
    <n v="0"/>
    <x v="0"/>
    <x v="0"/>
  </r>
  <r>
    <n v="500891"/>
    <n v="25218"/>
    <x v="1"/>
    <x v="3"/>
    <d v="2026-03-26T00:00:00"/>
    <s v="09:56"/>
    <x v="107"/>
    <x v="2"/>
    <n v="54"/>
    <x v="4"/>
    <n v="1"/>
    <n v="0"/>
    <n v="1"/>
    <n v="1"/>
    <n v="0"/>
    <x v="0"/>
    <n v="0"/>
    <x v="0"/>
    <x v="0"/>
  </r>
  <r>
    <n v="500892"/>
    <n v="51896"/>
    <x v="1"/>
    <x v="3"/>
    <d v="2025-12-05T00:00:00"/>
    <s v="14:48"/>
    <x v="113"/>
    <x v="3"/>
    <n v="48"/>
    <x v="8"/>
    <n v="0"/>
    <n v="1"/>
    <n v="1"/>
    <n v="0"/>
    <n v="0"/>
    <x v="0"/>
    <n v="0"/>
    <x v="1"/>
    <x v="0"/>
  </r>
  <r>
    <n v="500893"/>
    <n v="38692"/>
    <x v="1"/>
    <x v="6"/>
    <d v="2025-12-23T00:00:00"/>
    <s v="14:38"/>
    <x v="148"/>
    <x v="2"/>
    <n v="59"/>
    <x v="2"/>
    <n v="1"/>
    <n v="1"/>
    <n v="0"/>
    <n v="0"/>
    <n v="0"/>
    <x v="0"/>
    <n v="1"/>
    <x v="0"/>
    <x v="0"/>
  </r>
  <r>
    <n v="500894"/>
    <n v="26182"/>
    <x v="1"/>
    <x v="6"/>
    <d v="2026-02-05T00:00:00"/>
    <s v="18:56"/>
    <x v="52"/>
    <x v="1"/>
    <n v="61"/>
    <x v="1"/>
    <n v="1"/>
    <n v="1"/>
    <n v="0"/>
    <n v="1"/>
    <n v="0"/>
    <x v="0"/>
    <n v="1"/>
    <x v="0"/>
    <x v="2"/>
  </r>
  <r>
    <n v="500895"/>
    <n v="39500"/>
    <x v="0"/>
    <x v="3"/>
    <d v="2026-02-27T00:00:00"/>
    <s v="21:51"/>
    <x v="91"/>
    <x v="1"/>
    <n v="65"/>
    <x v="3"/>
    <n v="1"/>
    <n v="1"/>
    <n v="0"/>
    <n v="0"/>
    <n v="0"/>
    <x v="0"/>
    <n v="1"/>
    <x v="0"/>
    <x v="2"/>
  </r>
  <r>
    <n v="500896"/>
    <n v="72052"/>
    <x v="1"/>
    <x v="4"/>
    <d v="2026-02-06T00:00:00"/>
    <s v="16:59"/>
    <x v="154"/>
    <x v="5"/>
    <n v="50"/>
    <x v="5"/>
    <n v="0"/>
    <n v="0"/>
    <n v="0"/>
    <n v="0"/>
    <n v="0"/>
    <x v="1"/>
    <n v="0"/>
    <x v="0"/>
    <x v="0"/>
  </r>
  <r>
    <n v="500897"/>
    <n v="27157"/>
    <x v="1"/>
    <x v="0"/>
    <d v="2026-01-04T00:00:00"/>
    <s v="23:22"/>
    <x v="60"/>
    <x v="5"/>
    <n v="34"/>
    <x v="0"/>
    <n v="1"/>
    <n v="0"/>
    <n v="0"/>
    <n v="0"/>
    <n v="0"/>
    <x v="1"/>
    <n v="1"/>
    <x v="0"/>
    <x v="1"/>
  </r>
  <r>
    <n v="500898"/>
    <n v="28982"/>
    <x v="0"/>
    <x v="1"/>
    <d v="2026-03-02T00:00:00"/>
    <s v="16:46"/>
    <x v="136"/>
    <x v="2"/>
    <n v="40"/>
    <x v="1"/>
    <n v="0"/>
    <n v="0"/>
    <n v="0"/>
    <n v="0"/>
    <n v="0"/>
    <x v="1"/>
    <n v="1"/>
    <x v="0"/>
    <x v="1"/>
  </r>
  <r>
    <n v="500899"/>
    <n v="29346"/>
    <x v="1"/>
    <x v="4"/>
    <d v="2025-12-05T00:00:00"/>
    <s v="06:41"/>
    <x v="50"/>
    <x v="5"/>
    <n v="62"/>
    <x v="2"/>
    <n v="0"/>
    <n v="1"/>
    <n v="0"/>
    <n v="0"/>
    <n v="1"/>
    <x v="0"/>
    <n v="1"/>
    <x v="0"/>
    <x v="2"/>
  </r>
  <r>
    <n v="500900"/>
    <n v="29473"/>
    <x v="1"/>
    <x v="1"/>
    <d v="2026-02-05T00:00:00"/>
    <s v="02:49"/>
    <x v="69"/>
    <x v="2"/>
    <n v="21"/>
    <x v="7"/>
    <n v="0"/>
    <n v="0"/>
    <n v="0"/>
    <n v="0"/>
    <n v="0"/>
    <x v="1"/>
    <n v="1"/>
    <x v="0"/>
    <x v="1"/>
  </r>
  <r>
    <n v="500901"/>
    <n v="95563"/>
    <x v="1"/>
    <x v="5"/>
    <d v="2026-02-06T00:00:00"/>
    <s v="22:38"/>
    <x v="167"/>
    <x v="3"/>
    <n v="45"/>
    <x v="3"/>
    <n v="1"/>
    <n v="0"/>
    <n v="0"/>
    <n v="0"/>
    <n v="0"/>
    <x v="1"/>
    <n v="1"/>
    <x v="1"/>
    <x v="0"/>
  </r>
  <r>
    <n v="500902"/>
    <n v="74122"/>
    <x v="0"/>
    <x v="0"/>
    <d v="2026-04-15T00:00:00"/>
    <s v="06:41"/>
    <x v="116"/>
    <x v="6"/>
    <n v="30"/>
    <x v="9"/>
    <n v="1"/>
    <n v="0"/>
    <n v="0"/>
    <n v="0"/>
    <n v="0"/>
    <x v="1"/>
    <n v="0"/>
    <x v="1"/>
    <x v="1"/>
  </r>
  <r>
    <n v="500903"/>
    <n v="73463"/>
    <x v="1"/>
    <x v="7"/>
    <d v="2026-03-18T00:00:00"/>
    <s v="06:21"/>
    <x v="143"/>
    <x v="4"/>
    <n v="38"/>
    <x v="9"/>
    <n v="0"/>
    <n v="0"/>
    <n v="0"/>
    <n v="0"/>
    <n v="0"/>
    <x v="1"/>
    <n v="0"/>
    <x v="0"/>
    <x v="1"/>
  </r>
  <r>
    <n v="500904"/>
    <n v="34233"/>
    <x v="1"/>
    <x v="0"/>
    <d v="2026-04-28T00:00:00"/>
    <s v="04:02"/>
    <x v="182"/>
    <x v="2"/>
    <n v="63"/>
    <x v="5"/>
    <n v="1"/>
    <n v="1"/>
    <n v="0"/>
    <n v="0"/>
    <n v="0"/>
    <x v="0"/>
    <n v="0"/>
    <x v="1"/>
    <x v="2"/>
  </r>
  <r>
    <n v="500905"/>
    <n v="96321"/>
    <x v="0"/>
    <x v="3"/>
    <d v="2026-01-04T00:00:00"/>
    <s v="12:01"/>
    <x v="6"/>
    <x v="2"/>
    <n v="41"/>
    <x v="9"/>
    <n v="0"/>
    <n v="0"/>
    <n v="1"/>
    <n v="0"/>
    <n v="0"/>
    <x v="0"/>
    <n v="1"/>
    <x v="0"/>
    <x v="0"/>
  </r>
  <r>
    <n v="500906"/>
    <n v="95542"/>
    <x v="0"/>
    <x v="5"/>
    <d v="2025-12-03T00:00:00"/>
    <s v="18:51"/>
    <x v="99"/>
    <x v="4"/>
    <n v="38"/>
    <x v="8"/>
    <n v="1"/>
    <n v="0"/>
    <n v="0"/>
    <n v="0"/>
    <n v="0"/>
    <x v="1"/>
    <n v="0"/>
    <x v="0"/>
    <x v="1"/>
  </r>
  <r>
    <n v="500907"/>
    <n v="57652"/>
    <x v="0"/>
    <x v="4"/>
    <d v="2026-02-10T00:00:00"/>
    <s v="18:04"/>
    <x v="163"/>
    <x v="0"/>
    <n v="10"/>
    <x v="7"/>
    <n v="0"/>
    <n v="0"/>
    <n v="0"/>
    <n v="0"/>
    <n v="0"/>
    <x v="1"/>
    <n v="1"/>
    <x v="0"/>
    <x v="3"/>
  </r>
  <r>
    <n v="500908"/>
    <n v="48456"/>
    <x v="1"/>
    <x v="3"/>
    <d v="2026-01-18T00:00:00"/>
    <s v="14:11"/>
    <x v="35"/>
    <x v="4"/>
    <n v="52"/>
    <x v="9"/>
    <n v="1"/>
    <n v="0"/>
    <n v="0"/>
    <n v="0"/>
    <n v="0"/>
    <x v="1"/>
    <n v="1"/>
    <x v="1"/>
    <x v="0"/>
  </r>
  <r>
    <n v="500909"/>
    <n v="22977"/>
    <x v="0"/>
    <x v="1"/>
    <d v="2025-11-25T00:00:00"/>
    <s v="03:06"/>
    <x v="119"/>
    <x v="4"/>
    <n v="50"/>
    <x v="7"/>
    <n v="0"/>
    <n v="1"/>
    <n v="0"/>
    <n v="0"/>
    <n v="0"/>
    <x v="0"/>
    <n v="1"/>
    <x v="0"/>
    <x v="0"/>
  </r>
  <r>
    <n v="500910"/>
    <n v="46358"/>
    <x v="0"/>
    <x v="4"/>
    <d v="2026-03-23T00:00:00"/>
    <s v="03:15"/>
    <x v="90"/>
    <x v="5"/>
    <n v="81"/>
    <x v="6"/>
    <n v="1"/>
    <n v="1"/>
    <n v="0"/>
    <n v="0"/>
    <n v="0"/>
    <x v="0"/>
    <n v="1"/>
    <x v="0"/>
    <x v="2"/>
  </r>
  <r>
    <n v="500911"/>
    <n v="28775"/>
    <x v="0"/>
    <x v="5"/>
    <d v="2026-05-01T00:00:00"/>
    <s v="14:16"/>
    <x v="48"/>
    <x v="1"/>
    <n v="31"/>
    <x v="0"/>
    <n v="0"/>
    <n v="0"/>
    <n v="0"/>
    <n v="0"/>
    <n v="0"/>
    <x v="1"/>
    <n v="1"/>
    <x v="0"/>
    <x v="1"/>
  </r>
  <r>
    <n v="500912"/>
    <n v="31501"/>
    <x v="1"/>
    <x v="3"/>
    <d v="2026-02-18T00:00:00"/>
    <s v="14:13"/>
    <x v="21"/>
    <x v="1"/>
    <n v="42"/>
    <x v="4"/>
    <n v="1"/>
    <n v="0"/>
    <n v="0"/>
    <n v="0"/>
    <n v="0"/>
    <x v="1"/>
    <n v="1"/>
    <x v="0"/>
    <x v="0"/>
  </r>
  <r>
    <n v="500913"/>
    <n v="99650"/>
    <x v="1"/>
    <x v="5"/>
    <d v="2026-05-09T00:00:00"/>
    <s v="00:09"/>
    <x v="173"/>
    <x v="3"/>
    <n v="42"/>
    <x v="4"/>
    <n v="0"/>
    <n v="0"/>
    <n v="0"/>
    <n v="0"/>
    <n v="0"/>
    <x v="1"/>
    <n v="0"/>
    <x v="1"/>
    <x v="0"/>
  </r>
  <r>
    <n v="500914"/>
    <n v="11292"/>
    <x v="0"/>
    <x v="4"/>
    <d v="2026-01-25T00:00:00"/>
    <s v="23:32"/>
    <x v="178"/>
    <x v="6"/>
    <n v="69"/>
    <x v="1"/>
    <n v="1"/>
    <n v="0"/>
    <n v="0"/>
    <n v="0"/>
    <n v="0"/>
    <x v="1"/>
    <n v="1"/>
    <x v="0"/>
    <x v="2"/>
  </r>
  <r>
    <n v="500915"/>
    <n v="22522"/>
    <x v="1"/>
    <x v="7"/>
    <d v="2026-02-07T00:00:00"/>
    <s v="01:55"/>
    <x v="91"/>
    <x v="1"/>
    <n v="36"/>
    <x v="8"/>
    <n v="1"/>
    <n v="0"/>
    <n v="0"/>
    <n v="0"/>
    <n v="0"/>
    <x v="1"/>
    <n v="1"/>
    <x v="0"/>
    <x v="1"/>
  </r>
  <r>
    <n v="500916"/>
    <n v="61060"/>
    <x v="0"/>
    <x v="2"/>
    <d v="2026-05-13T00:00:00"/>
    <s v="14:55"/>
    <x v="10"/>
    <x v="4"/>
    <n v="43"/>
    <x v="8"/>
    <n v="1"/>
    <n v="0"/>
    <n v="0"/>
    <n v="0"/>
    <n v="0"/>
    <x v="1"/>
    <n v="1"/>
    <x v="1"/>
    <x v="0"/>
  </r>
  <r>
    <n v="500917"/>
    <n v="26563"/>
    <x v="0"/>
    <x v="4"/>
    <d v="2026-01-15T00:00:00"/>
    <s v="15:28"/>
    <x v="106"/>
    <x v="5"/>
    <n v="50"/>
    <x v="9"/>
    <n v="1"/>
    <n v="1"/>
    <n v="0"/>
    <n v="0"/>
    <n v="0"/>
    <x v="0"/>
    <n v="1"/>
    <x v="0"/>
    <x v="0"/>
  </r>
  <r>
    <n v="500918"/>
    <n v="70003"/>
    <x v="0"/>
    <x v="6"/>
    <d v="2026-01-15T00:00:00"/>
    <s v="18:15"/>
    <x v="117"/>
    <x v="5"/>
    <n v="41"/>
    <x v="4"/>
    <n v="1"/>
    <n v="0"/>
    <n v="0"/>
    <n v="0"/>
    <n v="0"/>
    <x v="1"/>
    <n v="0"/>
    <x v="0"/>
    <x v="0"/>
  </r>
  <r>
    <n v="500919"/>
    <n v="39984"/>
    <x v="1"/>
    <x v="5"/>
    <d v="2026-02-08T00:00:00"/>
    <s v="09:55"/>
    <x v="92"/>
    <x v="3"/>
    <n v="29"/>
    <x v="0"/>
    <n v="1"/>
    <n v="0"/>
    <n v="0"/>
    <n v="0"/>
    <n v="0"/>
    <x v="1"/>
    <n v="1"/>
    <x v="1"/>
    <x v="1"/>
  </r>
  <r>
    <n v="500920"/>
    <n v="41462"/>
    <x v="0"/>
    <x v="3"/>
    <d v="2025-11-27T00:00:00"/>
    <s v="19:13"/>
    <x v="152"/>
    <x v="4"/>
    <n v="41"/>
    <x v="9"/>
    <n v="0"/>
    <n v="0"/>
    <n v="1"/>
    <n v="0"/>
    <n v="0"/>
    <x v="0"/>
    <n v="0"/>
    <x v="1"/>
    <x v="0"/>
  </r>
  <r>
    <n v="500921"/>
    <n v="65572"/>
    <x v="0"/>
    <x v="6"/>
    <d v="2026-01-18T00:00:00"/>
    <s v="00:53"/>
    <x v="81"/>
    <x v="4"/>
    <n v="59"/>
    <x v="3"/>
    <n v="0"/>
    <n v="0"/>
    <n v="0"/>
    <n v="0"/>
    <n v="0"/>
    <x v="1"/>
    <n v="1"/>
    <x v="0"/>
    <x v="0"/>
  </r>
  <r>
    <n v="500922"/>
    <n v="42011"/>
    <x v="0"/>
    <x v="6"/>
    <d v="2025-12-27T00:00:00"/>
    <s v="20:45"/>
    <x v="6"/>
    <x v="2"/>
    <n v="17"/>
    <x v="2"/>
    <n v="0"/>
    <n v="0"/>
    <n v="0"/>
    <n v="0"/>
    <n v="0"/>
    <x v="1"/>
    <n v="0"/>
    <x v="0"/>
    <x v="3"/>
  </r>
  <r>
    <n v="500923"/>
    <n v="39500"/>
    <x v="0"/>
    <x v="5"/>
    <d v="2026-03-23T00:00:00"/>
    <s v="07:46"/>
    <x v="145"/>
    <x v="4"/>
    <n v="40"/>
    <x v="4"/>
    <n v="0"/>
    <n v="0"/>
    <n v="0"/>
    <n v="0"/>
    <n v="0"/>
    <x v="1"/>
    <n v="1"/>
    <x v="0"/>
    <x v="1"/>
  </r>
  <r>
    <n v="500924"/>
    <n v="58927"/>
    <x v="0"/>
    <x v="2"/>
    <d v="2026-03-11T00:00:00"/>
    <s v="03:43"/>
    <x v="83"/>
    <x v="3"/>
    <n v="23"/>
    <x v="1"/>
    <n v="0"/>
    <n v="0"/>
    <n v="0"/>
    <n v="0"/>
    <n v="0"/>
    <x v="1"/>
    <n v="1"/>
    <x v="1"/>
    <x v="1"/>
  </r>
  <r>
    <n v="500925"/>
    <n v="92729"/>
    <x v="1"/>
    <x v="1"/>
    <d v="2026-01-31T00:00:00"/>
    <s v="16:50"/>
    <x v="146"/>
    <x v="6"/>
    <n v="61"/>
    <x v="0"/>
    <n v="0"/>
    <n v="0"/>
    <n v="0"/>
    <n v="0"/>
    <n v="1"/>
    <x v="1"/>
    <n v="1"/>
    <x v="0"/>
    <x v="2"/>
  </r>
  <r>
    <n v="500926"/>
    <n v="24046"/>
    <x v="0"/>
    <x v="2"/>
    <d v="2026-04-22T00:00:00"/>
    <s v="01:34"/>
    <x v="116"/>
    <x v="6"/>
    <n v="7"/>
    <x v="2"/>
    <n v="0"/>
    <n v="0"/>
    <n v="0"/>
    <n v="0"/>
    <n v="0"/>
    <x v="1"/>
    <n v="1"/>
    <x v="0"/>
    <x v="3"/>
  </r>
  <r>
    <n v="500927"/>
    <n v="35892"/>
    <x v="0"/>
    <x v="3"/>
    <d v="2026-01-22T00:00:00"/>
    <s v="07:31"/>
    <x v="141"/>
    <x v="0"/>
    <n v="26"/>
    <x v="5"/>
    <n v="0"/>
    <n v="0"/>
    <n v="0"/>
    <n v="0"/>
    <n v="0"/>
    <x v="1"/>
    <n v="0"/>
    <x v="1"/>
    <x v="1"/>
  </r>
  <r>
    <n v="500928"/>
    <n v="71695"/>
    <x v="1"/>
    <x v="2"/>
    <d v="2026-03-21T00:00:00"/>
    <s v="13:18"/>
    <x v="68"/>
    <x v="5"/>
    <n v="45"/>
    <x v="0"/>
    <n v="1"/>
    <n v="0"/>
    <n v="0"/>
    <n v="0"/>
    <n v="0"/>
    <x v="1"/>
    <n v="1"/>
    <x v="0"/>
    <x v="0"/>
  </r>
  <r>
    <n v="500929"/>
    <n v="67587"/>
    <x v="0"/>
    <x v="3"/>
    <d v="2026-05-16T00:00:00"/>
    <s v="11:53"/>
    <x v="104"/>
    <x v="3"/>
    <n v="69"/>
    <x v="4"/>
    <n v="1"/>
    <n v="1"/>
    <n v="0"/>
    <n v="0"/>
    <n v="0"/>
    <x v="0"/>
    <n v="1"/>
    <x v="0"/>
    <x v="2"/>
  </r>
  <r>
    <n v="500930"/>
    <n v="53412"/>
    <x v="0"/>
    <x v="3"/>
    <d v="2026-04-08T00:00:00"/>
    <s v="10:28"/>
    <x v="48"/>
    <x v="1"/>
    <n v="36"/>
    <x v="1"/>
    <n v="1"/>
    <n v="0"/>
    <n v="0"/>
    <n v="0"/>
    <n v="0"/>
    <x v="1"/>
    <n v="1"/>
    <x v="0"/>
    <x v="1"/>
  </r>
  <r>
    <n v="500931"/>
    <n v="74955"/>
    <x v="0"/>
    <x v="2"/>
    <d v="2026-03-12T00:00:00"/>
    <s v="07:55"/>
    <x v="160"/>
    <x v="6"/>
    <n v="26"/>
    <x v="5"/>
    <n v="1"/>
    <n v="0"/>
    <n v="0"/>
    <n v="0"/>
    <n v="0"/>
    <x v="1"/>
    <n v="0"/>
    <x v="1"/>
    <x v="1"/>
  </r>
  <r>
    <n v="500932"/>
    <n v="55104"/>
    <x v="0"/>
    <x v="1"/>
    <d v="2026-02-03T00:00:00"/>
    <s v="07:15"/>
    <x v="20"/>
    <x v="0"/>
    <n v="75"/>
    <x v="7"/>
    <n v="1"/>
    <n v="0"/>
    <n v="0"/>
    <n v="1"/>
    <n v="0"/>
    <x v="1"/>
    <n v="1"/>
    <x v="0"/>
    <x v="2"/>
  </r>
  <r>
    <n v="500933"/>
    <n v="90951"/>
    <x v="0"/>
    <x v="3"/>
    <d v="2026-02-28T00:00:00"/>
    <s v="02:32"/>
    <x v="61"/>
    <x v="3"/>
    <n v="9"/>
    <x v="1"/>
    <n v="0"/>
    <n v="0"/>
    <n v="0"/>
    <n v="0"/>
    <n v="0"/>
    <x v="1"/>
    <n v="1"/>
    <x v="1"/>
    <x v="3"/>
  </r>
  <r>
    <n v="500934"/>
    <n v="42421"/>
    <x v="1"/>
    <x v="1"/>
    <d v="2026-04-03T00:00:00"/>
    <s v="16:38"/>
    <x v="176"/>
    <x v="3"/>
    <n v="0"/>
    <x v="3"/>
    <n v="0"/>
    <n v="0"/>
    <n v="0"/>
    <n v="0"/>
    <n v="0"/>
    <x v="1"/>
    <n v="0"/>
    <x v="0"/>
    <x v="3"/>
  </r>
  <r>
    <n v="500935"/>
    <n v="75841"/>
    <x v="0"/>
    <x v="1"/>
    <d v="2025-12-01T00:00:00"/>
    <s v="22:53"/>
    <x v="158"/>
    <x v="4"/>
    <n v="46"/>
    <x v="9"/>
    <n v="0"/>
    <n v="1"/>
    <n v="1"/>
    <n v="1"/>
    <n v="0"/>
    <x v="0"/>
    <n v="0"/>
    <x v="0"/>
    <x v="0"/>
  </r>
  <r>
    <n v="500936"/>
    <n v="90801"/>
    <x v="0"/>
    <x v="5"/>
    <d v="2026-03-21T00:00:00"/>
    <s v="03:02"/>
    <x v="49"/>
    <x v="3"/>
    <n v="27"/>
    <x v="7"/>
    <n v="1"/>
    <n v="0"/>
    <n v="0"/>
    <n v="0"/>
    <n v="0"/>
    <x v="1"/>
    <n v="1"/>
    <x v="0"/>
    <x v="1"/>
  </r>
  <r>
    <n v="500937"/>
    <n v="54063"/>
    <x v="1"/>
    <x v="6"/>
    <d v="2026-02-23T00:00:00"/>
    <s v="22:56"/>
    <x v="27"/>
    <x v="6"/>
    <n v="17"/>
    <x v="7"/>
    <n v="0"/>
    <n v="0"/>
    <n v="0"/>
    <n v="0"/>
    <n v="0"/>
    <x v="1"/>
    <n v="1"/>
    <x v="0"/>
    <x v="3"/>
  </r>
  <r>
    <n v="500938"/>
    <n v="45290"/>
    <x v="1"/>
    <x v="7"/>
    <d v="2025-12-04T00:00:00"/>
    <s v="03:03"/>
    <x v="82"/>
    <x v="0"/>
    <n v="52"/>
    <x v="4"/>
    <n v="1"/>
    <n v="1"/>
    <n v="0"/>
    <n v="0"/>
    <n v="0"/>
    <x v="0"/>
    <n v="1"/>
    <x v="0"/>
    <x v="0"/>
  </r>
  <r>
    <n v="500939"/>
    <n v="47397"/>
    <x v="1"/>
    <x v="7"/>
    <d v="2026-03-11T00:00:00"/>
    <s v="20:10"/>
    <x v="83"/>
    <x v="3"/>
    <n v="42"/>
    <x v="9"/>
    <n v="0"/>
    <n v="0"/>
    <n v="0"/>
    <n v="0"/>
    <n v="0"/>
    <x v="1"/>
    <n v="1"/>
    <x v="1"/>
    <x v="0"/>
  </r>
  <r>
    <n v="500940"/>
    <n v="97680"/>
    <x v="0"/>
    <x v="3"/>
    <d v="2026-04-15T00:00:00"/>
    <s v="14:53"/>
    <x v="171"/>
    <x v="6"/>
    <n v="26"/>
    <x v="4"/>
    <n v="1"/>
    <n v="0"/>
    <n v="0"/>
    <n v="0"/>
    <n v="0"/>
    <x v="1"/>
    <n v="0"/>
    <x v="0"/>
    <x v="1"/>
  </r>
  <r>
    <n v="500941"/>
    <n v="58705"/>
    <x v="0"/>
    <x v="7"/>
    <d v="2026-05-18T00:00:00"/>
    <s v="00:52"/>
    <x v="103"/>
    <x v="3"/>
    <n v="12"/>
    <x v="1"/>
    <n v="0"/>
    <n v="0"/>
    <n v="0"/>
    <n v="0"/>
    <n v="0"/>
    <x v="1"/>
    <n v="1"/>
    <x v="1"/>
    <x v="3"/>
  </r>
  <r>
    <n v="500942"/>
    <n v="92517"/>
    <x v="0"/>
    <x v="0"/>
    <d v="2025-12-27T00:00:00"/>
    <s v="02:12"/>
    <x v="11"/>
    <x v="1"/>
    <n v="55"/>
    <x v="9"/>
    <n v="0"/>
    <n v="1"/>
    <n v="0"/>
    <n v="0"/>
    <n v="0"/>
    <x v="0"/>
    <n v="1"/>
    <x v="0"/>
    <x v="0"/>
  </r>
  <r>
    <n v="500943"/>
    <n v="72154"/>
    <x v="0"/>
    <x v="3"/>
    <d v="2026-05-16T00:00:00"/>
    <s v="11:14"/>
    <x v="191"/>
    <x v="1"/>
    <n v="51"/>
    <x v="7"/>
    <n v="0"/>
    <n v="1"/>
    <n v="0"/>
    <n v="0"/>
    <n v="0"/>
    <x v="0"/>
    <n v="0"/>
    <x v="0"/>
    <x v="0"/>
  </r>
  <r>
    <n v="500944"/>
    <n v="55526"/>
    <x v="1"/>
    <x v="6"/>
    <d v="2026-03-15T00:00:00"/>
    <s v="12:59"/>
    <x v="143"/>
    <x v="4"/>
    <n v="36"/>
    <x v="6"/>
    <n v="1"/>
    <n v="0"/>
    <n v="0"/>
    <n v="1"/>
    <n v="0"/>
    <x v="1"/>
    <n v="0"/>
    <x v="0"/>
    <x v="1"/>
  </r>
  <r>
    <n v="500945"/>
    <n v="12867"/>
    <x v="0"/>
    <x v="7"/>
    <d v="2025-11-24T00:00:00"/>
    <s v="20:58"/>
    <x v="82"/>
    <x v="0"/>
    <n v="74"/>
    <x v="2"/>
    <n v="1"/>
    <n v="1"/>
    <n v="0"/>
    <n v="0"/>
    <n v="0"/>
    <x v="0"/>
    <n v="1"/>
    <x v="0"/>
    <x v="2"/>
  </r>
  <r>
    <n v="500946"/>
    <n v="77303"/>
    <x v="0"/>
    <x v="3"/>
    <d v="2026-01-31T00:00:00"/>
    <s v="01:58"/>
    <x v="69"/>
    <x v="2"/>
    <n v="16"/>
    <x v="3"/>
    <n v="0"/>
    <n v="0"/>
    <n v="0"/>
    <n v="0"/>
    <n v="0"/>
    <x v="1"/>
    <n v="1"/>
    <x v="0"/>
    <x v="3"/>
  </r>
  <r>
    <n v="500947"/>
    <n v="62540"/>
    <x v="1"/>
    <x v="1"/>
    <d v="2026-05-16T00:00:00"/>
    <s v="14:35"/>
    <x v="55"/>
    <x v="6"/>
    <n v="7"/>
    <x v="2"/>
    <n v="0"/>
    <n v="0"/>
    <n v="0"/>
    <n v="0"/>
    <n v="0"/>
    <x v="1"/>
    <n v="1"/>
    <x v="0"/>
    <x v="3"/>
  </r>
  <r>
    <n v="500948"/>
    <n v="11161"/>
    <x v="1"/>
    <x v="7"/>
    <d v="2025-11-29T00:00:00"/>
    <s v="15:40"/>
    <x v="121"/>
    <x v="3"/>
    <n v="24"/>
    <x v="0"/>
    <n v="0"/>
    <n v="0"/>
    <n v="0"/>
    <n v="0"/>
    <n v="0"/>
    <x v="1"/>
    <n v="1"/>
    <x v="0"/>
    <x v="1"/>
  </r>
  <r>
    <n v="500949"/>
    <n v="79935"/>
    <x v="0"/>
    <x v="7"/>
    <d v="2026-04-11T00:00:00"/>
    <s v="12:19"/>
    <x v="176"/>
    <x v="3"/>
    <n v="37"/>
    <x v="7"/>
    <n v="0"/>
    <n v="0"/>
    <n v="0"/>
    <n v="0"/>
    <n v="0"/>
    <x v="1"/>
    <n v="1"/>
    <x v="0"/>
    <x v="1"/>
  </r>
  <r>
    <n v="500950"/>
    <n v="16752"/>
    <x v="0"/>
    <x v="1"/>
    <d v="2026-03-23T00:00:00"/>
    <s v="16:34"/>
    <x v="153"/>
    <x v="3"/>
    <n v="42"/>
    <x v="8"/>
    <n v="0"/>
    <n v="0"/>
    <n v="1"/>
    <n v="0"/>
    <n v="0"/>
    <x v="0"/>
    <n v="1"/>
    <x v="1"/>
    <x v="0"/>
  </r>
  <r>
    <n v="500951"/>
    <n v="81994"/>
    <x v="1"/>
    <x v="3"/>
    <d v="2025-12-13T00:00:00"/>
    <s v="23:55"/>
    <x v="192"/>
    <x v="6"/>
    <n v="33"/>
    <x v="5"/>
    <n v="1"/>
    <n v="0"/>
    <n v="0"/>
    <n v="0"/>
    <n v="0"/>
    <x v="1"/>
    <n v="0"/>
    <x v="0"/>
    <x v="1"/>
  </r>
  <r>
    <n v="500952"/>
    <n v="38741"/>
    <x v="1"/>
    <x v="3"/>
    <d v="2025-12-17T00:00:00"/>
    <s v="23:37"/>
    <x v="22"/>
    <x v="0"/>
    <n v="45"/>
    <x v="0"/>
    <n v="0"/>
    <n v="0"/>
    <n v="0"/>
    <n v="0"/>
    <n v="0"/>
    <x v="1"/>
    <n v="0"/>
    <x v="1"/>
    <x v="0"/>
  </r>
  <r>
    <n v="500953"/>
    <n v="60067"/>
    <x v="1"/>
    <x v="1"/>
    <d v="2026-04-12T00:00:00"/>
    <s v="00:29"/>
    <x v="147"/>
    <x v="2"/>
    <n v="12"/>
    <x v="3"/>
    <n v="0"/>
    <n v="0"/>
    <n v="0"/>
    <n v="0"/>
    <n v="0"/>
    <x v="1"/>
    <n v="1"/>
    <x v="0"/>
    <x v="3"/>
  </r>
  <r>
    <n v="500954"/>
    <n v="61834"/>
    <x v="0"/>
    <x v="6"/>
    <d v="2025-12-02T00:00:00"/>
    <s v="07:29"/>
    <x v="99"/>
    <x v="4"/>
    <n v="66"/>
    <x v="1"/>
    <n v="1"/>
    <n v="0"/>
    <n v="0"/>
    <n v="0"/>
    <n v="0"/>
    <x v="1"/>
    <n v="0"/>
    <x v="1"/>
    <x v="2"/>
  </r>
  <r>
    <n v="500955"/>
    <n v="74293"/>
    <x v="0"/>
    <x v="7"/>
    <d v="2025-12-21T00:00:00"/>
    <s v="08:54"/>
    <x v="129"/>
    <x v="3"/>
    <n v="36"/>
    <x v="7"/>
    <n v="1"/>
    <n v="0"/>
    <n v="0"/>
    <n v="0"/>
    <n v="0"/>
    <x v="1"/>
    <n v="1"/>
    <x v="0"/>
    <x v="1"/>
  </r>
  <r>
    <n v="500956"/>
    <n v="19103"/>
    <x v="0"/>
    <x v="5"/>
    <d v="2025-12-22T00:00:00"/>
    <s v="15:32"/>
    <x v="140"/>
    <x v="2"/>
    <n v="60"/>
    <x v="5"/>
    <n v="0"/>
    <n v="0"/>
    <n v="0"/>
    <n v="0"/>
    <n v="0"/>
    <x v="1"/>
    <n v="0"/>
    <x v="1"/>
    <x v="0"/>
  </r>
  <r>
    <n v="500957"/>
    <n v="23071"/>
    <x v="1"/>
    <x v="4"/>
    <d v="2026-05-03T00:00:00"/>
    <s v="11:50"/>
    <x v="132"/>
    <x v="5"/>
    <n v="44"/>
    <x v="7"/>
    <n v="0"/>
    <n v="0"/>
    <n v="0"/>
    <n v="0"/>
    <n v="0"/>
    <x v="1"/>
    <n v="1"/>
    <x v="0"/>
    <x v="0"/>
  </r>
  <r>
    <n v="500958"/>
    <n v="20957"/>
    <x v="1"/>
    <x v="3"/>
    <d v="2026-02-19T00:00:00"/>
    <s v="06:08"/>
    <x v="19"/>
    <x v="2"/>
    <n v="47"/>
    <x v="9"/>
    <n v="0"/>
    <n v="0"/>
    <n v="1"/>
    <n v="0"/>
    <n v="0"/>
    <x v="0"/>
    <n v="0"/>
    <x v="0"/>
    <x v="0"/>
  </r>
  <r>
    <n v="500959"/>
    <n v="21136"/>
    <x v="0"/>
    <x v="3"/>
    <d v="2026-02-04T00:00:00"/>
    <s v="23:37"/>
    <x v="52"/>
    <x v="1"/>
    <n v="49"/>
    <x v="3"/>
    <n v="1"/>
    <n v="0"/>
    <n v="0"/>
    <n v="0"/>
    <n v="0"/>
    <x v="1"/>
    <n v="1"/>
    <x v="1"/>
    <x v="0"/>
  </r>
  <r>
    <n v="500960"/>
    <n v="81252"/>
    <x v="0"/>
    <x v="0"/>
    <d v="2026-02-24T00:00:00"/>
    <s v="21:50"/>
    <x v="91"/>
    <x v="1"/>
    <n v="46"/>
    <x v="7"/>
    <n v="0"/>
    <n v="0"/>
    <n v="1"/>
    <n v="0"/>
    <n v="0"/>
    <x v="0"/>
    <n v="1"/>
    <x v="0"/>
    <x v="0"/>
  </r>
  <r>
    <n v="500961"/>
    <n v="39710"/>
    <x v="1"/>
    <x v="4"/>
    <d v="2026-05-13T00:00:00"/>
    <s v="09:20"/>
    <x v="55"/>
    <x v="6"/>
    <n v="50"/>
    <x v="2"/>
    <n v="1"/>
    <n v="0"/>
    <n v="0"/>
    <n v="0"/>
    <n v="0"/>
    <x v="1"/>
    <n v="0"/>
    <x v="0"/>
    <x v="0"/>
  </r>
  <r>
    <n v="500962"/>
    <n v="24733"/>
    <x v="1"/>
    <x v="3"/>
    <d v="2026-02-21T00:00:00"/>
    <s v="10:07"/>
    <x v="28"/>
    <x v="5"/>
    <n v="64"/>
    <x v="6"/>
    <n v="0"/>
    <n v="1"/>
    <n v="0"/>
    <n v="0"/>
    <n v="0"/>
    <x v="0"/>
    <n v="0"/>
    <x v="0"/>
    <x v="2"/>
  </r>
  <r>
    <n v="500963"/>
    <n v="15681"/>
    <x v="0"/>
    <x v="3"/>
    <d v="2026-02-18T00:00:00"/>
    <s v="20:35"/>
    <x v="44"/>
    <x v="0"/>
    <n v="41"/>
    <x v="5"/>
    <n v="1"/>
    <n v="0"/>
    <n v="0"/>
    <n v="0"/>
    <n v="0"/>
    <x v="1"/>
    <n v="1"/>
    <x v="0"/>
    <x v="0"/>
  </r>
  <r>
    <n v="500964"/>
    <n v="47618"/>
    <x v="1"/>
    <x v="5"/>
    <d v="2026-05-09T00:00:00"/>
    <s v="21:18"/>
    <x v="162"/>
    <x v="2"/>
    <n v="52"/>
    <x v="0"/>
    <n v="1"/>
    <n v="0"/>
    <n v="0"/>
    <n v="0"/>
    <n v="0"/>
    <x v="1"/>
    <n v="1"/>
    <x v="1"/>
    <x v="0"/>
  </r>
  <r>
    <n v="500965"/>
    <n v="29482"/>
    <x v="0"/>
    <x v="2"/>
    <d v="2026-01-18T00:00:00"/>
    <s v="17:57"/>
    <x v="126"/>
    <x v="3"/>
    <n v="36"/>
    <x v="2"/>
    <n v="1"/>
    <n v="0"/>
    <n v="0"/>
    <n v="0"/>
    <n v="0"/>
    <x v="1"/>
    <n v="0"/>
    <x v="0"/>
    <x v="1"/>
  </r>
  <r>
    <n v="500966"/>
    <n v="24832"/>
    <x v="1"/>
    <x v="7"/>
    <d v="2025-12-10T00:00:00"/>
    <s v="17:32"/>
    <x v="122"/>
    <x v="3"/>
    <n v="66"/>
    <x v="2"/>
    <n v="0"/>
    <n v="1"/>
    <n v="1"/>
    <n v="0"/>
    <n v="0"/>
    <x v="0"/>
    <n v="1"/>
    <x v="0"/>
    <x v="2"/>
  </r>
  <r>
    <n v="500967"/>
    <n v="88871"/>
    <x v="1"/>
    <x v="3"/>
    <d v="2025-12-24T00:00:00"/>
    <s v="06:08"/>
    <x v="30"/>
    <x v="3"/>
    <n v="24"/>
    <x v="1"/>
    <n v="1"/>
    <n v="0"/>
    <n v="0"/>
    <n v="0"/>
    <n v="0"/>
    <x v="1"/>
    <n v="1"/>
    <x v="0"/>
    <x v="1"/>
  </r>
  <r>
    <n v="500968"/>
    <n v="40161"/>
    <x v="1"/>
    <x v="5"/>
    <d v="2026-03-01T00:00:00"/>
    <s v="11:09"/>
    <x v="61"/>
    <x v="3"/>
    <n v="74"/>
    <x v="9"/>
    <n v="1"/>
    <n v="0"/>
    <n v="0"/>
    <n v="0"/>
    <n v="0"/>
    <x v="1"/>
    <n v="1"/>
    <x v="0"/>
    <x v="2"/>
  </r>
  <r>
    <n v="500969"/>
    <n v="12248"/>
    <x v="1"/>
    <x v="6"/>
    <d v="2026-04-03T00:00:00"/>
    <s v="13:08"/>
    <x v="43"/>
    <x v="3"/>
    <n v="37"/>
    <x v="2"/>
    <n v="0"/>
    <n v="0"/>
    <n v="0"/>
    <n v="1"/>
    <n v="0"/>
    <x v="1"/>
    <n v="0"/>
    <x v="0"/>
    <x v="1"/>
  </r>
  <r>
    <n v="500970"/>
    <n v="28264"/>
    <x v="1"/>
    <x v="6"/>
    <d v="2025-12-07T00:00:00"/>
    <s v="12:17"/>
    <x v="129"/>
    <x v="3"/>
    <n v="9"/>
    <x v="2"/>
    <n v="0"/>
    <n v="0"/>
    <n v="0"/>
    <n v="0"/>
    <n v="0"/>
    <x v="1"/>
    <n v="1"/>
    <x v="0"/>
    <x v="3"/>
  </r>
  <r>
    <n v="500971"/>
    <n v="65191"/>
    <x v="0"/>
    <x v="1"/>
    <d v="2026-05-16T00:00:00"/>
    <s v="16:51"/>
    <x v="32"/>
    <x v="5"/>
    <n v="40"/>
    <x v="1"/>
    <n v="0"/>
    <n v="0"/>
    <n v="0"/>
    <n v="0"/>
    <n v="0"/>
    <x v="1"/>
    <n v="1"/>
    <x v="0"/>
    <x v="1"/>
  </r>
  <r>
    <n v="500972"/>
    <n v="13453"/>
    <x v="1"/>
    <x v="2"/>
    <d v="2025-12-16T00:00:00"/>
    <s v="08:24"/>
    <x v="118"/>
    <x v="2"/>
    <n v="24"/>
    <x v="7"/>
    <n v="0"/>
    <n v="0"/>
    <n v="0"/>
    <n v="0"/>
    <n v="0"/>
    <x v="1"/>
    <n v="0"/>
    <x v="0"/>
    <x v="1"/>
  </r>
  <r>
    <n v="500973"/>
    <n v="13956"/>
    <x v="0"/>
    <x v="2"/>
    <d v="2026-04-22T00:00:00"/>
    <s v="07:30"/>
    <x v="116"/>
    <x v="6"/>
    <n v="54"/>
    <x v="2"/>
    <n v="0"/>
    <n v="1"/>
    <n v="1"/>
    <n v="0"/>
    <n v="0"/>
    <x v="0"/>
    <n v="0"/>
    <x v="0"/>
    <x v="0"/>
  </r>
  <r>
    <n v="500974"/>
    <n v="28364"/>
    <x v="1"/>
    <x v="6"/>
    <d v="2026-01-15T00:00:00"/>
    <s v="16:49"/>
    <x v="141"/>
    <x v="0"/>
    <n v="24"/>
    <x v="5"/>
    <n v="1"/>
    <n v="0"/>
    <n v="0"/>
    <n v="0"/>
    <n v="0"/>
    <x v="1"/>
    <n v="1"/>
    <x v="1"/>
    <x v="1"/>
  </r>
  <r>
    <n v="500975"/>
    <n v="17864"/>
    <x v="0"/>
    <x v="3"/>
    <d v="2026-03-13T00:00:00"/>
    <s v="03:45"/>
    <x v="161"/>
    <x v="6"/>
    <n v="29"/>
    <x v="8"/>
    <n v="0"/>
    <n v="0"/>
    <n v="0"/>
    <n v="1"/>
    <n v="0"/>
    <x v="1"/>
    <n v="1"/>
    <x v="0"/>
    <x v="1"/>
  </r>
  <r>
    <n v="500976"/>
    <n v="82634"/>
    <x v="1"/>
    <x v="7"/>
    <d v="2026-02-17T00:00:00"/>
    <s v="14:16"/>
    <x v="21"/>
    <x v="1"/>
    <n v="0"/>
    <x v="1"/>
    <n v="0"/>
    <n v="0"/>
    <n v="0"/>
    <n v="0"/>
    <n v="0"/>
    <x v="1"/>
    <n v="1"/>
    <x v="0"/>
    <x v="3"/>
  </r>
  <r>
    <n v="500977"/>
    <n v="78354"/>
    <x v="1"/>
    <x v="3"/>
    <d v="2025-11-28T00:00:00"/>
    <s v="07:03"/>
    <x v="110"/>
    <x v="5"/>
    <n v="28"/>
    <x v="1"/>
    <n v="1"/>
    <n v="0"/>
    <n v="0"/>
    <n v="0"/>
    <n v="0"/>
    <x v="1"/>
    <n v="1"/>
    <x v="0"/>
    <x v="1"/>
  </r>
  <r>
    <n v="500978"/>
    <n v="83307"/>
    <x v="0"/>
    <x v="6"/>
    <d v="2026-04-11T00:00:00"/>
    <s v="17:25"/>
    <x v="176"/>
    <x v="3"/>
    <n v="0"/>
    <x v="3"/>
    <n v="0"/>
    <n v="0"/>
    <n v="0"/>
    <n v="0"/>
    <n v="0"/>
    <x v="1"/>
    <n v="1"/>
    <x v="0"/>
    <x v="3"/>
  </r>
  <r>
    <n v="500979"/>
    <n v="31603"/>
    <x v="0"/>
    <x v="2"/>
    <d v="2026-01-11T00:00:00"/>
    <s v="22:10"/>
    <x v="98"/>
    <x v="2"/>
    <n v="6"/>
    <x v="5"/>
    <n v="0"/>
    <n v="0"/>
    <n v="0"/>
    <n v="0"/>
    <n v="0"/>
    <x v="1"/>
    <n v="1"/>
    <x v="1"/>
    <x v="3"/>
  </r>
  <r>
    <n v="500980"/>
    <n v="89061"/>
    <x v="1"/>
    <x v="0"/>
    <d v="2026-04-12T00:00:00"/>
    <s v="06:47"/>
    <x v="90"/>
    <x v="5"/>
    <n v="53"/>
    <x v="1"/>
    <n v="1"/>
    <n v="1"/>
    <n v="1"/>
    <n v="0"/>
    <n v="0"/>
    <x v="0"/>
    <n v="0"/>
    <x v="1"/>
    <x v="0"/>
  </r>
  <r>
    <n v="500981"/>
    <n v="36440"/>
    <x v="0"/>
    <x v="1"/>
    <d v="2026-04-04T00:00:00"/>
    <s v="22:47"/>
    <x v="134"/>
    <x v="5"/>
    <n v="53"/>
    <x v="0"/>
    <n v="0"/>
    <n v="0"/>
    <n v="0"/>
    <n v="0"/>
    <n v="0"/>
    <x v="1"/>
    <n v="1"/>
    <x v="0"/>
    <x v="0"/>
  </r>
  <r>
    <n v="500982"/>
    <n v="50449"/>
    <x v="0"/>
    <x v="2"/>
    <d v="2025-12-22T00:00:00"/>
    <s v="02:23"/>
    <x v="80"/>
    <x v="0"/>
    <n v="46"/>
    <x v="0"/>
    <n v="1"/>
    <n v="0"/>
    <n v="0"/>
    <n v="0"/>
    <n v="0"/>
    <x v="1"/>
    <n v="1"/>
    <x v="0"/>
    <x v="0"/>
  </r>
  <r>
    <n v="500983"/>
    <n v="53426"/>
    <x v="1"/>
    <x v="5"/>
    <d v="2026-01-11T00:00:00"/>
    <s v="21:57"/>
    <x v="137"/>
    <x v="3"/>
    <n v="18"/>
    <x v="8"/>
    <n v="0"/>
    <n v="0"/>
    <n v="0"/>
    <n v="0"/>
    <n v="0"/>
    <x v="1"/>
    <n v="1"/>
    <x v="0"/>
    <x v="3"/>
  </r>
  <r>
    <n v="500984"/>
    <n v="60084"/>
    <x v="1"/>
    <x v="0"/>
    <d v="2025-11-20T00:00:00"/>
    <s v="13:50"/>
    <x v="155"/>
    <x v="2"/>
    <n v="37"/>
    <x v="0"/>
    <n v="0"/>
    <n v="0"/>
    <n v="0"/>
    <n v="0"/>
    <n v="0"/>
    <x v="1"/>
    <n v="0"/>
    <x v="1"/>
    <x v="1"/>
  </r>
  <r>
    <n v="500985"/>
    <n v="40352"/>
    <x v="0"/>
    <x v="3"/>
    <d v="2026-05-19T00:00:00"/>
    <s v="01:54"/>
    <x v="7"/>
    <x v="4"/>
    <n v="37"/>
    <x v="2"/>
    <n v="1"/>
    <n v="0"/>
    <n v="0"/>
    <n v="0"/>
    <n v="0"/>
    <x v="1"/>
    <n v="1"/>
    <x v="0"/>
    <x v="1"/>
  </r>
  <r>
    <n v="500986"/>
    <n v="66479"/>
    <x v="0"/>
    <x v="4"/>
    <d v="2026-03-04T00:00:00"/>
    <s v="06:02"/>
    <x v="89"/>
    <x v="1"/>
    <n v="14"/>
    <x v="1"/>
    <n v="0"/>
    <n v="0"/>
    <n v="0"/>
    <n v="0"/>
    <n v="0"/>
    <x v="1"/>
    <n v="1"/>
    <x v="1"/>
    <x v="3"/>
  </r>
  <r>
    <n v="500987"/>
    <n v="29975"/>
    <x v="1"/>
    <x v="5"/>
    <d v="2026-01-08T00:00:00"/>
    <s v="11:09"/>
    <x v="81"/>
    <x v="4"/>
    <n v="68"/>
    <x v="7"/>
    <n v="0"/>
    <n v="0"/>
    <n v="0"/>
    <n v="0"/>
    <n v="0"/>
    <x v="1"/>
    <n v="1"/>
    <x v="0"/>
    <x v="2"/>
  </r>
  <r>
    <n v="500988"/>
    <n v="32245"/>
    <x v="1"/>
    <x v="3"/>
    <d v="2026-03-23T00:00:00"/>
    <s v="08:20"/>
    <x v="186"/>
    <x v="0"/>
    <n v="55"/>
    <x v="6"/>
    <n v="1"/>
    <n v="0"/>
    <n v="0"/>
    <n v="1"/>
    <n v="0"/>
    <x v="1"/>
    <n v="1"/>
    <x v="0"/>
    <x v="0"/>
  </r>
  <r>
    <n v="500989"/>
    <n v="43557"/>
    <x v="1"/>
    <x v="3"/>
    <d v="2025-12-12T00:00:00"/>
    <s v="17:50"/>
    <x v="73"/>
    <x v="6"/>
    <n v="33"/>
    <x v="6"/>
    <n v="1"/>
    <n v="0"/>
    <n v="0"/>
    <n v="1"/>
    <n v="0"/>
    <x v="1"/>
    <n v="1"/>
    <x v="0"/>
    <x v="1"/>
  </r>
  <r>
    <n v="500990"/>
    <n v="99205"/>
    <x v="0"/>
    <x v="6"/>
    <d v="2026-05-15T00:00:00"/>
    <s v="17:22"/>
    <x v="103"/>
    <x v="3"/>
    <n v="38"/>
    <x v="4"/>
    <n v="1"/>
    <n v="0"/>
    <n v="0"/>
    <n v="0"/>
    <n v="0"/>
    <x v="1"/>
    <n v="1"/>
    <x v="0"/>
    <x v="1"/>
  </r>
  <r>
    <n v="500991"/>
    <n v="99463"/>
    <x v="0"/>
    <x v="0"/>
    <d v="2026-05-15T00:00:00"/>
    <s v="16:34"/>
    <x v="104"/>
    <x v="3"/>
    <n v="42"/>
    <x v="1"/>
    <n v="0"/>
    <n v="0"/>
    <n v="1"/>
    <n v="0"/>
    <n v="0"/>
    <x v="0"/>
    <n v="1"/>
    <x v="0"/>
    <x v="0"/>
  </r>
  <r>
    <n v="500992"/>
    <n v="39235"/>
    <x v="1"/>
    <x v="6"/>
    <d v="2026-05-01T00:00:00"/>
    <s v="02:05"/>
    <x v="4"/>
    <x v="3"/>
    <n v="0"/>
    <x v="6"/>
    <n v="0"/>
    <n v="0"/>
    <n v="0"/>
    <n v="0"/>
    <n v="0"/>
    <x v="1"/>
    <n v="1"/>
    <x v="0"/>
    <x v="3"/>
  </r>
  <r>
    <n v="500993"/>
    <n v="70929"/>
    <x v="0"/>
    <x v="5"/>
    <d v="2026-03-29T00:00:00"/>
    <s v="10:27"/>
    <x v="171"/>
    <x v="6"/>
    <n v="33"/>
    <x v="2"/>
    <n v="0"/>
    <n v="0"/>
    <n v="0"/>
    <n v="0"/>
    <n v="0"/>
    <x v="1"/>
    <n v="0"/>
    <x v="1"/>
    <x v="1"/>
  </r>
  <r>
    <n v="500994"/>
    <n v="53086"/>
    <x v="0"/>
    <x v="2"/>
    <d v="2026-02-16T00:00:00"/>
    <s v="03:36"/>
    <x v="149"/>
    <x v="0"/>
    <n v="24"/>
    <x v="4"/>
    <n v="1"/>
    <n v="0"/>
    <n v="0"/>
    <n v="0"/>
    <n v="0"/>
    <x v="1"/>
    <n v="1"/>
    <x v="0"/>
    <x v="1"/>
  </r>
  <r>
    <n v="500995"/>
    <n v="81444"/>
    <x v="0"/>
    <x v="6"/>
    <d v="2026-01-02T00:00:00"/>
    <s v="20:51"/>
    <x v="109"/>
    <x v="1"/>
    <n v="17"/>
    <x v="2"/>
    <n v="0"/>
    <n v="0"/>
    <n v="0"/>
    <n v="0"/>
    <n v="0"/>
    <x v="1"/>
    <n v="1"/>
    <x v="1"/>
    <x v="3"/>
  </r>
  <r>
    <n v="500996"/>
    <n v="88784"/>
    <x v="1"/>
    <x v="0"/>
    <d v="2026-01-12T00:00:00"/>
    <s v="17:28"/>
    <x v="179"/>
    <x v="4"/>
    <n v="32"/>
    <x v="4"/>
    <n v="1"/>
    <n v="0"/>
    <n v="0"/>
    <n v="0"/>
    <n v="0"/>
    <x v="1"/>
    <n v="1"/>
    <x v="1"/>
    <x v="1"/>
  </r>
  <r>
    <n v="500997"/>
    <n v="99610"/>
    <x v="1"/>
    <x v="7"/>
    <d v="2026-04-09T00:00:00"/>
    <s v="06:18"/>
    <x v="134"/>
    <x v="5"/>
    <n v="73"/>
    <x v="0"/>
    <n v="0"/>
    <n v="1"/>
    <n v="1"/>
    <n v="0"/>
    <n v="0"/>
    <x v="0"/>
    <n v="0"/>
    <x v="0"/>
    <x v="2"/>
  </r>
  <r>
    <n v="500998"/>
    <n v="97771"/>
    <x v="1"/>
    <x v="3"/>
    <d v="2026-04-03T00:00:00"/>
    <s v="10:43"/>
    <x v="68"/>
    <x v="5"/>
    <n v="50"/>
    <x v="7"/>
    <n v="0"/>
    <n v="0"/>
    <n v="0"/>
    <n v="0"/>
    <n v="0"/>
    <x v="1"/>
    <n v="1"/>
    <x v="0"/>
    <x v="0"/>
  </r>
  <r>
    <n v="500999"/>
    <n v="73127"/>
    <x v="1"/>
    <x v="3"/>
    <d v="2026-04-08T00:00:00"/>
    <s v="15:27"/>
    <x v="37"/>
    <x v="4"/>
    <n v="26"/>
    <x v="5"/>
    <n v="1"/>
    <n v="0"/>
    <n v="0"/>
    <n v="0"/>
    <n v="0"/>
    <x v="1"/>
    <n v="0"/>
    <x v="0"/>
    <x v="1"/>
  </r>
  <r>
    <n v="501000"/>
    <n v="88266"/>
    <x v="0"/>
    <x v="5"/>
    <d v="2026-05-19T00:00:00"/>
    <s v="13:31"/>
    <x v="181"/>
    <x v="1"/>
    <n v="49"/>
    <x v="9"/>
    <n v="0"/>
    <n v="1"/>
    <n v="0"/>
    <n v="0"/>
    <n v="0"/>
    <x v="0"/>
    <n v="0"/>
    <x v="0"/>
    <x v="0"/>
  </r>
  <r>
    <n v="501001"/>
    <n v="29727"/>
    <x v="1"/>
    <x v="3"/>
    <d v="2025-11-24T00:00:00"/>
    <s v="18:21"/>
    <x v="159"/>
    <x v="3"/>
    <n v="65"/>
    <x v="3"/>
    <n v="1"/>
    <n v="1"/>
    <n v="0"/>
    <n v="0"/>
    <n v="0"/>
    <x v="0"/>
    <n v="1"/>
    <x v="0"/>
    <x v="2"/>
  </r>
  <r>
    <n v="501002"/>
    <n v="26478"/>
    <x v="1"/>
    <x v="5"/>
    <d v="2026-02-04T00:00:00"/>
    <s v="06:21"/>
    <x v="40"/>
    <x v="4"/>
    <n v="56"/>
    <x v="7"/>
    <n v="0"/>
    <n v="0"/>
    <n v="1"/>
    <n v="0"/>
    <n v="0"/>
    <x v="0"/>
    <n v="1"/>
    <x v="0"/>
    <x v="0"/>
  </r>
  <r>
    <n v="501003"/>
    <n v="35055"/>
    <x v="0"/>
    <x v="2"/>
    <d v="2026-01-21T00:00:00"/>
    <s v="22:30"/>
    <x v="5"/>
    <x v="1"/>
    <n v="39"/>
    <x v="4"/>
    <n v="0"/>
    <n v="0"/>
    <n v="0"/>
    <n v="0"/>
    <n v="0"/>
    <x v="1"/>
    <n v="0"/>
    <x v="1"/>
    <x v="1"/>
  </r>
  <r>
    <n v="501004"/>
    <n v="75422"/>
    <x v="1"/>
    <x v="4"/>
    <d v="2025-12-23T00:00:00"/>
    <s v="23:33"/>
    <x v="156"/>
    <x v="5"/>
    <n v="25"/>
    <x v="5"/>
    <n v="1"/>
    <n v="0"/>
    <n v="0"/>
    <n v="0"/>
    <n v="0"/>
    <x v="1"/>
    <n v="1"/>
    <x v="0"/>
    <x v="1"/>
  </r>
  <r>
    <n v="501005"/>
    <n v="24860"/>
    <x v="0"/>
    <x v="6"/>
    <d v="2026-04-22T00:00:00"/>
    <s v="15:48"/>
    <x v="116"/>
    <x v="6"/>
    <n v="51"/>
    <x v="5"/>
    <n v="1"/>
    <n v="1"/>
    <n v="0"/>
    <n v="0"/>
    <n v="0"/>
    <x v="0"/>
    <n v="0"/>
    <x v="0"/>
    <x v="0"/>
  </r>
  <r>
    <n v="501006"/>
    <n v="67343"/>
    <x v="1"/>
    <x v="5"/>
    <d v="2026-05-09T00:00:00"/>
    <s v="11:48"/>
    <x v="181"/>
    <x v="1"/>
    <n v="45"/>
    <x v="6"/>
    <n v="0"/>
    <n v="0"/>
    <n v="1"/>
    <n v="1"/>
    <n v="0"/>
    <x v="0"/>
    <n v="1"/>
    <x v="0"/>
    <x v="0"/>
  </r>
  <r>
    <n v="501007"/>
    <n v="91766"/>
    <x v="0"/>
    <x v="6"/>
    <d v="2026-02-27T00:00:00"/>
    <s v="08:27"/>
    <x v="193"/>
    <x v="6"/>
    <n v="55"/>
    <x v="8"/>
    <n v="0"/>
    <n v="0"/>
    <n v="0"/>
    <n v="0"/>
    <n v="0"/>
    <x v="1"/>
    <n v="1"/>
    <x v="1"/>
    <x v="0"/>
  </r>
  <r>
    <n v="501008"/>
    <n v="71548"/>
    <x v="0"/>
    <x v="2"/>
    <d v="2025-12-19T00:00:00"/>
    <s v="17:06"/>
    <x v="129"/>
    <x v="3"/>
    <n v="50"/>
    <x v="3"/>
    <n v="1"/>
    <n v="0"/>
    <n v="0"/>
    <n v="0"/>
    <n v="0"/>
    <x v="1"/>
    <n v="0"/>
    <x v="0"/>
    <x v="0"/>
  </r>
  <r>
    <n v="501009"/>
    <n v="76527"/>
    <x v="1"/>
    <x v="7"/>
    <d v="2026-04-10T00:00:00"/>
    <s v="03:56"/>
    <x v="87"/>
    <x v="0"/>
    <n v="58"/>
    <x v="0"/>
    <n v="1"/>
    <n v="0"/>
    <n v="0"/>
    <n v="0"/>
    <n v="0"/>
    <x v="1"/>
    <n v="1"/>
    <x v="1"/>
    <x v="0"/>
  </r>
  <r>
    <n v="501010"/>
    <n v="30103"/>
    <x v="1"/>
    <x v="2"/>
    <d v="2026-02-24T00:00:00"/>
    <s v="08:35"/>
    <x v="16"/>
    <x v="0"/>
    <n v="27"/>
    <x v="4"/>
    <n v="0"/>
    <n v="0"/>
    <n v="0"/>
    <n v="0"/>
    <n v="0"/>
    <x v="1"/>
    <n v="1"/>
    <x v="0"/>
    <x v="1"/>
  </r>
  <r>
    <n v="501011"/>
    <n v="35252"/>
    <x v="1"/>
    <x v="0"/>
    <d v="2026-04-30T00:00:00"/>
    <s v="02:09"/>
    <x v="7"/>
    <x v="4"/>
    <n v="64"/>
    <x v="9"/>
    <n v="1"/>
    <n v="1"/>
    <n v="0"/>
    <n v="0"/>
    <n v="0"/>
    <x v="0"/>
    <n v="1"/>
    <x v="0"/>
    <x v="2"/>
  </r>
  <r>
    <n v="501012"/>
    <n v="23051"/>
    <x v="0"/>
    <x v="5"/>
    <d v="2026-01-20T00:00:00"/>
    <s v="17:14"/>
    <x v="141"/>
    <x v="0"/>
    <n v="41"/>
    <x v="9"/>
    <n v="1"/>
    <n v="0"/>
    <n v="0"/>
    <n v="0"/>
    <n v="0"/>
    <x v="1"/>
    <n v="1"/>
    <x v="0"/>
    <x v="0"/>
  </r>
  <r>
    <n v="501013"/>
    <n v="36707"/>
    <x v="0"/>
    <x v="5"/>
    <d v="2026-03-23T00:00:00"/>
    <s v="18:11"/>
    <x v="161"/>
    <x v="6"/>
    <n v="79"/>
    <x v="7"/>
    <n v="1"/>
    <n v="1"/>
    <n v="0"/>
    <n v="0"/>
    <n v="0"/>
    <x v="0"/>
    <n v="0"/>
    <x v="0"/>
    <x v="2"/>
  </r>
  <r>
    <n v="501014"/>
    <n v="13314"/>
    <x v="0"/>
    <x v="6"/>
    <d v="2025-12-15T00:00:00"/>
    <s v="14:06"/>
    <x v="50"/>
    <x v="5"/>
    <n v="24"/>
    <x v="4"/>
    <n v="0"/>
    <n v="0"/>
    <n v="0"/>
    <n v="0"/>
    <n v="0"/>
    <x v="1"/>
    <n v="1"/>
    <x v="0"/>
    <x v="1"/>
  </r>
  <r>
    <n v="501015"/>
    <n v="42145"/>
    <x v="1"/>
    <x v="7"/>
    <d v="2025-11-21T00:00:00"/>
    <s v="00:01"/>
    <x v="114"/>
    <x v="0"/>
    <n v="72"/>
    <x v="7"/>
    <n v="1"/>
    <n v="1"/>
    <n v="1"/>
    <n v="1"/>
    <n v="0"/>
    <x v="0"/>
    <n v="1"/>
    <x v="0"/>
    <x v="2"/>
  </r>
  <r>
    <n v="501016"/>
    <n v="26080"/>
    <x v="0"/>
    <x v="3"/>
    <d v="2026-05-09T00:00:00"/>
    <s v="14:20"/>
    <x v="124"/>
    <x v="0"/>
    <n v="41"/>
    <x v="0"/>
    <n v="1"/>
    <n v="0"/>
    <n v="0"/>
    <n v="0"/>
    <n v="0"/>
    <x v="1"/>
    <n v="1"/>
    <x v="0"/>
    <x v="0"/>
  </r>
  <r>
    <n v="501017"/>
    <n v="61222"/>
    <x v="0"/>
    <x v="6"/>
    <d v="2026-01-12T00:00:00"/>
    <s v="01:47"/>
    <x v="40"/>
    <x v="4"/>
    <n v="24"/>
    <x v="7"/>
    <n v="1"/>
    <n v="0"/>
    <n v="0"/>
    <n v="1"/>
    <n v="0"/>
    <x v="1"/>
    <n v="1"/>
    <x v="0"/>
    <x v="1"/>
  </r>
  <r>
    <n v="501018"/>
    <n v="59185"/>
    <x v="1"/>
    <x v="6"/>
    <d v="2026-03-16T00:00:00"/>
    <s v="14:58"/>
    <x v="68"/>
    <x v="5"/>
    <n v="28"/>
    <x v="2"/>
    <n v="0"/>
    <n v="0"/>
    <n v="0"/>
    <n v="0"/>
    <n v="0"/>
    <x v="1"/>
    <n v="1"/>
    <x v="0"/>
    <x v="1"/>
  </r>
  <r>
    <n v="501019"/>
    <n v="14122"/>
    <x v="0"/>
    <x v="2"/>
    <d v="2026-04-27T00:00:00"/>
    <s v="14:08"/>
    <x v="4"/>
    <x v="3"/>
    <n v="31"/>
    <x v="4"/>
    <n v="1"/>
    <n v="0"/>
    <n v="0"/>
    <n v="0"/>
    <n v="0"/>
    <x v="1"/>
    <n v="1"/>
    <x v="0"/>
    <x v="1"/>
  </r>
  <r>
    <n v="501020"/>
    <n v="43357"/>
    <x v="0"/>
    <x v="1"/>
    <d v="2026-02-19T00:00:00"/>
    <s v="23:34"/>
    <x v="95"/>
    <x v="6"/>
    <n v="46"/>
    <x v="9"/>
    <n v="0"/>
    <n v="0"/>
    <n v="0"/>
    <n v="0"/>
    <n v="0"/>
    <x v="1"/>
    <n v="1"/>
    <x v="0"/>
    <x v="0"/>
  </r>
  <r>
    <n v="501021"/>
    <n v="13866"/>
    <x v="1"/>
    <x v="3"/>
    <d v="2026-02-12T00:00:00"/>
    <s v="21:24"/>
    <x v="2"/>
    <x v="2"/>
    <n v="48"/>
    <x v="1"/>
    <n v="0"/>
    <n v="0"/>
    <n v="0"/>
    <n v="0"/>
    <n v="0"/>
    <x v="1"/>
    <n v="0"/>
    <x v="0"/>
    <x v="0"/>
  </r>
  <r>
    <n v="501022"/>
    <n v="82285"/>
    <x v="1"/>
    <x v="6"/>
    <d v="2026-03-07T00:00:00"/>
    <s v="08:11"/>
    <x v="88"/>
    <x v="2"/>
    <n v="26"/>
    <x v="3"/>
    <n v="1"/>
    <n v="0"/>
    <n v="0"/>
    <n v="0"/>
    <n v="0"/>
    <x v="1"/>
    <n v="1"/>
    <x v="0"/>
    <x v="1"/>
  </r>
  <r>
    <n v="501023"/>
    <n v="46842"/>
    <x v="1"/>
    <x v="5"/>
    <d v="2026-01-18T00:00:00"/>
    <s v="09:01"/>
    <x v="150"/>
    <x v="2"/>
    <n v="37"/>
    <x v="9"/>
    <n v="1"/>
    <n v="0"/>
    <n v="0"/>
    <n v="0"/>
    <n v="0"/>
    <x v="1"/>
    <n v="0"/>
    <x v="0"/>
    <x v="1"/>
  </r>
  <r>
    <n v="501024"/>
    <n v="68478"/>
    <x v="1"/>
    <x v="7"/>
    <d v="2025-12-17T00:00:00"/>
    <s v="21:56"/>
    <x v="127"/>
    <x v="4"/>
    <n v="80"/>
    <x v="4"/>
    <n v="0"/>
    <n v="0"/>
    <n v="0"/>
    <n v="0"/>
    <n v="0"/>
    <x v="1"/>
    <n v="1"/>
    <x v="1"/>
    <x v="2"/>
  </r>
  <r>
    <n v="501025"/>
    <n v="14424"/>
    <x v="1"/>
    <x v="4"/>
    <d v="2026-05-08T00:00:00"/>
    <s v="05:12"/>
    <x v="76"/>
    <x v="6"/>
    <n v="72"/>
    <x v="0"/>
    <n v="1"/>
    <n v="0"/>
    <n v="1"/>
    <n v="0"/>
    <n v="0"/>
    <x v="0"/>
    <n v="1"/>
    <x v="0"/>
    <x v="2"/>
  </r>
  <r>
    <n v="501026"/>
    <n v="58714"/>
    <x v="1"/>
    <x v="3"/>
    <d v="2025-12-11T00:00:00"/>
    <s v="13:44"/>
    <x v="192"/>
    <x v="6"/>
    <n v="46"/>
    <x v="4"/>
    <n v="0"/>
    <n v="1"/>
    <n v="0"/>
    <n v="0"/>
    <n v="0"/>
    <x v="0"/>
    <n v="1"/>
    <x v="0"/>
    <x v="0"/>
  </r>
  <r>
    <n v="501027"/>
    <n v="40493"/>
    <x v="0"/>
    <x v="4"/>
    <d v="2025-12-13T00:00:00"/>
    <s v="13:29"/>
    <x v="86"/>
    <x v="5"/>
    <n v="38"/>
    <x v="0"/>
    <n v="0"/>
    <n v="0"/>
    <n v="0"/>
    <n v="0"/>
    <n v="0"/>
    <x v="1"/>
    <n v="1"/>
    <x v="0"/>
    <x v="1"/>
  </r>
  <r>
    <n v="501028"/>
    <n v="97994"/>
    <x v="0"/>
    <x v="4"/>
    <d v="2026-02-08T00:00:00"/>
    <s v="13:51"/>
    <x v="69"/>
    <x v="2"/>
    <n v="40"/>
    <x v="5"/>
    <n v="1"/>
    <n v="0"/>
    <n v="0"/>
    <n v="0"/>
    <n v="0"/>
    <x v="1"/>
    <n v="1"/>
    <x v="0"/>
    <x v="1"/>
  </r>
  <r>
    <n v="501029"/>
    <n v="16133"/>
    <x v="1"/>
    <x v="4"/>
    <d v="2026-04-23T00:00:00"/>
    <s v="02:09"/>
    <x v="116"/>
    <x v="6"/>
    <n v="50"/>
    <x v="6"/>
    <n v="0"/>
    <n v="0"/>
    <n v="0"/>
    <n v="0"/>
    <n v="0"/>
    <x v="1"/>
    <n v="1"/>
    <x v="1"/>
    <x v="0"/>
  </r>
  <r>
    <n v="501030"/>
    <n v="85465"/>
    <x v="0"/>
    <x v="6"/>
    <d v="2026-02-04T00:00:00"/>
    <s v="14:48"/>
    <x v="20"/>
    <x v="0"/>
    <n v="17"/>
    <x v="0"/>
    <n v="0"/>
    <n v="0"/>
    <n v="0"/>
    <n v="0"/>
    <n v="0"/>
    <x v="1"/>
    <n v="0"/>
    <x v="1"/>
    <x v="3"/>
  </r>
  <r>
    <n v="501031"/>
    <n v="79922"/>
    <x v="0"/>
    <x v="2"/>
    <d v="2026-03-05T00:00:00"/>
    <s v="09:34"/>
    <x v="41"/>
    <x v="1"/>
    <n v="32"/>
    <x v="7"/>
    <n v="0"/>
    <n v="0"/>
    <n v="0"/>
    <n v="0"/>
    <n v="0"/>
    <x v="1"/>
    <n v="1"/>
    <x v="0"/>
    <x v="1"/>
  </r>
  <r>
    <n v="501032"/>
    <n v="51574"/>
    <x v="1"/>
    <x v="4"/>
    <d v="2025-11-26T00:00:00"/>
    <s v="09:54"/>
    <x v="121"/>
    <x v="3"/>
    <n v="4"/>
    <x v="6"/>
    <n v="0"/>
    <n v="0"/>
    <n v="0"/>
    <n v="0"/>
    <n v="0"/>
    <x v="1"/>
    <n v="1"/>
    <x v="0"/>
    <x v="3"/>
  </r>
  <r>
    <n v="501033"/>
    <n v="61554"/>
    <x v="1"/>
    <x v="6"/>
    <d v="2026-05-02T00:00:00"/>
    <s v="06:36"/>
    <x v="18"/>
    <x v="5"/>
    <n v="45"/>
    <x v="3"/>
    <n v="0"/>
    <n v="0"/>
    <n v="0"/>
    <n v="0"/>
    <n v="0"/>
    <x v="1"/>
    <n v="1"/>
    <x v="0"/>
    <x v="0"/>
  </r>
  <r>
    <n v="501034"/>
    <n v="28184"/>
    <x v="0"/>
    <x v="2"/>
    <d v="2026-03-09T00:00:00"/>
    <s v="20:54"/>
    <x v="128"/>
    <x v="0"/>
    <n v="50"/>
    <x v="5"/>
    <n v="0"/>
    <n v="1"/>
    <n v="1"/>
    <n v="0"/>
    <n v="0"/>
    <x v="0"/>
    <n v="0"/>
    <x v="0"/>
    <x v="0"/>
  </r>
  <r>
    <n v="501035"/>
    <n v="16880"/>
    <x v="1"/>
    <x v="0"/>
    <d v="2026-02-12T00:00:00"/>
    <s v="03:40"/>
    <x v="163"/>
    <x v="0"/>
    <n v="28"/>
    <x v="6"/>
    <n v="0"/>
    <n v="0"/>
    <n v="0"/>
    <n v="0"/>
    <n v="0"/>
    <x v="1"/>
    <n v="1"/>
    <x v="0"/>
    <x v="1"/>
  </r>
  <r>
    <n v="501036"/>
    <n v="59749"/>
    <x v="1"/>
    <x v="3"/>
    <d v="2026-03-30T00:00:00"/>
    <s v="06:37"/>
    <x v="147"/>
    <x v="2"/>
    <n v="69"/>
    <x v="2"/>
    <n v="1"/>
    <n v="1"/>
    <n v="0"/>
    <n v="0"/>
    <n v="0"/>
    <x v="0"/>
    <n v="0"/>
    <x v="0"/>
    <x v="2"/>
  </r>
  <r>
    <n v="501037"/>
    <n v="97586"/>
    <x v="0"/>
    <x v="1"/>
    <d v="2026-05-06T00:00:00"/>
    <s v="09:41"/>
    <x v="173"/>
    <x v="3"/>
    <n v="13"/>
    <x v="9"/>
    <n v="0"/>
    <n v="0"/>
    <n v="0"/>
    <n v="0"/>
    <n v="0"/>
    <x v="1"/>
    <n v="1"/>
    <x v="0"/>
    <x v="3"/>
  </r>
  <r>
    <n v="501038"/>
    <n v="73269"/>
    <x v="0"/>
    <x v="5"/>
    <d v="2026-02-25T00:00:00"/>
    <s v="15:50"/>
    <x v="66"/>
    <x v="6"/>
    <n v="8"/>
    <x v="0"/>
    <n v="0"/>
    <n v="0"/>
    <n v="0"/>
    <n v="0"/>
    <n v="0"/>
    <x v="1"/>
    <n v="1"/>
    <x v="0"/>
    <x v="3"/>
  </r>
  <r>
    <n v="501039"/>
    <n v="41768"/>
    <x v="0"/>
    <x v="5"/>
    <d v="2025-12-31T00:00:00"/>
    <s v="20:43"/>
    <x v="70"/>
    <x v="1"/>
    <n v="42"/>
    <x v="6"/>
    <n v="1"/>
    <n v="0"/>
    <n v="1"/>
    <n v="1"/>
    <n v="0"/>
    <x v="0"/>
    <n v="0"/>
    <x v="1"/>
    <x v="0"/>
  </r>
  <r>
    <n v="501040"/>
    <n v="23701"/>
    <x v="1"/>
    <x v="1"/>
    <d v="2026-02-12T00:00:00"/>
    <s v="21:06"/>
    <x v="2"/>
    <x v="2"/>
    <n v="58"/>
    <x v="9"/>
    <n v="1"/>
    <n v="0"/>
    <n v="0"/>
    <n v="0"/>
    <n v="0"/>
    <x v="1"/>
    <n v="0"/>
    <x v="1"/>
    <x v="0"/>
  </r>
  <r>
    <n v="501041"/>
    <n v="57663"/>
    <x v="1"/>
    <x v="6"/>
    <d v="2025-12-23T00:00:00"/>
    <s v="10:33"/>
    <x v="80"/>
    <x v="0"/>
    <n v="71"/>
    <x v="9"/>
    <n v="0"/>
    <n v="0"/>
    <n v="1"/>
    <n v="0"/>
    <n v="0"/>
    <x v="0"/>
    <n v="0"/>
    <x v="0"/>
    <x v="2"/>
  </r>
  <r>
    <n v="501042"/>
    <n v="29305"/>
    <x v="1"/>
    <x v="5"/>
    <d v="2026-03-26T00:00:00"/>
    <s v="11:19"/>
    <x v="107"/>
    <x v="2"/>
    <n v="28"/>
    <x v="6"/>
    <n v="0"/>
    <n v="0"/>
    <n v="0"/>
    <n v="1"/>
    <n v="0"/>
    <x v="1"/>
    <n v="1"/>
    <x v="0"/>
    <x v="1"/>
  </r>
  <r>
    <n v="501043"/>
    <n v="79584"/>
    <x v="1"/>
    <x v="2"/>
    <d v="2026-03-17T00:00:00"/>
    <s v="16:23"/>
    <x v="185"/>
    <x v="5"/>
    <n v="59"/>
    <x v="0"/>
    <n v="0"/>
    <n v="0"/>
    <n v="1"/>
    <n v="0"/>
    <n v="0"/>
    <x v="0"/>
    <n v="1"/>
    <x v="1"/>
    <x v="0"/>
  </r>
  <r>
    <n v="501044"/>
    <n v="45728"/>
    <x v="1"/>
    <x v="5"/>
    <d v="2026-02-23T00:00:00"/>
    <s v="14:07"/>
    <x v="149"/>
    <x v="0"/>
    <n v="37"/>
    <x v="7"/>
    <n v="1"/>
    <n v="0"/>
    <n v="0"/>
    <n v="0"/>
    <n v="0"/>
    <x v="1"/>
    <n v="1"/>
    <x v="0"/>
    <x v="1"/>
  </r>
  <r>
    <n v="501045"/>
    <n v="87863"/>
    <x v="1"/>
    <x v="6"/>
    <d v="2026-03-04T00:00:00"/>
    <s v="21:20"/>
    <x v="72"/>
    <x v="4"/>
    <n v="34"/>
    <x v="8"/>
    <n v="1"/>
    <n v="0"/>
    <n v="0"/>
    <n v="0"/>
    <n v="0"/>
    <x v="1"/>
    <n v="1"/>
    <x v="1"/>
    <x v="1"/>
  </r>
  <r>
    <n v="501046"/>
    <n v="25097"/>
    <x v="0"/>
    <x v="0"/>
    <d v="2026-05-14T00:00:00"/>
    <s v="00:06"/>
    <x v="174"/>
    <x v="4"/>
    <n v="55"/>
    <x v="9"/>
    <n v="1"/>
    <n v="1"/>
    <n v="0"/>
    <n v="0"/>
    <n v="0"/>
    <x v="0"/>
    <n v="1"/>
    <x v="0"/>
    <x v="0"/>
  </r>
  <r>
    <n v="501047"/>
    <n v="61496"/>
    <x v="0"/>
    <x v="1"/>
    <d v="2026-04-23T00:00:00"/>
    <s v="00:59"/>
    <x v="116"/>
    <x v="6"/>
    <n v="51"/>
    <x v="0"/>
    <n v="1"/>
    <n v="1"/>
    <n v="0"/>
    <n v="0"/>
    <n v="0"/>
    <x v="0"/>
    <n v="1"/>
    <x v="0"/>
    <x v="0"/>
  </r>
  <r>
    <n v="501048"/>
    <n v="22352"/>
    <x v="0"/>
    <x v="6"/>
    <d v="2026-03-10T00:00:00"/>
    <s v="12:13"/>
    <x v="102"/>
    <x v="4"/>
    <n v="6"/>
    <x v="0"/>
    <n v="0"/>
    <n v="0"/>
    <n v="0"/>
    <n v="0"/>
    <n v="0"/>
    <x v="1"/>
    <n v="1"/>
    <x v="1"/>
    <x v="3"/>
  </r>
  <r>
    <n v="501049"/>
    <n v="99318"/>
    <x v="0"/>
    <x v="3"/>
    <d v="2026-01-18T00:00:00"/>
    <s v="14:38"/>
    <x v="35"/>
    <x v="4"/>
    <n v="67"/>
    <x v="2"/>
    <n v="1"/>
    <n v="0"/>
    <n v="1"/>
    <n v="1"/>
    <n v="0"/>
    <x v="0"/>
    <n v="1"/>
    <x v="1"/>
    <x v="2"/>
  </r>
  <r>
    <n v="501050"/>
    <n v="20089"/>
    <x v="0"/>
    <x v="0"/>
    <d v="2026-04-16T00:00:00"/>
    <s v="02:25"/>
    <x v="101"/>
    <x v="1"/>
    <n v="65"/>
    <x v="9"/>
    <n v="1"/>
    <n v="0"/>
    <n v="0"/>
    <n v="0"/>
    <n v="0"/>
    <x v="1"/>
    <n v="0"/>
    <x v="0"/>
    <x v="2"/>
  </r>
  <r>
    <n v="501051"/>
    <n v="48097"/>
    <x v="0"/>
    <x v="3"/>
    <d v="2026-03-10T00:00:00"/>
    <s v="12:21"/>
    <x v="102"/>
    <x v="4"/>
    <n v="25"/>
    <x v="2"/>
    <n v="0"/>
    <n v="0"/>
    <n v="0"/>
    <n v="0"/>
    <n v="0"/>
    <x v="1"/>
    <n v="1"/>
    <x v="0"/>
    <x v="1"/>
  </r>
  <r>
    <n v="501052"/>
    <n v="55977"/>
    <x v="1"/>
    <x v="6"/>
    <d v="2026-01-15T00:00:00"/>
    <s v="17:41"/>
    <x v="94"/>
    <x v="6"/>
    <n v="45"/>
    <x v="0"/>
    <n v="1"/>
    <n v="0"/>
    <n v="0"/>
    <n v="0"/>
    <n v="0"/>
    <x v="1"/>
    <n v="1"/>
    <x v="0"/>
    <x v="0"/>
  </r>
  <r>
    <n v="501053"/>
    <n v="97023"/>
    <x v="1"/>
    <x v="5"/>
    <d v="2026-01-09T00:00:00"/>
    <s v="09:44"/>
    <x v="154"/>
    <x v="5"/>
    <n v="47"/>
    <x v="0"/>
    <n v="0"/>
    <n v="1"/>
    <n v="0"/>
    <n v="0"/>
    <n v="0"/>
    <x v="0"/>
    <n v="1"/>
    <x v="1"/>
    <x v="0"/>
  </r>
  <r>
    <n v="501054"/>
    <n v="85705"/>
    <x v="1"/>
    <x v="2"/>
    <d v="2026-03-05T00:00:00"/>
    <s v="21:14"/>
    <x v="128"/>
    <x v="0"/>
    <n v="43"/>
    <x v="1"/>
    <n v="0"/>
    <n v="0"/>
    <n v="1"/>
    <n v="0"/>
    <n v="0"/>
    <x v="0"/>
    <n v="0"/>
    <x v="0"/>
    <x v="0"/>
  </r>
  <r>
    <n v="501055"/>
    <n v="98971"/>
    <x v="1"/>
    <x v="3"/>
    <d v="2026-01-06T00:00:00"/>
    <s v="05:16"/>
    <x v="109"/>
    <x v="1"/>
    <n v="26"/>
    <x v="0"/>
    <n v="1"/>
    <n v="0"/>
    <n v="0"/>
    <n v="0"/>
    <n v="0"/>
    <x v="1"/>
    <n v="1"/>
    <x v="0"/>
    <x v="1"/>
  </r>
  <r>
    <n v="501056"/>
    <n v="50543"/>
    <x v="0"/>
    <x v="0"/>
    <d v="2026-02-06T00:00:00"/>
    <s v="12:42"/>
    <x v="47"/>
    <x v="6"/>
    <n v="24"/>
    <x v="9"/>
    <n v="1"/>
    <n v="0"/>
    <n v="0"/>
    <n v="0"/>
    <n v="0"/>
    <x v="1"/>
    <n v="0"/>
    <x v="0"/>
    <x v="1"/>
  </r>
  <r>
    <n v="501057"/>
    <n v="55481"/>
    <x v="1"/>
    <x v="5"/>
    <d v="2026-03-11T00:00:00"/>
    <s v="10:20"/>
    <x v="128"/>
    <x v="0"/>
    <n v="37"/>
    <x v="7"/>
    <n v="1"/>
    <n v="0"/>
    <n v="0"/>
    <n v="0"/>
    <n v="0"/>
    <x v="1"/>
    <n v="1"/>
    <x v="0"/>
    <x v="1"/>
  </r>
  <r>
    <n v="501058"/>
    <n v="47982"/>
    <x v="0"/>
    <x v="7"/>
    <d v="2026-03-29T00:00:00"/>
    <s v="11:59"/>
    <x v="176"/>
    <x v="3"/>
    <n v="61"/>
    <x v="3"/>
    <n v="1"/>
    <n v="1"/>
    <n v="0"/>
    <n v="0"/>
    <n v="0"/>
    <x v="0"/>
    <n v="1"/>
    <x v="0"/>
    <x v="2"/>
  </r>
  <r>
    <n v="501059"/>
    <n v="10667"/>
    <x v="1"/>
    <x v="2"/>
    <d v="2026-03-04T00:00:00"/>
    <s v="22:51"/>
    <x v="26"/>
    <x v="0"/>
    <n v="48"/>
    <x v="7"/>
    <n v="0"/>
    <n v="1"/>
    <n v="0"/>
    <n v="0"/>
    <n v="0"/>
    <x v="0"/>
    <n v="1"/>
    <x v="0"/>
    <x v="0"/>
  </r>
  <r>
    <n v="501060"/>
    <n v="30321"/>
    <x v="0"/>
    <x v="7"/>
    <d v="2026-03-05T00:00:00"/>
    <s v="17:47"/>
    <x v="102"/>
    <x v="4"/>
    <n v="30"/>
    <x v="2"/>
    <n v="0"/>
    <n v="0"/>
    <n v="0"/>
    <n v="0"/>
    <n v="0"/>
    <x v="1"/>
    <n v="1"/>
    <x v="1"/>
    <x v="1"/>
  </r>
  <r>
    <n v="501061"/>
    <n v="56482"/>
    <x v="0"/>
    <x v="4"/>
    <d v="2025-11-29T00:00:00"/>
    <s v="08:00"/>
    <x v="121"/>
    <x v="3"/>
    <n v="53"/>
    <x v="5"/>
    <n v="1"/>
    <n v="0"/>
    <n v="1"/>
    <n v="0"/>
    <n v="0"/>
    <x v="0"/>
    <n v="1"/>
    <x v="0"/>
    <x v="0"/>
  </r>
  <r>
    <n v="501062"/>
    <n v="98987"/>
    <x v="1"/>
    <x v="3"/>
    <d v="2025-12-25T00:00:00"/>
    <s v="11:36"/>
    <x v="73"/>
    <x v="6"/>
    <n v="0"/>
    <x v="1"/>
    <n v="0"/>
    <n v="0"/>
    <n v="0"/>
    <n v="0"/>
    <n v="0"/>
    <x v="1"/>
    <n v="1"/>
    <x v="1"/>
    <x v="3"/>
  </r>
  <r>
    <n v="501063"/>
    <n v="49976"/>
    <x v="0"/>
    <x v="7"/>
    <d v="2026-01-29T00:00:00"/>
    <s v="23:03"/>
    <x v="74"/>
    <x v="1"/>
    <n v="60"/>
    <x v="9"/>
    <n v="1"/>
    <n v="0"/>
    <n v="0"/>
    <n v="0"/>
    <n v="0"/>
    <x v="1"/>
    <n v="1"/>
    <x v="0"/>
    <x v="0"/>
  </r>
  <r>
    <n v="501064"/>
    <n v="99805"/>
    <x v="1"/>
    <x v="6"/>
    <d v="2026-01-19T00:00:00"/>
    <s v="23:39"/>
    <x v="141"/>
    <x v="0"/>
    <n v="3"/>
    <x v="4"/>
    <n v="0"/>
    <n v="0"/>
    <n v="0"/>
    <n v="0"/>
    <n v="0"/>
    <x v="1"/>
    <n v="1"/>
    <x v="0"/>
    <x v="3"/>
  </r>
  <r>
    <n v="501065"/>
    <n v="13627"/>
    <x v="0"/>
    <x v="4"/>
    <d v="2025-12-30T00:00:00"/>
    <s v="04:10"/>
    <x v="22"/>
    <x v="0"/>
    <n v="30"/>
    <x v="6"/>
    <n v="0"/>
    <n v="0"/>
    <n v="0"/>
    <n v="0"/>
    <n v="0"/>
    <x v="1"/>
    <n v="1"/>
    <x v="0"/>
    <x v="1"/>
  </r>
  <r>
    <n v="501066"/>
    <n v="26682"/>
    <x v="1"/>
    <x v="0"/>
    <d v="2026-05-21T00:00:00"/>
    <s v="20:35"/>
    <x v="138"/>
    <x v="1"/>
    <n v="15"/>
    <x v="5"/>
    <n v="0"/>
    <n v="0"/>
    <n v="0"/>
    <n v="0"/>
    <n v="0"/>
    <x v="1"/>
    <n v="1"/>
    <x v="0"/>
    <x v="3"/>
  </r>
  <r>
    <n v="501067"/>
    <n v="77896"/>
    <x v="1"/>
    <x v="0"/>
    <d v="2026-05-02T00:00:00"/>
    <s v="11:46"/>
    <x v="105"/>
    <x v="6"/>
    <n v="12"/>
    <x v="6"/>
    <n v="0"/>
    <n v="0"/>
    <n v="0"/>
    <n v="0"/>
    <n v="0"/>
    <x v="1"/>
    <n v="0"/>
    <x v="0"/>
    <x v="3"/>
  </r>
  <r>
    <n v="501068"/>
    <n v="53710"/>
    <x v="0"/>
    <x v="7"/>
    <d v="2025-12-28T00:00:00"/>
    <s v="15:25"/>
    <x v="70"/>
    <x v="1"/>
    <n v="61"/>
    <x v="9"/>
    <n v="1"/>
    <n v="0"/>
    <n v="0"/>
    <n v="0"/>
    <n v="0"/>
    <x v="1"/>
    <n v="1"/>
    <x v="0"/>
    <x v="2"/>
  </r>
  <r>
    <n v="501069"/>
    <n v="77667"/>
    <x v="0"/>
    <x v="6"/>
    <d v="2026-04-18T00:00:00"/>
    <s v="21:33"/>
    <x v="116"/>
    <x v="6"/>
    <n v="28"/>
    <x v="2"/>
    <n v="0"/>
    <n v="0"/>
    <n v="0"/>
    <n v="0"/>
    <n v="0"/>
    <x v="1"/>
    <n v="1"/>
    <x v="0"/>
    <x v="1"/>
  </r>
  <r>
    <n v="501070"/>
    <n v="10845"/>
    <x v="1"/>
    <x v="1"/>
    <d v="2026-01-18T00:00:00"/>
    <s v="16:26"/>
    <x v="65"/>
    <x v="3"/>
    <n v="44"/>
    <x v="6"/>
    <n v="0"/>
    <n v="0"/>
    <n v="1"/>
    <n v="0"/>
    <n v="0"/>
    <x v="0"/>
    <n v="1"/>
    <x v="0"/>
    <x v="0"/>
  </r>
  <r>
    <n v="501071"/>
    <n v="72094"/>
    <x v="0"/>
    <x v="6"/>
    <d v="2026-02-16T00:00:00"/>
    <s v="22:00"/>
    <x v="165"/>
    <x v="4"/>
    <n v="37"/>
    <x v="5"/>
    <n v="0"/>
    <n v="0"/>
    <n v="0"/>
    <n v="0"/>
    <n v="0"/>
    <x v="1"/>
    <n v="1"/>
    <x v="0"/>
    <x v="1"/>
  </r>
  <r>
    <n v="501072"/>
    <n v="40792"/>
    <x v="1"/>
    <x v="6"/>
    <d v="2026-03-03T00:00:00"/>
    <s v="20:55"/>
    <x v="143"/>
    <x v="4"/>
    <n v="47"/>
    <x v="9"/>
    <n v="0"/>
    <n v="0"/>
    <n v="0"/>
    <n v="0"/>
    <n v="0"/>
    <x v="1"/>
    <n v="1"/>
    <x v="1"/>
    <x v="0"/>
  </r>
  <r>
    <n v="501073"/>
    <n v="81654"/>
    <x v="0"/>
    <x v="6"/>
    <d v="2026-01-08T00:00:00"/>
    <s v="12:35"/>
    <x v="109"/>
    <x v="1"/>
    <n v="39"/>
    <x v="3"/>
    <n v="1"/>
    <n v="0"/>
    <n v="0"/>
    <n v="0"/>
    <n v="0"/>
    <x v="1"/>
    <n v="1"/>
    <x v="0"/>
    <x v="1"/>
  </r>
  <r>
    <n v="501074"/>
    <n v="46068"/>
    <x v="1"/>
    <x v="4"/>
    <d v="2026-05-07T00:00:00"/>
    <s v="19:23"/>
    <x v="190"/>
    <x v="2"/>
    <n v="12"/>
    <x v="6"/>
    <n v="0"/>
    <n v="0"/>
    <n v="0"/>
    <n v="0"/>
    <n v="0"/>
    <x v="1"/>
    <n v="0"/>
    <x v="1"/>
    <x v="3"/>
  </r>
  <r>
    <n v="501075"/>
    <n v="47148"/>
    <x v="1"/>
    <x v="5"/>
    <d v="2026-01-17T00:00:00"/>
    <s v="09:17"/>
    <x v="54"/>
    <x v="6"/>
    <n v="57"/>
    <x v="9"/>
    <n v="1"/>
    <n v="1"/>
    <n v="0"/>
    <n v="0"/>
    <n v="0"/>
    <x v="0"/>
    <n v="1"/>
    <x v="0"/>
    <x v="0"/>
  </r>
  <r>
    <n v="501076"/>
    <n v="28258"/>
    <x v="1"/>
    <x v="6"/>
    <d v="2026-02-28T00:00:00"/>
    <s v="12:19"/>
    <x v="131"/>
    <x v="2"/>
    <n v="28"/>
    <x v="0"/>
    <n v="0"/>
    <n v="0"/>
    <n v="0"/>
    <n v="0"/>
    <n v="0"/>
    <x v="1"/>
    <n v="0"/>
    <x v="0"/>
    <x v="1"/>
  </r>
  <r>
    <n v="501077"/>
    <n v="55722"/>
    <x v="1"/>
    <x v="5"/>
    <d v="2026-03-29T00:00:00"/>
    <s v="14:02"/>
    <x v="68"/>
    <x v="5"/>
    <n v="6"/>
    <x v="2"/>
    <n v="0"/>
    <n v="0"/>
    <n v="0"/>
    <n v="0"/>
    <n v="0"/>
    <x v="1"/>
    <n v="1"/>
    <x v="0"/>
    <x v="3"/>
  </r>
  <r>
    <n v="501078"/>
    <n v="54471"/>
    <x v="1"/>
    <x v="3"/>
    <d v="2026-05-13T00:00:00"/>
    <s v="08:36"/>
    <x v="10"/>
    <x v="4"/>
    <n v="29"/>
    <x v="0"/>
    <n v="1"/>
    <n v="0"/>
    <n v="0"/>
    <n v="0"/>
    <n v="0"/>
    <x v="1"/>
    <n v="0"/>
    <x v="0"/>
    <x v="1"/>
  </r>
  <r>
    <n v="501079"/>
    <n v="71833"/>
    <x v="0"/>
    <x v="7"/>
    <d v="2026-02-25T00:00:00"/>
    <s v="20:17"/>
    <x v="151"/>
    <x v="4"/>
    <n v="68"/>
    <x v="2"/>
    <n v="1"/>
    <n v="0"/>
    <n v="0"/>
    <n v="0"/>
    <n v="0"/>
    <x v="1"/>
    <n v="1"/>
    <x v="0"/>
    <x v="2"/>
  </r>
  <r>
    <n v="501080"/>
    <n v="40369"/>
    <x v="0"/>
    <x v="5"/>
    <d v="2026-02-28T00:00:00"/>
    <s v="11:16"/>
    <x v="41"/>
    <x v="1"/>
    <n v="55"/>
    <x v="3"/>
    <n v="1"/>
    <n v="1"/>
    <n v="0"/>
    <n v="0"/>
    <n v="0"/>
    <x v="0"/>
    <n v="0"/>
    <x v="1"/>
    <x v="0"/>
  </r>
  <r>
    <n v="501081"/>
    <n v="32806"/>
    <x v="1"/>
    <x v="4"/>
    <d v="2026-02-22T00:00:00"/>
    <s v="15:05"/>
    <x v="92"/>
    <x v="3"/>
    <n v="31"/>
    <x v="6"/>
    <n v="0"/>
    <n v="0"/>
    <n v="0"/>
    <n v="0"/>
    <n v="0"/>
    <x v="1"/>
    <n v="0"/>
    <x v="1"/>
    <x v="1"/>
  </r>
  <r>
    <n v="501082"/>
    <n v="59063"/>
    <x v="0"/>
    <x v="3"/>
    <d v="2026-04-15T00:00:00"/>
    <s v="14:33"/>
    <x v="171"/>
    <x v="6"/>
    <n v="31"/>
    <x v="4"/>
    <n v="0"/>
    <n v="0"/>
    <n v="0"/>
    <n v="0"/>
    <n v="0"/>
    <x v="1"/>
    <n v="0"/>
    <x v="0"/>
    <x v="1"/>
  </r>
  <r>
    <n v="501083"/>
    <n v="36179"/>
    <x v="0"/>
    <x v="7"/>
    <d v="2025-12-17T00:00:00"/>
    <s v="15:58"/>
    <x v="169"/>
    <x v="1"/>
    <n v="31"/>
    <x v="3"/>
    <n v="1"/>
    <n v="0"/>
    <n v="0"/>
    <n v="0"/>
    <n v="0"/>
    <x v="1"/>
    <n v="0"/>
    <x v="0"/>
    <x v="1"/>
  </r>
  <r>
    <n v="501084"/>
    <n v="79275"/>
    <x v="0"/>
    <x v="5"/>
    <d v="2025-12-27T00:00:00"/>
    <s v="23:55"/>
    <x v="11"/>
    <x v="1"/>
    <n v="79"/>
    <x v="9"/>
    <n v="0"/>
    <n v="0"/>
    <n v="0"/>
    <n v="0"/>
    <n v="0"/>
    <x v="1"/>
    <n v="1"/>
    <x v="0"/>
    <x v="2"/>
  </r>
  <r>
    <n v="501085"/>
    <n v="81641"/>
    <x v="0"/>
    <x v="2"/>
    <d v="2026-04-01T00:00:00"/>
    <s v="04:30"/>
    <x v="139"/>
    <x v="0"/>
    <n v="45"/>
    <x v="2"/>
    <n v="1"/>
    <n v="0"/>
    <n v="1"/>
    <n v="0"/>
    <n v="0"/>
    <x v="0"/>
    <n v="1"/>
    <x v="0"/>
    <x v="0"/>
  </r>
  <r>
    <n v="501086"/>
    <n v="83229"/>
    <x v="0"/>
    <x v="5"/>
    <d v="2026-05-16T00:00:00"/>
    <s v="12:05"/>
    <x v="32"/>
    <x v="5"/>
    <n v="46"/>
    <x v="3"/>
    <n v="1"/>
    <n v="0"/>
    <n v="0"/>
    <n v="0"/>
    <n v="0"/>
    <x v="1"/>
    <n v="1"/>
    <x v="1"/>
    <x v="0"/>
  </r>
  <r>
    <n v="501087"/>
    <n v="75367"/>
    <x v="0"/>
    <x v="0"/>
    <d v="2026-01-28T00:00:00"/>
    <s v="03:16"/>
    <x v="146"/>
    <x v="6"/>
    <n v="58"/>
    <x v="9"/>
    <n v="1"/>
    <n v="1"/>
    <n v="0"/>
    <n v="0"/>
    <n v="0"/>
    <x v="0"/>
    <n v="1"/>
    <x v="0"/>
    <x v="0"/>
  </r>
  <r>
    <n v="501088"/>
    <n v="30691"/>
    <x v="1"/>
    <x v="5"/>
    <d v="2026-04-26T00:00:00"/>
    <s v="01:58"/>
    <x v="157"/>
    <x v="1"/>
    <n v="42"/>
    <x v="8"/>
    <n v="0"/>
    <n v="0"/>
    <n v="0"/>
    <n v="0"/>
    <n v="0"/>
    <x v="1"/>
    <n v="1"/>
    <x v="1"/>
    <x v="0"/>
  </r>
  <r>
    <n v="501089"/>
    <n v="24532"/>
    <x v="1"/>
    <x v="7"/>
    <d v="2026-01-15T00:00:00"/>
    <s v="09:58"/>
    <x v="94"/>
    <x v="6"/>
    <n v="32"/>
    <x v="7"/>
    <n v="0"/>
    <n v="0"/>
    <n v="0"/>
    <n v="0"/>
    <n v="0"/>
    <x v="1"/>
    <n v="1"/>
    <x v="0"/>
    <x v="1"/>
  </r>
  <r>
    <n v="501090"/>
    <n v="28256"/>
    <x v="0"/>
    <x v="2"/>
    <d v="2026-03-05T00:00:00"/>
    <s v="03:21"/>
    <x v="41"/>
    <x v="1"/>
    <n v="34"/>
    <x v="7"/>
    <n v="0"/>
    <n v="0"/>
    <n v="0"/>
    <n v="0"/>
    <n v="0"/>
    <x v="1"/>
    <n v="1"/>
    <x v="0"/>
    <x v="1"/>
  </r>
  <r>
    <n v="501091"/>
    <n v="14634"/>
    <x v="1"/>
    <x v="5"/>
    <d v="2026-02-17T00:00:00"/>
    <s v="23:12"/>
    <x v="28"/>
    <x v="5"/>
    <n v="36"/>
    <x v="5"/>
    <n v="0"/>
    <n v="0"/>
    <n v="0"/>
    <n v="0"/>
    <n v="0"/>
    <x v="1"/>
    <n v="1"/>
    <x v="0"/>
    <x v="1"/>
  </r>
  <r>
    <n v="501092"/>
    <n v="23639"/>
    <x v="0"/>
    <x v="6"/>
    <d v="2026-04-09T00:00:00"/>
    <s v="20:23"/>
    <x v="90"/>
    <x v="5"/>
    <n v="37"/>
    <x v="8"/>
    <n v="0"/>
    <n v="0"/>
    <n v="0"/>
    <n v="0"/>
    <n v="0"/>
    <x v="1"/>
    <n v="1"/>
    <x v="0"/>
    <x v="1"/>
  </r>
  <r>
    <n v="501093"/>
    <n v="39852"/>
    <x v="0"/>
    <x v="0"/>
    <d v="2026-04-01T00:00:00"/>
    <s v="07:09"/>
    <x v="160"/>
    <x v="6"/>
    <n v="52"/>
    <x v="7"/>
    <n v="0"/>
    <n v="0"/>
    <n v="0"/>
    <n v="0"/>
    <n v="0"/>
    <x v="1"/>
    <n v="1"/>
    <x v="1"/>
    <x v="0"/>
  </r>
  <r>
    <n v="501094"/>
    <n v="59444"/>
    <x v="0"/>
    <x v="4"/>
    <d v="2026-02-06T00:00:00"/>
    <s v="03:50"/>
    <x v="47"/>
    <x v="6"/>
    <n v="39"/>
    <x v="5"/>
    <n v="0"/>
    <n v="0"/>
    <n v="0"/>
    <n v="0"/>
    <n v="0"/>
    <x v="1"/>
    <n v="1"/>
    <x v="0"/>
    <x v="1"/>
  </r>
  <r>
    <n v="501095"/>
    <n v="56109"/>
    <x v="0"/>
    <x v="2"/>
    <d v="2026-01-06T00:00:00"/>
    <s v="11:56"/>
    <x v="109"/>
    <x v="1"/>
    <n v="52"/>
    <x v="5"/>
    <n v="0"/>
    <n v="1"/>
    <n v="1"/>
    <n v="1"/>
    <n v="0"/>
    <x v="0"/>
    <n v="0"/>
    <x v="0"/>
    <x v="0"/>
  </r>
  <r>
    <n v="501096"/>
    <n v="80283"/>
    <x v="0"/>
    <x v="0"/>
    <d v="2026-03-10T00:00:00"/>
    <s v="23:12"/>
    <x v="112"/>
    <x v="4"/>
    <n v="36"/>
    <x v="1"/>
    <n v="0"/>
    <n v="0"/>
    <n v="0"/>
    <n v="1"/>
    <n v="0"/>
    <x v="1"/>
    <n v="1"/>
    <x v="1"/>
    <x v="1"/>
  </r>
  <r>
    <n v="501097"/>
    <n v="55831"/>
    <x v="0"/>
    <x v="7"/>
    <d v="2026-03-29T00:00:00"/>
    <s v="00:44"/>
    <x v="153"/>
    <x v="3"/>
    <n v="39"/>
    <x v="2"/>
    <n v="1"/>
    <n v="0"/>
    <n v="0"/>
    <n v="0"/>
    <n v="0"/>
    <x v="1"/>
    <n v="1"/>
    <x v="0"/>
    <x v="1"/>
  </r>
  <r>
    <n v="501098"/>
    <n v="81256"/>
    <x v="0"/>
    <x v="6"/>
    <d v="2026-02-01T00:00:00"/>
    <s v="11:56"/>
    <x v="95"/>
    <x v="6"/>
    <n v="0"/>
    <x v="4"/>
    <n v="0"/>
    <n v="0"/>
    <n v="0"/>
    <n v="0"/>
    <n v="0"/>
    <x v="1"/>
    <n v="0"/>
    <x v="1"/>
    <x v="3"/>
  </r>
  <r>
    <n v="501099"/>
    <n v="49677"/>
    <x v="1"/>
    <x v="7"/>
    <d v="2026-05-13T00:00:00"/>
    <s v="13:21"/>
    <x v="55"/>
    <x v="6"/>
    <n v="56"/>
    <x v="1"/>
    <n v="1"/>
    <n v="1"/>
    <n v="0"/>
    <n v="0"/>
    <n v="0"/>
    <x v="0"/>
    <n v="0"/>
    <x v="0"/>
    <x v="0"/>
  </r>
  <r>
    <n v="501100"/>
    <n v="20282"/>
    <x v="0"/>
    <x v="3"/>
    <d v="2025-12-22T00:00:00"/>
    <s v="01:11"/>
    <x v="140"/>
    <x v="2"/>
    <n v="44"/>
    <x v="8"/>
    <n v="0"/>
    <n v="0"/>
    <n v="0"/>
    <n v="0"/>
    <n v="0"/>
    <x v="1"/>
    <n v="0"/>
    <x v="0"/>
    <x v="0"/>
  </r>
  <r>
    <n v="501101"/>
    <n v="14701"/>
    <x v="0"/>
    <x v="6"/>
    <d v="2026-03-22T00:00:00"/>
    <s v="12:00"/>
    <x v="15"/>
    <x v="2"/>
    <n v="57"/>
    <x v="3"/>
    <n v="0"/>
    <n v="1"/>
    <n v="0"/>
    <n v="0"/>
    <n v="0"/>
    <x v="0"/>
    <n v="0"/>
    <x v="1"/>
    <x v="0"/>
  </r>
  <r>
    <n v="501102"/>
    <n v="89920"/>
    <x v="1"/>
    <x v="6"/>
    <d v="2025-12-08T00:00:00"/>
    <s v="06:00"/>
    <x v="140"/>
    <x v="2"/>
    <n v="0"/>
    <x v="7"/>
    <n v="0"/>
    <n v="0"/>
    <n v="0"/>
    <n v="0"/>
    <n v="0"/>
    <x v="1"/>
    <n v="1"/>
    <x v="1"/>
    <x v="3"/>
  </r>
  <r>
    <n v="501103"/>
    <n v="36965"/>
    <x v="1"/>
    <x v="3"/>
    <d v="2026-05-11T00:00:00"/>
    <s v="07:48"/>
    <x v="142"/>
    <x v="5"/>
    <n v="79"/>
    <x v="5"/>
    <n v="0"/>
    <n v="0"/>
    <n v="1"/>
    <n v="0"/>
    <n v="0"/>
    <x v="0"/>
    <n v="0"/>
    <x v="1"/>
    <x v="2"/>
  </r>
  <r>
    <n v="501104"/>
    <n v="44410"/>
    <x v="0"/>
    <x v="0"/>
    <d v="2026-01-12T00:00:00"/>
    <s v="10:59"/>
    <x v="187"/>
    <x v="2"/>
    <n v="35"/>
    <x v="4"/>
    <n v="1"/>
    <n v="0"/>
    <n v="0"/>
    <n v="0"/>
    <n v="0"/>
    <x v="1"/>
    <n v="0"/>
    <x v="0"/>
    <x v="1"/>
  </r>
  <r>
    <n v="501105"/>
    <n v="24314"/>
    <x v="1"/>
    <x v="7"/>
    <d v="2026-02-25T00:00:00"/>
    <s v="10:16"/>
    <x v="58"/>
    <x v="1"/>
    <n v="60"/>
    <x v="8"/>
    <n v="1"/>
    <n v="0"/>
    <n v="0"/>
    <n v="0"/>
    <n v="0"/>
    <x v="1"/>
    <n v="1"/>
    <x v="0"/>
    <x v="0"/>
  </r>
  <r>
    <n v="501106"/>
    <n v="41224"/>
    <x v="0"/>
    <x v="0"/>
    <d v="2026-04-25T00:00:00"/>
    <s v="01:46"/>
    <x v="132"/>
    <x v="5"/>
    <n v="17"/>
    <x v="0"/>
    <n v="0"/>
    <n v="0"/>
    <n v="0"/>
    <n v="0"/>
    <n v="0"/>
    <x v="1"/>
    <n v="0"/>
    <x v="1"/>
    <x v="3"/>
  </r>
  <r>
    <n v="501107"/>
    <n v="42759"/>
    <x v="1"/>
    <x v="2"/>
    <d v="2026-01-25T00:00:00"/>
    <s v="17:22"/>
    <x v="187"/>
    <x v="2"/>
    <n v="50"/>
    <x v="9"/>
    <n v="1"/>
    <n v="1"/>
    <n v="0"/>
    <n v="0"/>
    <n v="0"/>
    <x v="0"/>
    <n v="1"/>
    <x v="0"/>
    <x v="0"/>
  </r>
  <r>
    <n v="501108"/>
    <n v="11617"/>
    <x v="0"/>
    <x v="7"/>
    <d v="2026-02-15T00:00:00"/>
    <s v="15:12"/>
    <x v="28"/>
    <x v="5"/>
    <n v="16"/>
    <x v="9"/>
    <n v="0"/>
    <n v="0"/>
    <n v="0"/>
    <n v="0"/>
    <n v="0"/>
    <x v="1"/>
    <n v="0"/>
    <x v="0"/>
    <x v="3"/>
  </r>
  <r>
    <n v="501109"/>
    <n v="68170"/>
    <x v="1"/>
    <x v="0"/>
    <d v="2025-11-29T00:00:00"/>
    <s v="15:40"/>
    <x v="30"/>
    <x v="3"/>
    <n v="25"/>
    <x v="3"/>
    <n v="0"/>
    <n v="0"/>
    <n v="0"/>
    <n v="0"/>
    <n v="0"/>
    <x v="1"/>
    <n v="1"/>
    <x v="0"/>
    <x v="1"/>
  </r>
  <r>
    <n v="501110"/>
    <n v="38553"/>
    <x v="1"/>
    <x v="0"/>
    <d v="2026-05-02T00:00:00"/>
    <s v="06:23"/>
    <x v="18"/>
    <x v="5"/>
    <n v="76"/>
    <x v="9"/>
    <n v="0"/>
    <n v="1"/>
    <n v="0"/>
    <n v="0"/>
    <n v="0"/>
    <x v="0"/>
    <n v="0"/>
    <x v="0"/>
    <x v="2"/>
  </r>
  <r>
    <n v="501111"/>
    <n v="74871"/>
    <x v="0"/>
    <x v="1"/>
    <d v="2026-05-01T00:00:00"/>
    <s v="19:49"/>
    <x v="48"/>
    <x v="1"/>
    <n v="34"/>
    <x v="2"/>
    <n v="0"/>
    <n v="0"/>
    <n v="0"/>
    <n v="0"/>
    <n v="0"/>
    <x v="1"/>
    <n v="1"/>
    <x v="0"/>
    <x v="1"/>
  </r>
  <r>
    <n v="501112"/>
    <n v="34150"/>
    <x v="1"/>
    <x v="2"/>
    <d v="2026-01-10T00:00:00"/>
    <s v="03:53"/>
    <x v="51"/>
    <x v="3"/>
    <n v="42"/>
    <x v="7"/>
    <n v="0"/>
    <n v="0"/>
    <n v="1"/>
    <n v="0"/>
    <n v="0"/>
    <x v="0"/>
    <n v="1"/>
    <x v="0"/>
    <x v="0"/>
  </r>
  <r>
    <n v="501113"/>
    <n v="56312"/>
    <x v="0"/>
    <x v="1"/>
    <d v="2026-03-23T00:00:00"/>
    <s v="08:23"/>
    <x v="102"/>
    <x v="4"/>
    <n v="55"/>
    <x v="4"/>
    <n v="0"/>
    <n v="1"/>
    <n v="0"/>
    <n v="0"/>
    <n v="0"/>
    <x v="0"/>
    <n v="1"/>
    <x v="0"/>
    <x v="0"/>
  </r>
  <r>
    <n v="501114"/>
    <n v="99262"/>
    <x v="1"/>
    <x v="5"/>
    <d v="2025-12-16T00:00:00"/>
    <s v="20:27"/>
    <x v="169"/>
    <x v="1"/>
    <n v="47"/>
    <x v="5"/>
    <n v="1"/>
    <n v="1"/>
    <n v="0"/>
    <n v="0"/>
    <n v="0"/>
    <x v="0"/>
    <n v="1"/>
    <x v="0"/>
    <x v="0"/>
  </r>
  <r>
    <n v="501115"/>
    <n v="71693"/>
    <x v="1"/>
    <x v="0"/>
    <d v="2026-03-14T00:00:00"/>
    <s v="06:06"/>
    <x v="59"/>
    <x v="1"/>
    <n v="41"/>
    <x v="2"/>
    <n v="1"/>
    <n v="0"/>
    <n v="1"/>
    <n v="0"/>
    <n v="0"/>
    <x v="0"/>
    <n v="1"/>
    <x v="0"/>
    <x v="0"/>
  </r>
  <r>
    <n v="501116"/>
    <n v="51039"/>
    <x v="1"/>
    <x v="1"/>
    <d v="2026-03-06T00:00:00"/>
    <s v="08:26"/>
    <x v="83"/>
    <x v="3"/>
    <n v="45"/>
    <x v="5"/>
    <n v="0"/>
    <n v="0"/>
    <n v="0"/>
    <n v="0"/>
    <n v="0"/>
    <x v="1"/>
    <n v="1"/>
    <x v="0"/>
    <x v="0"/>
  </r>
  <r>
    <n v="501117"/>
    <n v="39436"/>
    <x v="1"/>
    <x v="5"/>
    <d v="2026-05-08T00:00:00"/>
    <s v="22:54"/>
    <x v="132"/>
    <x v="5"/>
    <n v="86"/>
    <x v="8"/>
    <n v="0"/>
    <n v="0"/>
    <n v="0"/>
    <n v="0"/>
    <n v="0"/>
    <x v="1"/>
    <n v="1"/>
    <x v="0"/>
    <x v="2"/>
  </r>
  <r>
    <n v="501118"/>
    <n v="53081"/>
    <x v="0"/>
    <x v="2"/>
    <d v="2026-04-26T00:00:00"/>
    <s v="19:33"/>
    <x v="166"/>
    <x v="2"/>
    <n v="36"/>
    <x v="1"/>
    <n v="1"/>
    <n v="0"/>
    <n v="0"/>
    <n v="0"/>
    <n v="0"/>
    <x v="1"/>
    <n v="1"/>
    <x v="0"/>
    <x v="1"/>
  </r>
  <r>
    <n v="501119"/>
    <n v="63729"/>
    <x v="1"/>
    <x v="5"/>
    <d v="2025-12-07T00:00:00"/>
    <s v="15:29"/>
    <x v="86"/>
    <x v="5"/>
    <n v="42"/>
    <x v="4"/>
    <n v="0"/>
    <n v="0"/>
    <n v="0"/>
    <n v="0"/>
    <n v="0"/>
    <x v="1"/>
    <n v="1"/>
    <x v="0"/>
    <x v="0"/>
  </r>
  <r>
    <n v="501120"/>
    <n v="84624"/>
    <x v="0"/>
    <x v="1"/>
    <d v="2026-01-04T00:00:00"/>
    <s v="03:03"/>
    <x v="123"/>
    <x v="4"/>
    <n v="59"/>
    <x v="5"/>
    <n v="0"/>
    <n v="0"/>
    <n v="0"/>
    <n v="0"/>
    <n v="0"/>
    <x v="1"/>
    <n v="1"/>
    <x v="0"/>
    <x v="0"/>
  </r>
  <r>
    <n v="501121"/>
    <n v="74775"/>
    <x v="0"/>
    <x v="3"/>
    <d v="2025-11-25T00:00:00"/>
    <s v="13:39"/>
    <x v="110"/>
    <x v="5"/>
    <n v="60"/>
    <x v="3"/>
    <n v="0"/>
    <n v="1"/>
    <n v="0"/>
    <n v="0"/>
    <n v="0"/>
    <x v="0"/>
    <n v="1"/>
    <x v="0"/>
    <x v="0"/>
  </r>
  <r>
    <n v="501122"/>
    <n v="66547"/>
    <x v="0"/>
    <x v="3"/>
    <d v="2026-04-19T00:00:00"/>
    <s v="02:16"/>
    <x v="29"/>
    <x v="3"/>
    <n v="61"/>
    <x v="6"/>
    <n v="0"/>
    <n v="0"/>
    <n v="0"/>
    <n v="0"/>
    <n v="0"/>
    <x v="1"/>
    <n v="1"/>
    <x v="0"/>
    <x v="2"/>
  </r>
  <r>
    <n v="501123"/>
    <n v="48455"/>
    <x v="0"/>
    <x v="2"/>
    <d v="2026-05-01T00:00:00"/>
    <s v="16:41"/>
    <x v="4"/>
    <x v="3"/>
    <n v="50"/>
    <x v="4"/>
    <n v="0"/>
    <n v="0"/>
    <n v="1"/>
    <n v="0"/>
    <n v="0"/>
    <x v="0"/>
    <n v="1"/>
    <x v="0"/>
    <x v="0"/>
  </r>
  <r>
    <n v="501124"/>
    <n v="68950"/>
    <x v="1"/>
    <x v="7"/>
    <d v="2026-02-12T00:00:00"/>
    <s v="03:49"/>
    <x v="28"/>
    <x v="5"/>
    <n v="15"/>
    <x v="3"/>
    <n v="0"/>
    <n v="0"/>
    <n v="0"/>
    <n v="0"/>
    <n v="0"/>
    <x v="1"/>
    <n v="0"/>
    <x v="0"/>
    <x v="3"/>
  </r>
  <r>
    <n v="501125"/>
    <n v="87274"/>
    <x v="0"/>
    <x v="3"/>
    <d v="2025-12-16T00:00:00"/>
    <s v="14:28"/>
    <x v="170"/>
    <x v="1"/>
    <n v="70"/>
    <x v="7"/>
    <n v="1"/>
    <n v="0"/>
    <n v="0"/>
    <n v="0"/>
    <n v="0"/>
    <x v="1"/>
    <n v="1"/>
    <x v="0"/>
    <x v="2"/>
  </r>
  <r>
    <n v="501126"/>
    <n v="40443"/>
    <x v="1"/>
    <x v="6"/>
    <d v="2025-12-29T00:00:00"/>
    <s v="23:27"/>
    <x v="30"/>
    <x v="3"/>
    <n v="15"/>
    <x v="4"/>
    <n v="0"/>
    <n v="0"/>
    <n v="0"/>
    <n v="0"/>
    <n v="0"/>
    <x v="1"/>
    <n v="1"/>
    <x v="0"/>
    <x v="3"/>
  </r>
  <r>
    <n v="501127"/>
    <n v="76614"/>
    <x v="1"/>
    <x v="7"/>
    <d v="2025-12-14T00:00:00"/>
    <s v="03:22"/>
    <x v="122"/>
    <x v="3"/>
    <n v="44"/>
    <x v="4"/>
    <n v="1"/>
    <n v="0"/>
    <n v="0"/>
    <n v="0"/>
    <n v="0"/>
    <x v="1"/>
    <n v="0"/>
    <x v="0"/>
    <x v="0"/>
  </r>
  <r>
    <n v="501128"/>
    <n v="37614"/>
    <x v="1"/>
    <x v="7"/>
    <d v="2026-02-28T00:00:00"/>
    <s v="13:56"/>
    <x v="61"/>
    <x v="3"/>
    <n v="22"/>
    <x v="9"/>
    <n v="1"/>
    <n v="0"/>
    <n v="0"/>
    <n v="0"/>
    <n v="0"/>
    <x v="1"/>
    <n v="1"/>
    <x v="0"/>
    <x v="1"/>
  </r>
  <r>
    <n v="501129"/>
    <n v="67529"/>
    <x v="0"/>
    <x v="3"/>
    <d v="2026-04-18T00:00:00"/>
    <s v="20:14"/>
    <x v="62"/>
    <x v="2"/>
    <n v="36"/>
    <x v="0"/>
    <n v="1"/>
    <n v="0"/>
    <n v="0"/>
    <n v="0"/>
    <n v="0"/>
    <x v="1"/>
    <n v="0"/>
    <x v="0"/>
    <x v="1"/>
  </r>
  <r>
    <n v="501130"/>
    <n v="28481"/>
    <x v="0"/>
    <x v="1"/>
    <d v="2026-04-29T00:00:00"/>
    <s v="20:12"/>
    <x v="181"/>
    <x v="1"/>
    <n v="44"/>
    <x v="8"/>
    <n v="0"/>
    <n v="0"/>
    <n v="1"/>
    <n v="0"/>
    <n v="0"/>
    <x v="0"/>
    <n v="1"/>
    <x v="0"/>
    <x v="0"/>
  </r>
  <r>
    <n v="501131"/>
    <n v="10873"/>
    <x v="1"/>
    <x v="0"/>
    <d v="2025-12-02T00:00:00"/>
    <s v="04:07"/>
    <x v="39"/>
    <x v="1"/>
    <n v="44"/>
    <x v="4"/>
    <n v="0"/>
    <n v="0"/>
    <n v="0"/>
    <n v="0"/>
    <n v="0"/>
    <x v="1"/>
    <n v="1"/>
    <x v="1"/>
    <x v="0"/>
  </r>
  <r>
    <n v="501132"/>
    <n v="69486"/>
    <x v="1"/>
    <x v="5"/>
    <d v="2026-03-23T00:00:00"/>
    <s v="07:40"/>
    <x v="15"/>
    <x v="2"/>
    <n v="46"/>
    <x v="6"/>
    <n v="1"/>
    <n v="0"/>
    <n v="0"/>
    <n v="0"/>
    <n v="0"/>
    <x v="1"/>
    <n v="1"/>
    <x v="0"/>
    <x v="0"/>
  </r>
  <r>
    <n v="501133"/>
    <n v="56362"/>
    <x v="0"/>
    <x v="1"/>
    <d v="2025-12-31T00:00:00"/>
    <s v="14:42"/>
    <x v="130"/>
    <x v="6"/>
    <n v="70"/>
    <x v="6"/>
    <n v="1"/>
    <n v="1"/>
    <n v="0"/>
    <n v="0"/>
    <n v="0"/>
    <x v="0"/>
    <n v="1"/>
    <x v="0"/>
    <x v="2"/>
  </r>
  <r>
    <n v="501134"/>
    <n v="15027"/>
    <x v="1"/>
    <x v="5"/>
    <d v="2026-01-27T00:00:00"/>
    <s v="15:55"/>
    <x v="120"/>
    <x v="2"/>
    <n v="47"/>
    <x v="8"/>
    <n v="1"/>
    <n v="1"/>
    <n v="0"/>
    <n v="0"/>
    <n v="0"/>
    <x v="0"/>
    <n v="0"/>
    <x v="0"/>
    <x v="0"/>
  </r>
  <r>
    <n v="501135"/>
    <n v="42232"/>
    <x v="0"/>
    <x v="4"/>
    <d v="2025-12-17T00:00:00"/>
    <s v="09:16"/>
    <x v="180"/>
    <x v="0"/>
    <n v="33"/>
    <x v="1"/>
    <n v="0"/>
    <n v="0"/>
    <n v="0"/>
    <n v="0"/>
    <n v="0"/>
    <x v="1"/>
    <n v="0"/>
    <x v="0"/>
    <x v="1"/>
  </r>
  <r>
    <n v="501136"/>
    <n v="47040"/>
    <x v="0"/>
    <x v="1"/>
    <d v="2026-01-10T00:00:00"/>
    <s v="02:39"/>
    <x v="60"/>
    <x v="5"/>
    <n v="57"/>
    <x v="6"/>
    <n v="0"/>
    <n v="1"/>
    <n v="1"/>
    <n v="0"/>
    <n v="0"/>
    <x v="0"/>
    <n v="1"/>
    <x v="0"/>
    <x v="0"/>
  </r>
  <r>
    <n v="501137"/>
    <n v="59845"/>
    <x v="0"/>
    <x v="2"/>
    <d v="2026-04-09T00:00:00"/>
    <s v="18:53"/>
    <x v="147"/>
    <x v="2"/>
    <n v="61"/>
    <x v="3"/>
    <n v="0"/>
    <n v="0"/>
    <n v="0"/>
    <n v="0"/>
    <n v="0"/>
    <x v="1"/>
    <n v="1"/>
    <x v="0"/>
    <x v="2"/>
  </r>
  <r>
    <n v="501138"/>
    <n v="81226"/>
    <x v="1"/>
    <x v="7"/>
    <d v="2026-02-02T00:00:00"/>
    <s v="05:49"/>
    <x v="33"/>
    <x v="4"/>
    <n v="13"/>
    <x v="6"/>
    <n v="0"/>
    <n v="0"/>
    <n v="0"/>
    <n v="0"/>
    <n v="0"/>
    <x v="1"/>
    <n v="0"/>
    <x v="0"/>
    <x v="3"/>
  </r>
  <r>
    <n v="501139"/>
    <n v="47653"/>
    <x v="1"/>
    <x v="6"/>
    <d v="2026-03-18T00:00:00"/>
    <s v="02:24"/>
    <x v="71"/>
    <x v="6"/>
    <n v="49"/>
    <x v="4"/>
    <n v="0"/>
    <n v="0"/>
    <n v="1"/>
    <n v="0"/>
    <n v="0"/>
    <x v="0"/>
    <n v="1"/>
    <x v="0"/>
    <x v="0"/>
  </r>
  <r>
    <n v="501140"/>
    <n v="26784"/>
    <x v="1"/>
    <x v="6"/>
    <d v="2026-03-22T00:00:00"/>
    <s v="22:01"/>
    <x v="15"/>
    <x v="2"/>
    <n v="52"/>
    <x v="9"/>
    <n v="1"/>
    <n v="0"/>
    <n v="1"/>
    <n v="0"/>
    <n v="0"/>
    <x v="0"/>
    <n v="0"/>
    <x v="0"/>
    <x v="0"/>
  </r>
  <r>
    <n v="501141"/>
    <n v="83696"/>
    <x v="1"/>
    <x v="7"/>
    <d v="2026-01-02T00:00:00"/>
    <s v="05:54"/>
    <x v="84"/>
    <x v="3"/>
    <n v="32"/>
    <x v="4"/>
    <n v="1"/>
    <n v="0"/>
    <n v="0"/>
    <n v="0"/>
    <n v="0"/>
    <x v="1"/>
    <n v="1"/>
    <x v="0"/>
    <x v="1"/>
  </r>
  <r>
    <n v="501142"/>
    <n v="45168"/>
    <x v="1"/>
    <x v="1"/>
    <d v="2026-02-18T00:00:00"/>
    <s v="09:43"/>
    <x v="21"/>
    <x v="1"/>
    <n v="65"/>
    <x v="4"/>
    <n v="0"/>
    <n v="1"/>
    <n v="0"/>
    <n v="0"/>
    <n v="0"/>
    <x v="0"/>
    <n v="1"/>
    <x v="0"/>
    <x v="2"/>
  </r>
  <r>
    <n v="501143"/>
    <n v="90386"/>
    <x v="1"/>
    <x v="3"/>
    <d v="2026-02-08T00:00:00"/>
    <s v="04:12"/>
    <x v="154"/>
    <x v="5"/>
    <n v="34"/>
    <x v="9"/>
    <n v="0"/>
    <n v="0"/>
    <n v="0"/>
    <n v="0"/>
    <n v="0"/>
    <x v="1"/>
    <n v="1"/>
    <x v="0"/>
    <x v="1"/>
  </r>
  <r>
    <n v="501144"/>
    <n v="53684"/>
    <x v="1"/>
    <x v="5"/>
    <d v="2026-01-20T00:00:00"/>
    <s v="15:45"/>
    <x v="141"/>
    <x v="0"/>
    <n v="40"/>
    <x v="7"/>
    <n v="0"/>
    <n v="0"/>
    <n v="0"/>
    <n v="0"/>
    <n v="0"/>
    <x v="1"/>
    <n v="1"/>
    <x v="0"/>
    <x v="1"/>
  </r>
  <r>
    <n v="501145"/>
    <n v="40059"/>
    <x v="1"/>
    <x v="3"/>
    <d v="2026-01-23T00:00:00"/>
    <s v="02:27"/>
    <x v="81"/>
    <x v="4"/>
    <n v="34"/>
    <x v="4"/>
    <n v="1"/>
    <n v="0"/>
    <n v="0"/>
    <n v="0"/>
    <n v="0"/>
    <x v="1"/>
    <n v="1"/>
    <x v="1"/>
    <x v="1"/>
  </r>
  <r>
    <n v="501146"/>
    <n v="12625"/>
    <x v="0"/>
    <x v="4"/>
    <d v="2025-12-16T00:00:00"/>
    <s v="07:26"/>
    <x v="180"/>
    <x v="0"/>
    <n v="38"/>
    <x v="3"/>
    <n v="0"/>
    <n v="0"/>
    <n v="0"/>
    <n v="0"/>
    <n v="0"/>
    <x v="1"/>
    <n v="1"/>
    <x v="0"/>
    <x v="1"/>
  </r>
  <r>
    <n v="501147"/>
    <n v="42415"/>
    <x v="0"/>
    <x v="7"/>
    <d v="2025-12-07T00:00:00"/>
    <s v="10:45"/>
    <x v="129"/>
    <x v="3"/>
    <n v="16"/>
    <x v="6"/>
    <n v="0"/>
    <n v="0"/>
    <n v="0"/>
    <n v="0"/>
    <n v="0"/>
    <x v="1"/>
    <n v="1"/>
    <x v="0"/>
    <x v="3"/>
  </r>
  <r>
    <n v="501148"/>
    <n v="45389"/>
    <x v="0"/>
    <x v="5"/>
    <d v="2026-02-11T00:00:00"/>
    <s v="19:54"/>
    <x v="56"/>
    <x v="3"/>
    <n v="9"/>
    <x v="6"/>
    <n v="0"/>
    <n v="0"/>
    <n v="0"/>
    <n v="0"/>
    <n v="0"/>
    <x v="1"/>
    <n v="1"/>
    <x v="0"/>
    <x v="3"/>
  </r>
  <r>
    <n v="501149"/>
    <n v="12641"/>
    <x v="0"/>
    <x v="3"/>
    <d v="2026-05-02T00:00:00"/>
    <s v="04:28"/>
    <x v="133"/>
    <x v="0"/>
    <n v="69"/>
    <x v="6"/>
    <n v="1"/>
    <n v="1"/>
    <n v="0"/>
    <n v="0"/>
    <n v="0"/>
    <x v="0"/>
    <n v="1"/>
    <x v="0"/>
    <x v="2"/>
  </r>
  <r>
    <n v="501150"/>
    <n v="36563"/>
    <x v="0"/>
    <x v="7"/>
    <d v="2026-05-09T00:00:00"/>
    <s v="20:25"/>
    <x v="190"/>
    <x v="2"/>
    <n v="21"/>
    <x v="9"/>
    <n v="1"/>
    <n v="0"/>
    <n v="0"/>
    <n v="0"/>
    <n v="0"/>
    <x v="1"/>
    <n v="1"/>
    <x v="0"/>
    <x v="1"/>
  </r>
  <r>
    <n v="501151"/>
    <n v="46511"/>
    <x v="1"/>
    <x v="7"/>
    <d v="2025-12-11T00:00:00"/>
    <s v="00:56"/>
    <x v="118"/>
    <x v="2"/>
    <n v="18"/>
    <x v="8"/>
    <n v="0"/>
    <n v="0"/>
    <n v="0"/>
    <n v="0"/>
    <n v="0"/>
    <x v="1"/>
    <n v="1"/>
    <x v="0"/>
    <x v="3"/>
  </r>
  <r>
    <n v="501152"/>
    <n v="61595"/>
    <x v="1"/>
    <x v="5"/>
    <d v="2026-04-19T00:00:00"/>
    <s v="09:40"/>
    <x v="31"/>
    <x v="2"/>
    <n v="0"/>
    <x v="3"/>
    <n v="0"/>
    <n v="0"/>
    <n v="0"/>
    <n v="0"/>
    <n v="0"/>
    <x v="1"/>
    <n v="0"/>
    <x v="0"/>
    <x v="3"/>
  </r>
  <r>
    <n v="501153"/>
    <n v="40423"/>
    <x v="1"/>
    <x v="2"/>
    <d v="2026-03-01T00:00:00"/>
    <s v="21:42"/>
    <x v="72"/>
    <x v="4"/>
    <n v="25"/>
    <x v="3"/>
    <n v="0"/>
    <n v="0"/>
    <n v="0"/>
    <n v="0"/>
    <n v="0"/>
    <x v="1"/>
    <n v="0"/>
    <x v="0"/>
    <x v="1"/>
  </r>
  <r>
    <n v="501154"/>
    <n v="22502"/>
    <x v="0"/>
    <x v="1"/>
    <d v="2026-01-01T00:00:00"/>
    <s v="03:11"/>
    <x v="75"/>
    <x v="0"/>
    <n v="11"/>
    <x v="3"/>
    <n v="0"/>
    <n v="0"/>
    <n v="0"/>
    <n v="0"/>
    <n v="0"/>
    <x v="1"/>
    <n v="1"/>
    <x v="0"/>
    <x v="3"/>
  </r>
  <r>
    <n v="501155"/>
    <n v="72064"/>
    <x v="0"/>
    <x v="0"/>
    <d v="2026-01-03T00:00:00"/>
    <s v="21:10"/>
    <x v="98"/>
    <x v="2"/>
    <n v="70"/>
    <x v="3"/>
    <n v="1"/>
    <n v="0"/>
    <n v="0"/>
    <n v="0"/>
    <n v="1"/>
    <x v="1"/>
    <n v="1"/>
    <x v="0"/>
    <x v="2"/>
  </r>
  <r>
    <n v="501156"/>
    <n v="45146"/>
    <x v="0"/>
    <x v="6"/>
    <d v="2025-12-06T00:00:00"/>
    <s v="11:30"/>
    <x v="114"/>
    <x v="0"/>
    <n v="58"/>
    <x v="8"/>
    <n v="1"/>
    <n v="1"/>
    <n v="0"/>
    <n v="0"/>
    <n v="0"/>
    <x v="0"/>
    <n v="0"/>
    <x v="0"/>
    <x v="0"/>
  </r>
  <r>
    <n v="501157"/>
    <n v="20673"/>
    <x v="0"/>
    <x v="4"/>
    <d v="2026-05-12T00:00:00"/>
    <s v="09:27"/>
    <x v="190"/>
    <x v="2"/>
    <n v="24"/>
    <x v="6"/>
    <n v="1"/>
    <n v="0"/>
    <n v="0"/>
    <n v="0"/>
    <n v="0"/>
    <x v="1"/>
    <n v="1"/>
    <x v="1"/>
    <x v="1"/>
  </r>
  <r>
    <n v="501158"/>
    <n v="35869"/>
    <x v="1"/>
    <x v="5"/>
    <d v="2026-02-05T00:00:00"/>
    <s v="16:05"/>
    <x v="151"/>
    <x v="4"/>
    <n v="83"/>
    <x v="7"/>
    <n v="1"/>
    <n v="0"/>
    <n v="0"/>
    <n v="0"/>
    <n v="0"/>
    <x v="1"/>
    <n v="1"/>
    <x v="1"/>
    <x v="2"/>
  </r>
  <r>
    <n v="501159"/>
    <n v="25411"/>
    <x v="1"/>
    <x v="7"/>
    <d v="2026-01-18T00:00:00"/>
    <s v="19:22"/>
    <x v="5"/>
    <x v="1"/>
    <n v="57"/>
    <x v="0"/>
    <n v="1"/>
    <n v="0"/>
    <n v="0"/>
    <n v="0"/>
    <n v="0"/>
    <x v="1"/>
    <n v="1"/>
    <x v="0"/>
    <x v="0"/>
  </r>
  <r>
    <n v="501160"/>
    <n v="58660"/>
    <x v="1"/>
    <x v="6"/>
    <d v="2026-05-20T00:00:00"/>
    <s v="17:20"/>
    <x v="194"/>
    <x v="2"/>
    <n v="31"/>
    <x v="3"/>
    <n v="0"/>
    <n v="0"/>
    <n v="0"/>
    <n v="0"/>
    <n v="0"/>
    <x v="1"/>
    <n v="0"/>
    <x v="0"/>
    <x v="1"/>
  </r>
  <r>
    <n v="501161"/>
    <n v="27739"/>
    <x v="0"/>
    <x v="6"/>
    <d v="2026-03-10T00:00:00"/>
    <s v="20:05"/>
    <x v="111"/>
    <x v="1"/>
    <n v="0"/>
    <x v="7"/>
    <n v="0"/>
    <n v="0"/>
    <n v="0"/>
    <n v="0"/>
    <n v="0"/>
    <x v="1"/>
    <n v="1"/>
    <x v="0"/>
    <x v="3"/>
  </r>
  <r>
    <n v="501162"/>
    <n v="10734"/>
    <x v="1"/>
    <x v="1"/>
    <d v="2026-05-13T00:00:00"/>
    <s v="14:35"/>
    <x v="124"/>
    <x v="0"/>
    <n v="83"/>
    <x v="1"/>
    <n v="0"/>
    <n v="0"/>
    <n v="0"/>
    <n v="1"/>
    <n v="0"/>
    <x v="1"/>
    <n v="1"/>
    <x v="0"/>
    <x v="2"/>
  </r>
  <r>
    <n v="501163"/>
    <n v="39626"/>
    <x v="1"/>
    <x v="0"/>
    <d v="2025-12-30T00:00:00"/>
    <s v="19:26"/>
    <x v="22"/>
    <x v="0"/>
    <n v="10"/>
    <x v="1"/>
    <n v="0"/>
    <n v="0"/>
    <n v="0"/>
    <n v="0"/>
    <n v="0"/>
    <x v="1"/>
    <n v="0"/>
    <x v="0"/>
    <x v="3"/>
  </r>
  <r>
    <n v="501164"/>
    <n v="86607"/>
    <x v="1"/>
    <x v="2"/>
    <d v="2025-12-10T00:00:00"/>
    <s v="01:27"/>
    <x v="67"/>
    <x v="6"/>
    <n v="5"/>
    <x v="9"/>
    <n v="0"/>
    <n v="0"/>
    <n v="0"/>
    <n v="0"/>
    <n v="0"/>
    <x v="1"/>
    <n v="0"/>
    <x v="0"/>
    <x v="3"/>
  </r>
  <r>
    <n v="501165"/>
    <n v="94095"/>
    <x v="0"/>
    <x v="5"/>
    <d v="2026-02-14T00:00:00"/>
    <s v="02:18"/>
    <x v="115"/>
    <x v="5"/>
    <n v="58"/>
    <x v="9"/>
    <n v="0"/>
    <n v="1"/>
    <n v="1"/>
    <n v="0"/>
    <n v="0"/>
    <x v="0"/>
    <n v="1"/>
    <x v="0"/>
    <x v="0"/>
  </r>
  <r>
    <n v="501166"/>
    <n v="60193"/>
    <x v="1"/>
    <x v="7"/>
    <d v="2026-02-19T00:00:00"/>
    <s v="10:33"/>
    <x v="112"/>
    <x v="4"/>
    <n v="86"/>
    <x v="9"/>
    <n v="1"/>
    <n v="1"/>
    <n v="1"/>
    <n v="0"/>
    <n v="0"/>
    <x v="0"/>
    <n v="1"/>
    <x v="1"/>
    <x v="2"/>
  </r>
  <r>
    <n v="501167"/>
    <n v="72320"/>
    <x v="0"/>
    <x v="2"/>
    <d v="2026-01-17T00:00:00"/>
    <s v="17:22"/>
    <x v="65"/>
    <x v="3"/>
    <n v="65"/>
    <x v="6"/>
    <n v="0"/>
    <n v="1"/>
    <n v="0"/>
    <n v="0"/>
    <n v="0"/>
    <x v="0"/>
    <n v="0"/>
    <x v="0"/>
    <x v="2"/>
  </r>
  <r>
    <n v="501168"/>
    <n v="61543"/>
    <x v="1"/>
    <x v="4"/>
    <d v="2025-12-17T00:00:00"/>
    <s v="18:10"/>
    <x v="6"/>
    <x v="2"/>
    <n v="49"/>
    <x v="3"/>
    <n v="1"/>
    <n v="1"/>
    <n v="0"/>
    <n v="0"/>
    <n v="0"/>
    <x v="0"/>
    <n v="0"/>
    <x v="0"/>
    <x v="0"/>
  </r>
  <r>
    <n v="501169"/>
    <n v="93069"/>
    <x v="1"/>
    <x v="3"/>
    <d v="2026-01-30T00:00:00"/>
    <s v="16:51"/>
    <x v="52"/>
    <x v="1"/>
    <n v="49"/>
    <x v="5"/>
    <n v="1"/>
    <n v="0"/>
    <n v="0"/>
    <n v="0"/>
    <n v="0"/>
    <x v="1"/>
    <n v="1"/>
    <x v="0"/>
    <x v="0"/>
  </r>
  <r>
    <n v="501170"/>
    <n v="13315"/>
    <x v="1"/>
    <x v="6"/>
    <d v="2026-03-21T00:00:00"/>
    <s v="01:41"/>
    <x v="3"/>
    <x v="1"/>
    <n v="55"/>
    <x v="4"/>
    <n v="1"/>
    <n v="1"/>
    <n v="0"/>
    <n v="0"/>
    <n v="0"/>
    <x v="0"/>
    <n v="1"/>
    <x v="1"/>
    <x v="0"/>
  </r>
  <r>
    <n v="501171"/>
    <n v="11398"/>
    <x v="0"/>
    <x v="6"/>
    <d v="2026-03-01T00:00:00"/>
    <s v="11:29"/>
    <x v="72"/>
    <x v="4"/>
    <n v="53"/>
    <x v="4"/>
    <n v="0"/>
    <n v="1"/>
    <n v="0"/>
    <n v="0"/>
    <n v="0"/>
    <x v="0"/>
    <n v="1"/>
    <x v="0"/>
    <x v="0"/>
  </r>
  <r>
    <n v="501172"/>
    <n v="89531"/>
    <x v="1"/>
    <x v="0"/>
    <d v="2026-03-24T00:00:00"/>
    <s v="15:10"/>
    <x v="59"/>
    <x v="1"/>
    <n v="43"/>
    <x v="0"/>
    <n v="1"/>
    <n v="0"/>
    <n v="0"/>
    <n v="0"/>
    <n v="0"/>
    <x v="1"/>
    <n v="1"/>
    <x v="1"/>
    <x v="0"/>
  </r>
  <r>
    <n v="501173"/>
    <n v="84996"/>
    <x v="0"/>
    <x v="6"/>
    <d v="2026-05-06T00:00:00"/>
    <s v="01:51"/>
    <x v="173"/>
    <x v="3"/>
    <n v="40"/>
    <x v="9"/>
    <n v="1"/>
    <n v="0"/>
    <n v="0"/>
    <n v="0"/>
    <n v="0"/>
    <x v="1"/>
    <n v="0"/>
    <x v="0"/>
    <x v="1"/>
  </r>
  <r>
    <n v="501174"/>
    <n v="23616"/>
    <x v="0"/>
    <x v="2"/>
    <d v="2026-02-26T00:00:00"/>
    <s v="05:33"/>
    <x v="91"/>
    <x v="1"/>
    <n v="36"/>
    <x v="7"/>
    <n v="0"/>
    <n v="0"/>
    <n v="0"/>
    <n v="0"/>
    <n v="0"/>
    <x v="1"/>
    <n v="0"/>
    <x v="1"/>
    <x v="1"/>
  </r>
  <r>
    <n v="501175"/>
    <n v="25653"/>
    <x v="0"/>
    <x v="6"/>
    <d v="2026-04-14T00:00:00"/>
    <s v="09:31"/>
    <x v="134"/>
    <x v="5"/>
    <n v="22"/>
    <x v="7"/>
    <n v="1"/>
    <n v="0"/>
    <n v="0"/>
    <n v="0"/>
    <n v="0"/>
    <x v="1"/>
    <n v="0"/>
    <x v="1"/>
    <x v="1"/>
  </r>
  <r>
    <n v="501176"/>
    <n v="90478"/>
    <x v="0"/>
    <x v="2"/>
    <d v="2025-12-12T00:00:00"/>
    <s v="22:25"/>
    <x v="169"/>
    <x v="1"/>
    <n v="32"/>
    <x v="4"/>
    <n v="0"/>
    <n v="0"/>
    <n v="0"/>
    <n v="0"/>
    <n v="0"/>
    <x v="1"/>
    <n v="0"/>
    <x v="0"/>
    <x v="1"/>
  </r>
  <r>
    <n v="501177"/>
    <n v="97096"/>
    <x v="1"/>
    <x v="4"/>
    <d v="2026-04-25T00:00:00"/>
    <s v="17:19"/>
    <x v="116"/>
    <x v="6"/>
    <n v="4"/>
    <x v="7"/>
    <n v="0"/>
    <n v="0"/>
    <n v="0"/>
    <n v="0"/>
    <n v="0"/>
    <x v="1"/>
    <n v="0"/>
    <x v="0"/>
    <x v="3"/>
  </r>
  <r>
    <n v="501178"/>
    <n v="44948"/>
    <x v="0"/>
    <x v="3"/>
    <d v="2026-01-05T00:00:00"/>
    <s v="23:28"/>
    <x v="123"/>
    <x v="4"/>
    <n v="36"/>
    <x v="3"/>
    <n v="0"/>
    <n v="0"/>
    <n v="0"/>
    <n v="0"/>
    <n v="0"/>
    <x v="1"/>
    <n v="1"/>
    <x v="1"/>
    <x v="1"/>
  </r>
  <r>
    <n v="501179"/>
    <n v="10422"/>
    <x v="1"/>
    <x v="7"/>
    <d v="2026-02-04T00:00:00"/>
    <s v="19:53"/>
    <x v="47"/>
    <x v="6"/>
    <n v="18"/>
    <x v="8"/>
    <n v="0"/>
    <n v="0"/>
    <n v="0"/>
    <n v="0"/>
    <n v="0"/>
    <x v="1"/>
    <n v="1"/>
    <x v="0"/>
    <x v="3"/>
  </r>
  <r>
    <n v="501180"/>
    <n v="21284"/>
    <x v="1"/>
    <x v="5"/>
    <d v="2026-05-20T00:00:00"/>
    <s v="16:24"/>
    <x v="194"/>
    <x v="2"/>
    <n v="15"/>
    <x v="6"/>
    <n v="0"/>
    <n v="0"/>
    <n v="0"/>
    <n v="0"/>
    <n v="0"/>
    <x v="1"/>
    <n v="1"/>
    <x v="1"/>
    <x v="3"/>
  </r>
  <r>
    <n v="501181"/>
    <n v="51615"/>
    <x v="0"/>
    <x v="3"/>
    <d v="2026-04-23T00:00:00"/>
    <s v="12:29"/>
    <x v="10"/>
    <x v="4"/>
    <n v="41"/>
    <x v="7"/>
    <n v="0"/>
    <n v="0"/>
    <n v="0"/>
    <n v="0"/>
    <n v="0"/>
    <x v="1"/>
    <n v="0"/>
    <x v="1"/>
    <x v="0"/>
  </r>
  <r>
    <n v="501182"/>
    <n v="99245"/>
    <x v="0"/>
    <x v="3"/>
    <d v="2026-01-14T00:00:00"/>
    <s v="09:30"/>
    <x v="94"/>
    <x v="6"/>
    <n v="65"/>
    <x v="0"/>
    <n v="0"/>
    <n v="0"/>
    <n v="0"/>
    <n v="0"/>
    <n v="0"/>
    <x v="1"/>
    <n v="0"/>
    <x v="1"/>
    <x v="2"/>
  </r>
  <r>
    <n v="501183"/>
    <n v="36112"/>
    <x v="0"/>
    <x v="7"/>
    <d v="2026-02-26T00:00:00"/>
    <s v="02:15"/>
    <x v="135"/>
    <x v="0"/>
    <n v="56"/>
    <x v="0"/>
    <n v="1"/>
    <n v="1"/>
    <n v="0"/>
    <n v="0"/>
    <n v="0"/>
    <x v="0"/>
    <n v="1"/>
    <x v="0"/>
    <x v="0"/>
  </r>
  <r>
    <n v="501184"/>
    <n v="32344"/>
    <x v="0"/>
    <x v="4"/>
    <d v="2025-12-12T00:00:00"/>
    <s v="17:37"/>
    <x v="152"/>
    <x v="4"/>
    <n v="6"/>
    <x v="2"/>
    <n v="0"/>
    <n v="0"/>
    <n v="0"/>
    <n v="0"/>
    <n v="0"/>
    <x v="1"/>
    <n v="1"/>
    <x v="0"/>
    <x v="3"/>
  </r>
  <r>
    <n v="501185"/>
    <n v="55471"/>
    <x v="1"/>
    <x v="1"/>
    <d v="2026-04-28T00:00:00"/>
    <s v="20:28"/>
    <x v="48"/>
    <x v="1"/>
    <n v="18"/>
    <x v="4"/>
    <n v="0"/>
    <n v="0"/>
    <n v="0"/>
    <n v="0"/>
    <n v="0"/>
    <x v="1"/>
    <n v="1"/>
    <x v="0"/>
    <x v="3"/>
  </r>
  <r>
    <n v="501186"/>
    <n v="45251"/>
    <x v="0"/>
    <x v="1"/>
    <d v="2026-02-21T00:00:00"/>
    <s v="00:23"/>
    <x v="28"/>
    <x v="5"/>
    <n v="56"/>
    <x v="0"/>
    <n v="0"/>
    <n v="0"/>
    <n v="1"/>
    <n v="0"/>
    <n v="0"/>
    <x v="0"/>
    <n v="1"/>
    <x v="0"/>
    <x v="0"/>
  </r>
  <r>
    <n v="501187"/>
    <n v="58795"/>
    <x v="1"/>
    <x v="0"/>
    <d v="2025-12-21T00:00:00"/>
    <s v="21:22"/>
    <x v="158"/>
    <x v="4"/>
    <n v="18"/>
    <x v="4"/>
    <n v="0"/>
    <n v="0"/>
    <n v="0"/>
    <n v="0"/>
    <n v="0"/>
    <x v="1"/>
    <n v="1"/>
    <x v="0"/>
    <x v="3"/>
  </r>
  <r>
    <n v="501188"/>
    <n v="11035"/>
    <x v="0"/>
    <x v="4"/>
    <d v="2026-01-09T00:00:00"/>
    <s v="01:30"/>
    <x v="96"/>
    <x v="0"/>
    <n v="33"/>
    <x v="3"/>
    <n v="1"/>
    <n v="0"/>
    <n v="0"/>
    <n v="0"/>
    <n v="0"/>
    <x v="1"/>
    <n v="1"/>
    <x v="0"/>
    <x v="1"/>
  </r>
  <r>
    <n v="501189"/>
    <n v="31331"/>
    <x v="1"/>
    <x v="3"/>
    <d v="2026-01-12T00:00:00"/>
    <s v="15:43"/>
    <x v="100"/>
    <x v="0"/>
    <n v="49"/>
    <x v="7"/>
    <n v="1"/>
    <n v="0"/>
    <n v="0"/>
    <n v="0"/>
    <n v="0"/>
    <x v="1"/>
    <n v="1"/>
    <x v="0"/>
    <x v="0"/>
  </r>
  <r>
    <n v="501190"/>
    <n v="43105"/>
    <x v="1"/>
    <x v="2"/>
    <d v="2026-01-31T00:00:00"/>
    <s v="14:27"/>
    <x v="69"/>
    <x v="2"/>
    <n v="18"/>
    <x v="3"/>
    <n v="0"/>
    <n v="0"/>
    <n v="0"/>
    <n v="0"/>
    <n v="0"/>
    <x v="1"/>
    <n v="1"/>
    <x v="0"/>
    <x v="3"/>
  </r>
  <r>
    <n v="501191"/>
    <n v="40710"/>
    <x v="0"/>
    <x v="4"/>
    <d v="2025-12-13T00:00:00"/>
    <s v="10:13"/>
    <x v="118"/>
    <x v="2"/>
    <n v="40"/>
    <x v="5"/>
    <n v="1"/>
    <n v="0"/>
    <n v="0"/>
    <n v="0"/>
    <n v="0"/>
    <x v="1"/>
    <n v="1"/>
    <x v="0"/>
    <x v="1"/>
  </r>
  <r>
    <n v="501192"/>
    <n v="49397"/>
    <x v="0"/>
    <x v="3"/>
    <d v="2026-01-01T00:00:00"/>
    <s v="11:21"/>
    <x v="60"/>
    <x v="5"/>
    <n v="11"/>
    <x v="2"/>
    <n v="0"/>
    <n v="0"/>
    <n v="0"/>
    <n v="0"/>
    <n v="0"/>
    <x v="1"/>
    <n v="0"/>
    <x v="1"/>
    <x v="3"/>
  </r>
  <r>
    <n v="501193"/>
    <n v="21848"/>
    <x v="1"/>
    <x v="3"/>
    <d v="2026-01-16T00:00:00"/>
    <s v="15:48"/>
    <x v="35"/>
    <x v="4"/>
    <n v="25"/>
    <x v="4"/>
    <n v="1"/>
    <n v="0"/>
    <n v="0"/>
    <n v="0"/>
    <n v="0"/>
    <x v="1"/>
    <n v="1"/>
    <x v="1"/>
    <x v="1"/>
  </r>
  <r>
    <n v="501194"/>
    <n v="32553"/>
    <x v="1"/>
    <x v="7"/>
    <d v="2026-03-15T00:00:00"/>
    <s v="17:47"/>
    <x v="83"/>
    <x v="3"/>
    <n v="44"/>
    <x v="6"/>
    <n v="0"/>
    <n v="0"/>
    <n v="0"/>
    <n v="0"/>
    <n v="0"/>
    <x v="1"/>
    <n v="1"/>
    <x v="0"/>
    <x v="0"/>
  </r>
  <r>
    <n v="501195"/>
    <n v="59054"/>
    <x v="0"/>
    <x v="6"/>
    <d v="2026-01-09T00:00:00"/>
    <s v="01:21"/>
    <x v="51"/>
    <x v="3"/>
    <n v="6"/>
    <x v="2"/>
    <n v="0"/>
    <n v="0"/>
    <n v="0"/>
    <n v="0"/>
    <n v="0"/>
    <x v="1"/>
    <n v="1"/>
    <x v="0"/>
    <x v="3"/>
  </r>
  <r>
    <n v="501196"/>
    <n v="37851"/>
    <x v="1"/>
    <x v="4"/>
    <d v="2026-03-25T00:00:00"/>
    <s v="03:11"/>
    <x v="77"/>
    <x v="6"/>
    <n v="46"/>
    <x v="3"/>
    <n v="0"/>
    <n v="0"/>
    <n v="1"/>
    <n v="0"/>
    <n v="0"/>
    <x v="0"/>
    <n v="1"/>
    <x v="0"/>
    <x v="0"/>
  </r>
  <r>
    <n v="501197"/>
    <n v="47118"/>
    <x v="1"/>
    <x v="4"/>
    <d v="2026-01-21T00:00:00"/>
    <s v="23:08"/>
    <x v="146"/>
    <x v="6"/>
    <n v="37"/>
    <x v="8"/>
    <n v="0"/>
    <n v="0"/>
    <n v="0"/>
    <n v="0"/>
    <n v="0"/>
    <x v="1"/>
    <n v="0"/>
    <x v="1"/>
    <x v="1"/>
  </r>
  <r>
    <n v="501198"/>
    <n v="89760"/>
    <x v="0"/>
    <x v="1"/>
    <d v="2026-01-01T00:00:00"/>
    <s v="08:36"/>
    <x v="60"/>
    <x v="5"/>
    <n v="49"/>
    <x v="4"/>
    <n v="1"/>
    <n v="1"/>
    <n v="0"/>
    <n v="0"/>
    <n v="0"/>
    <x v="0"/>
    <n v="0"/>
    <x v="0"/>
    <x v="0"/>
  </r>
  <r>
    <n v="501199"/>
    <n v="28098"/>
    <x v="1"/>
    <x v="1"/>
    <d v="2026-01-23T00:00:00"/>
    <s v="14:56"/>
    <x v="137"/>
    <x v="3"/>
    <n v="42"/>
    <x v="7"/>
    <n v="0"/>
    <n v="0"/>
    <n v="0"/>
    <n v="0"/>
    <n v="0"/>
    <x v="1"/>
    <n v="1"/>
    <x v="0"/>
    <x v="0"/>
  </r>
  <r>
    <n v="501200"/>
    <n v="50775"/>
    <x v="1"/>
    <x v="6"/>
    <d v="2026-02-06T00:00:00"/>
    <s v="15:05"/>
    <x v="95"/>
    <x v="6"/>
    <n v="65"/>
    <x v="7"/>
    <n v="1"/>
    <n v="0"/>
    <n v="0"/>
    <n v="0"/>
    <n v="0"/>
    <x v="1"/>
    <n v="1"/>
    <x v="1"/>
    <x v="2"/>
  </r>
  <r>
    <n v="501201"/>
    <n v="99923"/>
    <x v="0"/>
    <x v="4"/>
    <d v="2026-01-05T00:00:00"/>
    <s v="11:55"/>
    <x v="51"/>
    <x v="3"/>
    <n v="40"/>
    <x v="7"/>
    <n v="0"/>
    <n v="0"/>
    <n v="0"/>
    <n v="0"/>
    <n v="0"/>
    <x v="1"/>
    <n v="1"/>
    <x v="0"/>
    <x v="1"/>
  </r>
  <r>
    <n v="501202"/>
    <n v="73719"/>
    <x v="1"/>
    <x v="4"/>
    <d v="2026-04-29T00:00:00"/>
    <s v="23:24"/>
    <x v="76"/>
    <x v="6"/>
    <n v="29"/>
    <x v="7"/>
    <n v="1"/>
    <n v="0"/>
    <n v="0"/>
    <n v="0"/>
    <n v="0"/>
    <x v="1"/>
    <n v="1"/>
    <x v="0"/>
    <x v="1"/>
  </r>
  <r>
    <n v="501203"/>
    <n v="69017"/>
    <x v="1"/>
    <x v="6"/>
    <d v="2026-01-31T00:00:00"/>
    <s v="15:17"/>
    <x v="42"/>
    <x v="5"/>
    <n v="40"/>
    <x v="4"/>
    <n v="1"/>
    <n v="0"/>
    <n v="0"/>
    <n v="0"/>
    <n v="0"/>
    <x v="1"/>
    <n v="1"/>
    <x v="0"/>
    <x v="1"/>
  </r>
  <r>
    <n v="501204"/>
    <n v="98436"/>
    <x v="0"/>
    <x v="3"/>
    <d v="2026-05-06T00:00:00"/>
    <s v="13:45"/>
    <x v="173"/>
    <x v="3"/>
    <n v="48"/>
    <x v="7"/>
    <n v="1"/>
    <n v="0"/>
    <n v="0"/>
    <n v="0"/>
    <n v="0"/>
    <x v="1"/>
    <n v="1"/>
    <x v="0"/>
    <x v="0"/>
  </r>
  <r>
    <n v="501205"/>
    <n v="67001"/>
    <x v="0"/>
    <x v="6"/>
    <d v="2026-01-05T00:00:00"/>
    <s v="15:51"/>
    <x v="130"/>
    <x v="6"/>
    <n v="38"/>
    <x v="0"/>
    <n v="0"/>
    <n v="0"/>
    <n v="0"/>
    <n v="0"/>
    <n v="0"/>
    <x v="1"/>
    <n v="1"/>
    <x v="0"/>
    <x v="1"/>
  </r>
  <r>
    <n v="501206"/>
    <n v="99966"/>
    <x v="1"/>
    <x v="7"/>
    <d v="2026-01-06T00:00:00"/>
    <s v="06:15"/>
    <x v="11"/>
    <x v="1"/>
    <n v="38"/>
    <x v="5"/>
    <n v="1"/>
    <n v="0"/>
    <n v="0"/>
    <n v="0"/>
    <n v="0"/>
    <x v="1"/>
    <n v="1"/>
    <x v="0"/>
    <x v="1"/>
  </r>
  <r>
    <n v="501207"/>
    <n v="48435"/>
    <x v="1"/>
    <x v="4"/>
    <d v="2026-03-05T00:00:00"/>
    <s v="22:23"/>
    <x v="128"/>
    <x v="0"/>
    <n v="23"/>
    <x v="7"/>
    <n v="1"/>
    <n v="0"/>
    <n v="0"/>
    <n v="0"/>
    <n v="0"/>
    <x v="1"/>
    <n v="1"/>
    <x v="0"/>
    <x v="1"/>
  </r>
  <r>
    <n v="501208"/>
    <n v="14798"/>
    <x v="1"/>
    <x v="1"/>
    <d v="2026-02-03T00:00:00"/>
    <s v="18:34"/>
    <x v="33"/>
    <x v="4"/>
    <n v="24"/>
    <x v="2"/>
    <n v="0"/>
    <n v="0"/>
    <n v="0"/>
    <n v="0"/>
    <n v="0"/>
    <x v="1"/>
    <n v="1"/>
    <x v="0"/>
    <x v="1"/>
  </r>
  <r>
    <n v="501209"/>
    <n v="46004"/>
    <x v="1"/>
    <x v="6"/>
    <d v="2026-04-27T00:00:00"/>
    <s v="02:12"/>
    <x v="25"/>
    <x v="4"/>
    <n v="9"/>
    <x v="9"/>
    <n v="0"/>
    <n v="0"/>
    <n v="0"/>
    <n v="0"/>
    <n v="0"/>
    <x v="1"/>
    <n v="0"/>
    <x v="0"/>
    <x v="3"/>
  </r>
  <r>
    <n v="501210"/>
    <n v="78623"/>
    <x v="1"/>
    <x v="0"/>
    <d v="2026-04-22T00:00:00"/>
    <s v="10:38"/>
    <x v="190"/>
    <x v="2"/>
    <n v="72"/>
    <x v="6"/>
    <n v="1"/>
    <n v="0"/>
    <n v="1"/>
    <n v="0"/>
    <n v="0"/>
    <x v="0"/>
    <n v="1"/>
    <x v="0"/>
    <x v="2"/>
  </r>
  <r>
    <n v="501211"/>
    <n v="20323"/>
    <x v="1"/>
    <x v="7"/>
    <d v="2026-03-29T00:00:00"/>
    <s v="07:41"/>
    <x v="97"/>
    <x v="4"/>
    <n v="13"/>
    <x v="5"/>
    <n v="0"/>
    <n v="0"/>
    <n v="0"/>
    <n v="0"/>
    <n v="0"/>
    <x v="1"/>
    <n v="1"/>
    <x v="0"/>
    <x v="3"/>
  </r>
  <r>
    <n v="501212"/>
    <n v="95576"/>
    <x v="0"/>
    <x v="4"/>
    <d v="2026-04-18T00:00:00"/>
    <s v="13:19"/>
    <x v="104"/>
    <x v="3"/>
    <n v="24"/>
    <x v="6"/>
    <n v="0"/>
    <n v="0"/>
    <n v="0"/>
    <n v="0"/>
    <n v="0"/>
    <x v="1"/>
    <n v="1"/>
    <x v="0"/>
    <x v="1"/>
  </r>
  <r>
    <n v="501213"/>
    <n v="41949"/>
    <x v="0"/>
    <x v="2"/>
    <d v="2026-05-10T00:00:00"/>
    <s v="20:54"/>
    <x v="34"/>
    <x v="6"/>
    <n v="23"/>
    <x v="9"/>
    <n v="1"/>
    <n v="0"/>
    <n v="0"/>
    <n v="0"/>
    <n v="0"/>
    <x v="1"/>
    <n v="1"/>
    <x v="0"/>
    <x v="1"/>
  </r>
  <r>
    <n v="501214"/>
    <n v="34341"/>
    <x v="1"/>
    <x v="0"/>
    <d v="2026-04-09T00:00:00"/>
    <s v="15:21"/>
    <x v="90"/>
    <x v="5"/>
    <n v="55"/>
    <x v="9"/>
    <n v="1"/>
    <n v="0"/>
    <n v="0"/>
    <n v="0"/>
    <n v="0"/>
    <x v="1"/>
    <n v="1"/>
    <x v="0"/>
    <x v="0"/>
  </r>
  <r>
    <n v="501215"/>
    <n v="27008"/>
    <x v="1"/>
    <x v="7"/>
    <d v="2025-12-22T00:00:00"/>
    <s v="13:38"/>
    <x v="127"/>
    <x v="4"/>
    <n v="32"/>
    <x v="3"/>
    <n v="1"/>
    <n v="0"/>
    <n v="0"/>
    <n v="0"/>
    <n v="0"/>
    <x v="1"/>
    <n v="1"/>
    <x v="0"/>
    <x v="1"/>
  </r>
  <r>
    <n v="501216"/>
    <n v="90135"/>
    <x v="1"/>
    <x v="6"/>
    <d v="2026-03-09T00:00:00"/>
    <s v="07:49"/>
    <x v="85"/>
    <x v="3"/>
    <n v="62"/>
    <x v="9"/>
    <n v="1"/>
    <n v="0"/>
    <n v="0"/>
    <n v="0"/>
    <n v="0"/>
    <x v="1"/>
    <n v="1"/>
    <x v="0"/>
    <x v="2"/>
  </r>
  <r>
    <n v="501217"/>
    <n v="68246"/>
    <x v="0"/>
    <x v="6"/>
    <d v="2026-05-02T00:00:00"/>
    <s v="13:19"/>
    <x v="18"/>
    <x v="5"/>
    <n v="24"/>
    <x v="3"/>
    <n v="0"/>
    <n v="0"/>
    <n v="0"/>
    <n v="0"/>
    <n v="0"/>
    <x v="1"/>
    <n v="1"/>
    <x v="0"/>
    <x v="1"/>
  </r>
  <r>
    <n v="501218"/>
    <n v="96599"/>
    <x v="0"/>
    <x v="6"/>
    <d v="2026-03-11T00:00:00"/>
    <s v="03:01"/>
    <x v="83"/>
    <x v="3"/>
    <n v="43"/>
    <x v="8"/>
    <n v="1"/>
    <n v="0"/>
    <n v="1"/>
    <n v="0"/>
    <n v="0"/>
    <x v="0"/>
    <n v="1"/>
    <x v="0"/>
    <x v="0"/>
  </r>
  <r>
    <n v="501219"/>
    <n v="69178"/>
    <x v="1"/>
    <x v="0"/>
    <d v="2026-03-24T00:00:00"/>
    <s v="23:24"/>
    <x v="107"/>
    <x v="2"/>
    <n v="21"/>
    <x v="2"/>
    <n v="0"/>
    <n v="0"/>
    <n v="0"/>
    <n v="0"/>
    <n v="0"/>
    <x v="1"/>
    <n v="1"/>
    <x v="0"/>
    <x v="1"/>
  </r>
  <r>
    <n v="501220"/>
    <n v="47209"/>
    <x v="1"/>
    <x v="1"/>
    <d v="2026-03-13T00:00:00"/>
    <s v="10:51"/>
    <x v="184"/>
    <x v="5"/>
    <n v="80"/>
    <x v="5"/>
    <n v="0"/>
    <n v="0"/>
    <n v="0"/>
    <n v="0"/>
    <n v="0"/>
    <x v="1"/>
    <n v="1"/>
    <x v="0"/>
    <x v="2"/>
  </r>
  <r>
    <n v="501221"/>
    <n v="30855"/>
    <x v="1"/>
    <x v="4"/>
    <d v="2025-12-10T00:00:00"/>
    <s v="00:22"/>
    <x v="67"/>
    <x v="6"/>
    <n v="14"/>
    <x v="4"/>
    <n v="0"/>
    <n v="0"/>
    <n v="0"/>
    <n v="0"/>
    <n v="0"/>
    <x v="1"/>
    <n v="1"/>
    <x v="0"/>
    <x v="3"/>
  </r>
  <r>
    <n v="501222"/>
    <n v="51864"/>
    <x v="1"/>
    <x v="5"/>
    <d v="2026-04-15T00:00:00"/>
    <s v="10:34"/>
    <x v="116"/>
    <x v="6"/>
    <n v="44"/>
    <x v="4"/>
    <n v="1"/>
    <n v="0"/>
    <n v="0"/>
    <n v="0"/>
    <n v="0"/>
    <x v="1"/>
    <n v="1"/>
    <x v="0"/>
    <x v="0"/>
  </r>
  <r>
    <n v="501223"/>
    <n v="30574"/>
    <x v="0"/>
    <x v="4"/>
    <d v="2026-01-15T00:00:00"/>
    <s v="15:41"/>
    <x v="11"/>
    <x v="1"/>
    <n v="50"/>
    <x v="0"/>
    <n v="0"/>
    <n v="0"/>
    <n v="0"/>
    <n v="0"/>
    <n v="0"/>
    <x v="1"/>
    <n v="0"/>
    <x v="0"/>
    <x v="0"/>
  </r>
  <r>
    <n v="501224"/>
    <n v="95603"/>
    <x v="1"/>
    <x v="4"/>
    <d v="2026-02-10T00:00:00"/>
    <s v="08:41"/>
    <x v="2"/>
    <x v="2"/>
    <n v="46"/>
    <x v="5"/>
    <n v="0"/>
    <n v="0"/>
    <n v="0"/>
    <n v="0"/>
    <n v="0"/>
    <x v="1"/>
    <n v="0"/>
    <x v="0"/>
    <x v="0"/>
  </r>
  <r>
    <n v="501225"/>
    <n v="63578"/>
    <x v="0"/>
    <x v="2"/>
    <d v="2026-04-23T00:00:00"/>
    <s v="15:01"/>
    <x v="87"/>
    <x v="0"/>
    <n v="34"/>
    <x v="9"/>
    <n v="0"/>
    <n v="0"/>
    <n v="0"/>
    <n v="0"/>
    <n v="0"/>
    <x v="1"/>
    <n v="1"/>
    <x v="0"/>
    <x v="1"/>
  </r>
  <r>
    <n v="501226"/>
    <n v="12977"/>
    <x v="1"/>
    <x v="1"/>
    <d v="2026-02-03T00:00:00"/>
    <s v="23:35"/>
    <x v="92"/>
    <x v="3"/>
    <n v="35"/>
    <x v="2"/>
    <n v="1"/>
    <n v="0"/>
    <n v="0"/>
    <n v="0"/>
    <n v="0"/>
    <x v="1"/>
    <n v="1"/>
    <x v="0"/>
    <x v="1"/>
  </r>
  <r>
    <n v="501227"/>
    <n v="36186"/>
    <x v="1"/>
    <x v="3"/>
    <d v="2026-05-12T00:00:00"/>
    <s v="12:03"/>
    <x v="124"/>
    <x v="0"/>
    <n v="38"/>
    <x v="0"/>
    <n v="0"/>
    <n v="0"/>
    <n v="0"/>
    <n v="0"/>
    <n v="0"/>
    <x v="1"/>
    <n v="1"/>
    <x v="0"/>
    <x v="1"/>
  </r>
  <r>
    <n v="501228"/>
    <n v="89069"/>
    <x v="1"/>
    <x v="1"/>
    <d v="2026-05-08T00:00:00"/>
    <s v="15:15"/>
    <x v="76"/>
    <x v="6"/>
    <n v="35"/>
    <x v="2"/>
    <n v="1"/>
    <n v="0"/>
    <n v="0"/>
    <n v="0"/>
    <n v="0"/>
    <x v="1"/>
    <n v="1"/>
    <x v="0"/>
    <x v="1"/>
  </r>
  <r>
    <n v="501229"/>
    <n v="30875"/>
    <x v="0"/>
    <x v="6"/>
    <d v="2025-12-02T00:00:00"/>
    <s v="16:00"/>
    <x v="13"/>
    <x v="5"/>
    <n v="57"/>
    <x v="6"/>
    <n v="0"/>
    <n v="0"/>
    <n v="0"/>
    <n v="0"/>
    <n v="0"/>
    <x v="1"/>
    <n v="1"/>
    <x v="0"/>
    <x v="0"/>
  </r>
  <r>
    <n v="501230"/>
    <n v="44082"/>
    <x v="0"/>
    <x v="0"/>
    <d v="2026-03-13T00:00:00"/>
    <s v="20:44"/>
    <x v="49"/>
    <x v="3"/>
    <n v="82"/>
    <x v="3"/>
    <n v="1"/>
    <n v="0"/>
    <n v="1"/>
    <n v="0"/>
    <n v="0"/>
    <x v="0"/>
    <n v="1"/>
    <x v="0"/>
    <x v="2"/>
  </r>
  <r>
    <n v="501231"/>
    <n v="77051"/>
    <x v="1"/>
    <x v="4"/>
    <d v="2026-01-03T00:00:00"/>
    <s v="10:04"/>
    <x v="84"/>
    <x v="3"/>
    <n v="26"/>
    <x v="6"/>
    <n v="0"/>
    <n v="0"/>
    <n v="0"/>
    <n v="0"/>
    <n v="0"/>
    <x v="1"/>
    <n v="0"/>
    <x v="0"/>
    <x v="1"/>
  </r>
  <r>
    <n v="501232"/>
    <n v="24651"/>
    <x v="0"/>
    <x v="2"/>
    <d v="2026-05-09T00:00:00"/>
    <s v="23:02"/>
    <x v="55"/>
    <x v="6"/>
    <n v="10"/>
    <x v="5"/>
    <n v="0"/>
    <n v="0"/>
    <n v="0"/>
    <n v="0"/>
    <n v="0"/>
    <x v="1"/>
    <n v="1"/>
    <x v="0"/>
    <x v="3"/>
  </r>
  <r>
    <n v="501233"/>
    <n v="73254"/>
    <x v="0"/>
    <x v="7"/>
    <d v="2026-04-14T00:00:00"/>
    <s v="07:18"/>
    <x v="147"/>
    <x v="2"/>
    <n v="36"/>
    <x v="6"/>
    <n v="1"/>
    <n v="0"/>
    <n v="0"/>
    <n v="0"/>
    <n v="0"/>
    <x v="1"/>
    <n v="0"/>
    <x v="0"/>
    <x v="1"/>
  </r>
  <r>
    <n v="501234"/>
    <n v="42077"/>
    <x v="1"/>
    <x v="2"/>
    <d v="2026-01-22T00:00:00"/>
    <s v="23:41"/>
    <x v="141"/>
    <x v="0"/>
    <n v="89"/>
    <x v="0"/>
    <n v="1"/>
    <n v="1"/>
    <n v="0"/>
    <n v="0"/>
    <n v="0"/>
    <x v="0"/>
    <n v="1"/>
    <x v="0"/>
    <x v="2"/>
  </r>
  <r>
    <n v="501235"/>
    <n v="13400"/>
    <x v="0"/>
    <x v="2"/>
    <d v="2026-04-27T00:00:00"/>
    <s v="01:55"/>
    <x v="25"/>
    <x v="4"/>
    <n v="21"/>
    <x v="9"/>
    <n v="1"/>
    <n v="0"/>
    <n v="0"/>
    <n v="0"/>
    <n v="0"/>
    <x v="1"/>
    <n v="1"/>
    <x v="0"/>
    <x v="1"/>
  </r>
  <r>
    <n v="501236"/>
    <n v="49943"/>
    <x v="1"/>
    <x v="6"/>
    <d v="2025-12-25T00:00:00"/>
    <s v="06:25"/>
    <x v="156"/>
    <x v="5"/>
    <n v="70"/>
    <x v="0"/>
    <n v="0"/>
    <n v="0"/>
    <n v="0"/>
    <n v="0"/>
    <n v="0"/>
    <x v="1"/>
    <n v="1"/>
    <x v="1"/>
    <x v="2"/>
  </r>
  <r>
    <n v="501237"/>
    <n v="37742"/>
    <x v="1"/>
    <x v="3"/>
    <d v="2026-01-17T00:00:00"/>
    <s v="04:46"/>
    <x v="150"/>
    <x v="2"/>
    <n v="71"/>
    <x v="9"/>
    <n v="0"/>
    <n v="1"/>
    <n v="0"/>
    <n v="0"/>
    <n v="0"/>
    <x v="0"/>
    <n v="1"/>
    <x v="1"/>
    <x v="2"/>
  </r>
  <r>
    <n v="501238"/>
    <n v="55116"/>
    <x v="0"/>
    <x v="2"/>
    <d v="2026-02-10T00:00:00"/>
    <s v="20:23"/>
    <x v="61"/>
    <x v="3"/>
    <n v="26"/>
    <x v="8"/>
    <n v="1"/>
    <n v="0"/>
    <n v="0"/>
    <n v="0"/>
    <n v="0"/>
    <x v="1"/>
    <n v="1"/>
    <x v="0"/>
    <x v="1"/>
  </r>
  <r>
    <n v="501239"/>
    <n v="73183"/>
    <x v="0"/>
    <x v="6"/>
    <d v="2026-02-21T00:00:00"/>
    <s v="07:37"/>
    <x v="92"/>
    <x v="3"/>
    <n v="49"/>
    <x v="5"/>
    <n v="0"/>
    <n v="0"/>
    <n v="1"/>
    <n v="0"/>
    <n v="0"/>
    <x v="0"/>
    <n v="1"/>
    <x v="0"/>
    <x v="0"/>
  </r>
  <r>
    <n v="501240"/>
    <n v="25675"/>
    <x v="0"/>
    <x v="2"/>
    <d v="2026-03-11T00:00:00"/>
    <s v="22:30"/>
    <x v="16"/>
    <x v="0"/>
    <n v="70"/>
    <x v="3"/>
    <n v="1"/>
    <n v="0"/>
    <n v="0"/>
    <n v="1"/>
    <n v="0"/>
    <x v="1"/>
    <n v="0"/>
    <x v="0"/>
    <x v="2"/>
  </r>
  <r>
    <n v="501241"/>
    <n v="36546"/>
    <x v="1"/>
    <x v="0"/>
    <d v="2026-04-09T00:00:00"/>
    <s v="08:53"/>
    <x v="147"/>
    <x v="2"/>
    <n v="30"/>
    <x v="5"/>
    <n v="0"/>
    <n v="0"/>
    <n v="0"/>
    <n v="0"/>
    <n v="0"/>
    <x v="1"/>
    <n v="1"/>
    <x v="0"/>
    <x v="1"/>
  </r>
  <r>
    <n v="501242"/>
    <n v="80481"/>
    <x v="0"/>
    <x v="0"/>
    <d v="2026-03-20T00:00:00"/>
    <s v="09:08"/>
    <x v="77"/>
    <x v="6"/>
    <n v="33"/>
    <x v="3"/>
    <n v="0"/>
    <n v="0"/>
    <n v="0"/>
    <n v="0"/>
    <n v="0"/>
    <x v="1"/>
    <n v="1"/>
    <x v="0"/>
    <x v="1"/>
  </r>
  <r>
    <n v="501243"/>
    <n v="42124"/>
    <x v="0"/>
    <x v="6"/>
    <d v="2025-12-18T00:00:00"/>
    <s v="16:24"/>
    <x v="67"/>
    <x v="6"/>
    <n v="26"/>
    <x v="2"/>
    <n v="0"/>
    <n v="0"/>
    <n v="0"/>
    <n v="0"/>
    <n v="0"/>
    <x v="1"/>
    <n v="1"/>
    <x v="0"/>
    <x v="1"/>
  </r>
  <r>
    <n v="501244"/>
    <n v="18345"/>
    <x v="0"/>
    <x v="7"/>
    <d v="2026-01-23T00:00:00"/>
    <s v="14:33"/>
    <x v="106"/>
    <x v="5"/>
    <n v="17"/>
    <x v="7"/>
    <n v="0"/>
    <n v="0"/>
    <n v="0"/>
    <n v="0"/>
    <n v="0"/>
    <x v="1"/>
    <n v="1"/>
    <x v="0"/>
    <x v="3"/>
  </r>
  <r>
    <n v="501245"/>
    <n v="72558"/>
    <x v="1"/>
    <x v="5"/>
    <d v="2026-02-07T00:00:00"/>
    <s v="14:35"/>
    <x v="178"/>
    <x v="6"/>
    <n v="25"/>
    <x v="8"/>
    <n v="0"/>
    <n v="0"/>
    <n v="0"/>
    <n v="0"/>
    <n v="0"/>
    <x v="1"/>
    <n v="1"/>
    <x v="1"/>
    <x v="1"/>
  </r>
  <r>
    <n v="501246"/>
    <n v="20929"/>
    <x v="1"/>
    <x v="1"/>
    <d v="2025-12-13T00:00:00"/>
    <s v="13:44"/>
    <x v="180"/>
    <x v="0"/>
    <n v="13"/>
    <x v="6"/>
    <n v="0"/>
    <n v="0"/>
    <n v="0"/>
    <n v="0"/>
    <n v="0"/>
    <x v="1"/>
    <n v="1"/>
    <x v="0"/>
    <x v="3"/>
  </r>
  <r>
    <n v="501247"/>
    <n v="84623"/>
    <x v="0"/>
    <x v="4"/>
    <d v="2026-02-23T00:00:00"/>
    <s v="22:06"/>
    <x v="151"/>
    <x v="4"/>
    <n v="38"/>
    <x v="6"/>
    <n v="1"/>
    <n v="0"/>
    <n v="0"/>
    <n v="0"/>
    <n v="0"/>
    <x v="1"/>
    <n v="0"/>
    <x v="0"/>
    <x v="1"/>
  </r>
  <r>
    <n v="501248"/>
    <n v="69802"/>
    <x v="0"/>
    <x v="7"/>
    <d v="2026-03-03T00:00:00"/>
    <s v="17:49"/>
    <x v="72"/>
    <x v="4"/>
    <n v="22"/>
    <x v="5"/>
    <n v="1"/>
    <n v="0"/>
    <n v="0"/>
    <n v="0"/>
    <n v="0"/>
    <x v="1"/>
    <n v="1"/>
    <x v="0"/>
    <x v="1"/>
  </r>
  <r>
    <n v="501249"/>
    <n v="94578"/>
    <x v="1"/>
    <x v="7"/>
    <d v="2026-03-06T00:00:00"/>
    <s v="17:24"/>
    <x v="112"/>
    <x v="4"/>
    <n v="42"/>
    <x v="8"/>
    <n v="0"/>
    <n v="0"/>
    <n v="0"/>
    <n v="0"/>
    <n v="0"/>
    <x v="1"/>
    <n v="1"/>
    <x v="1"/>
    <x v="0"/>
  </r>
  <r>
    <n v="501250"/>
    <n v="33878"/>
    <x v="1"/>
    <x v="0"/>
    <d v="2026-01-23T00:00:00"/>
    <s v="07:07"/>
    <x v="163"/>
    <x v="0"/>
    <n v="6"/>
    <x v="4"/>
    <n v="0"/>
    <n v="0"/>
    <n v="0"/>
    <n v="0"/>
    <n v="0"/>
    <x v="1"/>
    <n v="1"/>
    <x v="0"/>
    <x v="3"/>
  </r>
  <r>
    <n v="501251"/>
    <n v="33435"/>
    <x v="0"/>
    <x v="4"/>
    <d v="2026-01-08T00:00:00"/>
    <s v="17:16"/>
    <x v="100"/>
    <x v="0"/>
    <n v="44"/>
    <x v="0"/>
    <n v="0"/>
    <n v="0"/>
    <n v="0"/>
    <n v="0"/>
    <n v="0"/>
    <x v="1"/>
    <n v="1"/>
    <x v="0"/>
    <x v="0"/>
  </r>
  <r>
    <n v="501252"/>
    <n v="24249"/>
    <x v="0"/>
    <x v="1"/>
    <d v="2026-05-13T00:00:00"/>
    <s v="21:12"/>
    <x v="9"/>
    <x v="1"/>
    <n v="54"/>
    <x v="0"/>
    <n v="1"/>
    <n v="1"/>
    <n v="0"/>
    <n v="0"/>
    <n v="0"/>
    <x v="0"/>
    <n v="1"/>
    <x v="0"/>
    <x v="0"/>
  </r>
  <r>
    <n v="501253"/>
    <n v="30263"/>
    <x v="1"/>
    <x v="3"/>
    <d v="2026-01-28T00:00:00"/>
    <s v="21:26"/>
    <x v="47"/>
    <x v="6"/>
    <n v="0"/>
    <x v="1"/>
    <n v="0"/>
    <n v="0"/>
    <n v="0"/>
    <n v="0"/>
    <n v="0"/>
    <x v="1"/>
    <n v="0"/>
    <x v="0"/>
    <x v="3"/>
  </r>
  <r>
    <n v="501254"/>
    <n v="89970"/>
    <x v="0"/>
    <x v="2"/>
    <d v="2026-01-20T00:00:00"/>
    <s v="10:33"/>
    <x v="33"/>
    <x v="4"/>
    <n v="45"/>
    <x v="8"/>
    <n v="1"/>
    <n v="0"/>
    <n v="0"/>
    <n v="0"/>
    <n v="0"/>
    <x v="1"/>
    <n v="1"/>
    <x v="0"/>
    <x v="0"/>
  </r>
  <r>
    <n v="501255"/>
    <n v="71863"/>
    <x v="1"/>
    <x v="2"/>
    <d v="2026-02-25T00:00:00"/>
    <s v="10:11"/>
    <x v="27"/>
    <x v="6"/>
    <n v="62"/>
    <x v="2"/>
    <n v="1"/>
    <n v="1"/>
    <n v="0"/>
    <n v="0"/>
    <n v="0"/>
    <x v="0"/>
    <n v="1"/>
    <x v="0"/>
    <x v="2"/>
  </r>
  <r>
    <n v="501256"/>
    <n v="62963"/>
    <x v="0"/>
    <x v="4"/>
    <d v="2026-04-21T00:00:00"/>
    <s v="15:02"/>
    <x v="62"/>
    <x v="2"/>
    <n v="13"/>
    <x v="4"/>
    <n v="0"/>
    <n v="0"/>
    <n v="0"/>
    <n v="0"/>
    <n v="0"/>
    <x v="1"/>
    <n v="1"/>
    <x v="0"/>
    <x v="3"/>
  </r>
  <r>
    <n v="501257"/>
    <n v="45940"/>
    <x v="0"/>
    <x v="1"/>
    <d v="2025-12-19T00:00:00"/>
    <s v="23:39"/>
    <x v="129"/>
    <x v="3"/>
    <n v="71"/>
    <x v="1"/>
    <n v="1"/>
    <n v="1"/>
    <n v="0"/>
    <n v="0"/>
    <n v="0"/>
    <x v="0"/>
    <n v="1"/>
    <x v="0"/>
    <x v="2"/>
  </r>
  <r>
    <n v="501258"/>
    <n v="38177"/>
    <x v="1"/>
    <x v="7"/>
    <d v="2025-12-23T00:00:00"/>
    <s v="16:08"/>
    <x v="70"/>
    <x v="1"/>
    <n v="46"/>
    <x v="6"/>
    <n v="0"/>
    <n v="1"/>
    <n v="0"/>
    <n v="0"/>
    <n v="0"/>
    <x v="0"/>
    <n v="1"/>
    <x v="0"/>
    <x v="0"/>
  </r>
  <r>
    <n v="501259"/>
    <n v="16029"/>
    <x v="1"/>
    <x v="6"/>
    <d v="2026-04-25T00:00:00"/>
    <s v="19:36"/>
    <x v="105"/>
    <x v="6"/>
    <n v="23"/>
    <x v="1"/>
    <n v="1"/>
    <n v="0"/>
    <n v="0"/>
    <n v="0"/>
    <n v="0"/>
    <x v="1"/>
    <n v="1"/>
    <x v="1"/>
    <x v="1"/>
  </r>
  <r>
    <n v="501260"/>
    <n v="54917"/>
    <x v="1"/>
    <x v="2"/>
    <d v="2025-12-13T00:00:00"/>
    <s v="15:15"/>
    <x v="86"/>
    <x v="5"/>
    <n v="36"/>
    <x v="3"/>
    <n v="1"/>
    <n v="0"/>
    <n v="0"/>
    <n v="0"/>
    <n v="0"/>
    <x v="1"/>
    <n v="0"/>
    <x v="0"/>
    <x v="1"/>
  </r>
  <r>
    <n v="501261"/>
    <n v="64234"/>
    <x v="0"/>
    <x v="3"/>
    <d v="2026-04-17T00:00:00"/>
    <s v="20:58"/>
    <x v="29"/>
    <x v="3"/>
    <n v="49"/>
    <x v="9"/>
    <n v="1"/>
    <n v="0"/>
    <n v="0"/>
    <n v="0"/>
    <n v="0"/>
    <x v="1"/>
    <n v="1"/>
    <x v="0"/>
    <x v="0"/>
  </r>
  <r>
    <n v="501262"/>
    <n v="82964"/>
    <x v="1"/>
    <x v="0"/>
    <d v="2026-01-11T00:00:00"/>
    <s v="22:10"/>
    <x v="35"/>
    <x v="4"/>
    <n v="39"/>
    <x v="2"/>
    <n v="0"/>
    <n v="0"/>
    <n v="0"/>
    <n v="0"/>
    <n v="0"/>
    <x v="1"/>
    <n v="0"/>
    <x v="0"/>
    <x v="1"/>
  </r>
  <r>
    <n v="501263"/>
    <n v="57347"/>
    <x v="1"/>
    <x v="1"/>
    <d v="2026-01-19T00:00:00"/>
    <s v="17:00"/>
    <x v="96"/>
    <x v="0"/>
    <n v="48"/>
    <x v="2"/>
    <n v="1"/>
    <n v="0"/>
    <n v="0"/>
    <n v="0"/>
    <n v="0"/>
    <x v="1"/>
    <n v="1"/>
    <x v="0"/>
    <x v="0"/>
  </r>
  <r>
    <n v="501264"/>
    <n v="13032"/>
    <x v="0"/>
    <x v="5"/>
    <d v="2026-03-30T00:00:00"/>
    <s v="15:58"/>
    <x v="186"/>
    <x v="0"/>
    <n v="19"/>
    <x v="5"/>
    <n v="1"/>
    <n v="0"/>
    <n v="0"/>
    <n v="0"/>
    <n v="0"/>
    <x v="1"/>
    <n v="1"/>
    <x v="1"/>
    <x v="1"/>
  </r>
  <r>
    <n v="501265"/>
    <n v="79258"/>
    <x v="0"/>
    <x v="2"/>
    <d v="2026-03-21T00:00:00"/>
    <s v="00:30"/>
    <x v="3"/>
    <x v="1"/>
    <n v="41"/>
    <x v="7"/>
    <n v="1"/>
    <n v="0"/>
    <n v="0"/>
    <n v="0"/>
    <n v="0"/>
    <x v="1"/>
    <n v="1"/>
    <x v="0"/>
    <x v="0"/>
  </r>
  <r>
    <n v="501266"/>
    <n v="47047"/>
    <x v="1"/>
    <x v="5"/>
    <d v="2026-03-11T00:00:00"/>
    <s v="10:20"/>
    <x v="143"/>
    <x v="4"/>
    <n v="9"/>
    <x v="6"/>
    <n v="0"/>
    <n v="0"/>
    <n v="0"/>
    <n v="0"/>
    <n v="0"/>
    <x v="1"/>
    <n v="0"/>
    <x v="0"/>
    <x v="3"/>
  </r>
  <r>
    <n v="501267"/>
    <n v="79699"/>
    <x v="0"/>
    <x v="5"/>
    <d v="2026-01-21T00:00:00"/>
    <s v="00:46"/>
    <x v="21"/>
    <x v="1"/>
    <n v="35"/>
    <x v="9"/>
    <n v="1"/>
    <n v="0"/>
    <n v="0"/>
    <n v="0"/>
    <n v="0"/>
    <x v="1"/>
    <n v="0"/>
    <x v="0"/>
    <x v="1"/>
  </r>
  <r>
    <n v="501268"/>
    <n v="66485"/>
    <x v="1"/>
    <x v="6"/>
    <d v="2026-02-14T00:00:00"/>
    <s v="18:29"/>
    <x v="95"/>
    <x v="6"/>
    <n v="19"/>
    <x v="3"/>
    <n v="0"/>
    <n v="0"/>
    <n v="0"/>
    <n v="0"/>
    <n v="0"/>
    <x v="1"/>
    <n v="1"/>
    <x v="0"/>
    <x v="1"/>
  </r>
  <r>
    <n v="501269"/>
    <n v="54539"/>
    <x v="1"/>
    <x v="4"/>
    <d v="2026-03-22T00:00:00"/>
    <s v="18:45"/>
    <x v="185"/>
    <x v="5"/>
    <n v="23"/>
    <x v="7"/>
    <n v="1"/>
    <n v="0"/>
    <n v="0"/>
    <n v="0"/>
    <n v="0"/>
    <x v="1"/>
    <n v="0"/>
    <x v="1"/>
    <x v="1"/>
  </r>
  <r>
    <n v="501270"/>
    <n v="39521"/>
    <x v="1"/>
    <x v="4"/>
    <d v="2025-12-30T00:00:00"/>
    <s v="17:04"/>
    <x v="6"/>
    <x v="2"/>
    <n v="62"/>
    <x v="2"/>
    <n v="1"/>
    <n v="0"/>
    <n v="0"/>
    <n v="0"/>
    <n v="0"/>
    <x v="1"/>
    <n v="1"/>
    <x v="0"/>
    <x v="2"/>
  </r>
  <r>
    <n v="501271"/>
    <n v="56484"/>
    <x v="0"/>
    <x v="1"/>
    <d v="2026-05-10T00:00:00"/>
    <s v="11:19"/>
    <x v="132"/>
    <x v="5"/>
    <n v="59"/>
    <x v="2"/>
    <n v="0"/>
    <n v="1"/>
    <n v="1"/>
    <n v="0"/>
    <n v="0"/>
    <x v="0"/>
    <n v="1"/>
    <x v="0"/>
    <x v="0"/>
  </r>
  <r>
    <n v="501272"/>
    <n v="19078"/>
    <x v="1"/>
    <x v="2"/>
    <d v="2025-12-03T00:00:00"/>
    <s v="13:27"/>
    <x v="39"/>
    <x v="1"/>
    <n v="50"/>
    <x v="1"/>
    <n v="0"/>
    <n v="1"/>
    <n v="1"/>
    <n v="0"/>
    <n v="0"/>
    <x v="0"/>
    <n v="0"/>
    <x v="0"/>
    <x v="0"/>
  </r>
  <r>
    <n v="501273"/>
    <n v="13577"/>
    <x v="0"/>
    <x v="6"/>
    <d v="2026-02-21T00:00:00"/>
    <s v="16:36"/>
    <x v="12"/>
    <x v="5"/>
    <n v="16"/>
    <x v="6"/>
    <n v="0"/>
    <n v="0"/>
    <n v="0"/>
    <n v="0"/>
    <n v="0"/>
    <x v="1"/>
    <n v="1"/>
    <x v="0"/>
    <x v="3"/>
  </r>
  <r>
    <n v="501274"/>
    <n v="37339"/>
    <x v="1"/>
    <x v="0"/>
    <d v="2026-03-17T00:00:00"/>
    <s v="22:12"/>
    <x v="26"/>
    <x v="0"/>
    <n v="31"/>
    <x v="3"/>
    <n v="1"/>
    <n v="0"/>
    <n v="0"/>
    <n v="0"/>
    <n v="0"/>
    <x v="1"/>
    <n v="1"/>
    <x v="0"/>
    <x v="1"/>
  </r>
  <r>
    <n v="501275"/>
    <n v="22170"/>
    <x v="0"/>
    <x v="5"/>
    <d v="2026-01-11T00:00:00"/>
    <s v="10:26"/>
    <x v="179"/>
    <x v="4"/>
    <n v="62"/>
    <x v="2"/>
    <n v="0"/>
    <n v="1"/>
    <n v="0"/>
    <n v="0"/>
    <n v="0"/>
    <x v="0"/>
    <n v="1"/>
    <x v="0"/>
    <x v="2"/>
  </r>
  <r>
    <n v="501276"/>
    <n v="76441"/>
    <x v="1"/>
    <x v="6"/>
    <d v="2026-05-21T00:00:00"/>
    <s v="21:04"/>
    <x v="168"/>
    <x v="0"/>
    <n v="40"/>
    <x v="0"/>
    <n v="0"/>
    <n v="0"/>
    <n v="0"/>
    <n v="0"/>
    <n v="0"/>
    <x v="1"/>
    <n v="1"/>
    <x v="0"/>
    <x v="1"/>
  </r>
  <r>
    <n v="501277"/>
    <n v="23115"/>
    <x v="1"/>
    <x v="2"/>
    <d v="2026-02-20T00:00:00"/>
    <s v="12:13"/>
    <x v="95"/>
    <x v="6"/>
    <n v="84"/>
    <x v="0"/>
    <n v="0"/>
    <n v="0"/>
    <n v="0"/>
    <n v="0"/>
    <n v="0"/>
    <x v="1"/>
    <n v="1"/>
    <x v="0"/>
    <x v="2"/>
  </r>
  <r>
    <n v="501278"/>
    <n v="71782"/>
    <x v="0"/>
    <x v="7"/>
    <d v="2026-05-15T00:00:00"/>
    <s v="20:49"/>
    <x v="138"/>
    <x v="1"/>
    <n v="45"/>
    <x v="4"/>
    <n v="0"/>
    <n v="0"/>
    <n v="1"/>
    <n v="0"/>
    <n v="0"/>
    <x v="0"/>
    <n v="1"/>
    <x v="0"/>
    <x v="0"/>
  </r>
  <r>
    <n v="501279"/>
    <n v="71579"/>
    <x v="0"/>
    <x v="0"/>
    <d v="2026-03-02T00:00:00"/>
    <s v="19:50"/>
    <x v="135"/>
    <x v="0"/>
    <n v="41"/>
    <x v="9"/>
    <n v="0"/>
    <n v="0"/>
    <n v="0"/>
    <n v="0"/>
    <n v="0"/>
    <x v="1"/>
    <n v="1"/>
    <x v="0"/>
    <x v="0"/>
  </r>
  <r>
    <n v="501280"/>
    <n v="32599"/>
    <x v="0"/>
    <x v="3"/>
    <d v="2026-03-27T00:00:00"/>
    <s v="05:14"/>
    <x v="161"/>
    <x v="6"/>
    <n v="31"/>
    <x v="2"/>
    <n v="1"/>
    <n v="0"/>
    <n v="0"/>
    <n v="0"/>
    <n v="0"/>
    <x v="1"/>
    <n v="1"/>
    <x v="0"/>
    <x v="1"/>
  </r>
  <r>
    <n v="501281"/>
    <n v="50116"/>
    <x v="1"/>
    <x v="2"/>
    <d v="2026-02-13T00:00:00"/>
    <s v="05:10"/>
    <x v="53"/>
    <x v="1"/>
    <n v="40"/>
    <x v="0"/>
    <n v="1"/>
    <n v="0"/>
    <n v="0"/>
    <n v="1"/>
    <n v="0"/>
    <x v="1"/>
    <n v="1"/>
    <x v="0"/>
    <x v="1"/>
  </r>
  <r>
    <n v="501282"/>
    <n v="28919"/>
    <x v="1"/>
    <x v="0"/>
    <d v="2026-05-01T00:00:00"/>
    <s v="19:59"/>
    <x v="173"/>
    <x v="3"/>
    <n v="34"/>
    <x v="8"/>
    <n v="1"/>
    <n v="0"/>
    <n v="0"/>
    <n v="0"/>
    <n v="0"/>
    <x v="1"/>
    <n v="1"/>
    <x v="1"/>
    <x v="1"/>
  </r>
  <r>
    <n v="501283"/>
    <n v="55700"/>
    <x v="0"/>
    <x v="5"/>
    <d v="2026-03-06T00:00:00"/>
    <s v="11:48"/>
    <x v="71"/>
    <x v="6"/>
    <n v="52"/>
    <x v="5"/>
    <n v="0"/>
    <n v="1"/>
    <n v="0"/>
    <n v="0"/>
    <n v="0"/>
    <x v="0"/>
    <n v="1"/>
    <x v="1"/>
    <x v="0"/>
  </r>
  <r>
    <n v="501284"/>
    <n v="89071"/>
    <x v="0"/>
    <x v="7"/>
    <d v="2026-05-20T00:00:00"/>
    <s v="16:26"/>
    <x v="195"/>
    <x v="1"/>
    <n v="57"/>
    <x v="3"/>
    <n v="1"/>
    <n v="0"/>
    <n v="0"/>
    <n v="0"/>
    <n v="0"/>
    <x v="1"/>
    <n v="1"/>
    <x v="1"/>
    <x v="0"/>
  </r>
  <r>
    <n v="501285"/>
    <n v="74592"/>
    <x v="0"/>
    <x v="3"/>
    <d v="2026-03-22T00:00:00"/>
    <s v="17:43"/>
    <x v="49"/>
    <x v="3"/>
    <n v="22"/>
    <x v="1"/>
    <n v="0"/>
    <n v="0"/>
    <n v="0"/>
    <n v="0"/>
    <n v="0"/>
    <x v="1"/>
    <n v="1"/>
    <x v="0"/>
    <x v="1"/>
  </r>
  <r>
    <n v="501286"/>
    <n v="62931"/>
    <x v="1"/>
    <x v="5"/>
    <d v="2026-04-17T00:00:00"/>
    <s v="12:40"/>
    <x v="134"/>
    <x v="5"/>
    <n v="11"/>
    <x v="1"/>
    <n v="0"/>
    <n v="0"/>
    <n v="0"/>
    <n v="0"/>
    <n v="0"/>
    <x v="1"/>
    <n v="1"/>
    <x v="0"/>
    <x v="3"/>
  </r>
  <r>
    <n v="501287"/>
    <n v="53073"/>
    <x v="1"/>
    <x v="7"/>
    <d v="2026-02-26T00:00:00"/>
    <s v="00:51"/>
    <x v="125"/>
    <x v="5"/>
    <n v="1"/>
    <x v="2"/>
    <n v="0"/>
    <n v="0"/>
    <n v="0"/>
    <n v="0"/>
    <n v="0"/>
    <x v="1"/>
    <n v="1"/>
    <x v="1"/>
    <x v="3"/>
  </r>
  <r>
    <n v="501288"/>
    <n v="14485"/>
    <x v="1"/>
    <x v="0"/>
    <d v="2026-03-15T00:00:00"/>
    <s v="13:44"/>
    <x v="136"/>
    <x v="2"/>
    <n v="48"/>
    <x v="1"/>
    <n v="0"/>
    <n v="1"/>
    <n v="0"/>
    <n v="0"/>
    <n v="0"/>
    <x v="0"/>
    <n v="1"/>
    <x v="1"/>
    <x v="0"/>
  </r>
  <r>
    <n v="501289"/>
    <n v="73016"/>
    <x v="1"/>
    <x v="2"/>
    <d v="2026-03-02T00:00:00"/>
    <s v="17:19"/>
    <x v="85"/>
    <x v="3"/>
    <n v="15"/>
    <x v="1"/>
    <n v="0"/>
    <n v="0"/>
    <n v="0"/>
    <n v="0"/>
    <n v="0"/>
    <x v="1"/>
    <n v="0"/>
    <x v="0"/>
    <x v="3"/>
  </r>
  <r>
    <n v="501290"/>
    <n v="69258"/>
    <x v="0"/>
    <x v="6"/>
    <d v="2026-02-07T00:00:00"/>
    <s v="22:19"/>
    <x v="167"/>
    <x v="3"/>
    <n v="0"/>
    <x v="9"/>
    <n v="0"/>
    <n v="0"/>
    <n v="0"/>
    <n v="0"/>
    <n v="0"/>
    <x v="1"/>
    <n v="1"/>
    <x v="0"/>
    <x v="3"/>
  </r>
  <r>
    <n v="501291"/>
    <n v="95912"/>
    <x v="1"/>
    <x v="2"/>
    <d v="2026-05-10T00:00:00"/>
    <s v="13:12"/>
    <x v="103"/>
    <x v="3"/>
    <n v="45"/>
    <x v="2"/>
    <n v="1"/>
    <n v="0"/>
    <n v="0"/>
    <n v="0"/>
    <n v="0"/>
    <x v="1"/>
    <n v="1"/>
    <x v="1"/>
    <x v="0"/>
  </r>
  <r>
    <n v="501292"/>
    <n v="54875"/>
    <x v="1"/>
    <x v="5"/>
    <d v="2026-02-19T00:00:00"/>
    <s v="03:09"/>
    <x v="19"/>
    <x v="2"/>
    <n v="87"/>
    <x v="4"/>
    <n v="1"/>
    <n v="0"/>
    <n v="0"/>
    <n v="0"/>
    <n v="0"/>
    <x v="1"/>
    <n v="1"/>
    <x v="0"/>
    <x v="2"/>
  </r>
  <r>
    <n v="501293"/>
    <n v="48759"/>
    <x v="0"/>
    <x v="2"/>
    <d v="2026-04-14T00:00:00"/>
    <s v="10:44"/>
    <x v="124"/>
    <x v="0"/>
    <n v="37"/>
    <x v="0"/>
    <n v="1"/>
    <n v="0"/>
    <n v="0"/>
    <n v="0"/>
    <n v="0"/>
    <x v="1"/>
    <n v="1"/>
    <x v="0"/>
    <x v="1"/>
  </r>
  <r>
    <n v="501294"/>
    <n v="76155"/>
    <x v="0"/>
    <x v="4"/>
    <d v="2026-01-12T00:00:00"/>
    <s v="03:19"/>
    <x v="179"/>
    <x v="4"/>
    <n v="54"/>
    <x v="8"/>
    <n v="0"/>
    <n v="1"/>
    <n v="0"/>
    <n v="0"/>
    <n v="0"/>
    <x v="0"/>
    <n v="0"/>
    <x v="0"/>
    <x v="0"/>
  </r>
  <r>
    <n v="501295"/>
    <n v="29892"/>
    <x v="0"/>
    <x v="2"/>
    <d v="2026-03-28T00:00:00"/>
    <s v="23:34"/>
    <x v="36"/>
    <x v="3"/>
    <n v="39"/>
    <x v="8"/>
    <n v="0"/>
    <n v="0"/>
    <n v="0"/>
    <n v="0"/>
    <n v="0"/>
    <x v="1"/>
    <n v="1"/>
    <x v="1"/>
    <x v="1"/>
  </r>
  <r>
    <n v="501296"/>
    <n v="99180"/>
    <x v="0"/>
    <x v="1"/>
    <d v="2026-03-03T00:00:00"/>
    <s v="14:50"/>
    <x v="135"/>
    <x v="0"/>
    <n v="36"/>
    <x v="2"/>
    <n v="1"/>
    <n v="0"/>
    <n v="0"/>
    <n v="0"/>
    <n v="0"/>
    <x v="1"/>
    <n v="0"/>
    <x v="0"/>
    <x v="1"/>
  </r>
  <r>
    <n v="501297"/>
    <n v="48862"/>
    <x v="1"/>
    <x v="4"/>
    <d v="2026-04-26T00:00:00"/>
    <s v="23:10"/>
    <x v="46"/>
    <x v="4"/>
    <n v="56"/>
    <x v="3"/>
    <n v="1"/>
    <n v="1"/>
    <n v="0"/>
    <n v="0"/>
    <n v="0"/>
    <x v="0"/>
    <n v="1"/>
    <x v="0"/>
    <x v="0"/>
  </r>
  <r>
    <n v="501298"/>
    <n v="90362"/>
    <x v="0"/>
    <x v="0"/>
    <d v="2026-04-14T00:00:00"/>
    <s v="14:21"/>
    <x v="25"/>
    <x v="4"/>
    <n v="32"/>
    <x v="5"/>
    <n v="0"/>
    <n v="0"/>
    <n v="0"/>
    <n v="0"/>
    <n v="0"/>
    <x v="1"/>
    <n v="0"/>
    <x v="0"/>
    <x v="1"/>
  </r>
  <r>
    <n v="501299"/>
    <n v="41780"/>
    <x v="1"/>
    <x v="3"/>
    <d v="2026-04-07T00:00:00"/>
    <s v="21:24"/>
    <x v="3"/>
    <x v="1"/>
    <n v="43"/>
    <x v="5"/>
    <n v="1"/>
    <n v="0"/>
    <n v="0"/>
    <n v="0"/>
    <n v="0"/>
    <x v="1"/>
    <n v="1"/>
    <x v="0"/>
    <x v="0"/>
  </r>
  <r>
    <n v="501300"/>
    <n v="28407"/>
    <x v="1"/>
    <x v="5"/>
    <d v="2025-12-25T00:00:00"/>
    <s v="15:06"/>
    <x v="73"/>
    <x v="6"/>
    <n v="44"/>
    <x v="9"/>
    <n v="0"/>
    <n v="0"/>
    <n v="1"/>
    <n v="0"/>
    <n v="0"/>
    <x v="0"/>
    <n v="1"/>
    <x v="0"/>
    <x v="0"/>
  </r>
  <r>
    <n v="501301"/>
    <n v="78238"/>
    <x v="1"/>
    <x v="5"/>
    <d v="2025-12-11T00:00:00"/>
    <s v="10:51"/>
    <x v="86"/>
    <x v="5"/>
    <n v="24"/>
    <x v="9"/>
    <n v="1"/>
    <n v="0"/>
    <n v="0"/>
    <n v="0"/>
    <n v="0"/>
    <x v="1"/>
    <n v="0"/>
    <x v="0"/>
    <x v="1"/>
  </r>
  <r>
    <n v="501302"/>
    <n v="89958"/>
    <x v="1"/>
    <x v="3"/>
    <d v="2026-02-11T00:00:00"/>
    <s v="00:37"/>
    <x v="53"/>
    <x v="1"/>
    <n v="57"/>
    <x v="6"/>
    <n v="1"/>
    <n v="0"/>
    <n v="0"/>
    <n v="1"/>
    <n v="0"/>
    <x v="1"/>
    <n v="1"/>
    <x v="0"/>
    <x v="0"/>
  </r>
  <r>
    <n v="501303"/>
    <n v="32079"/>
    <x v="1"/>
    <x v="7"/>
    <d v="2025-12-30T00:00:00"/>
    <s v="00:05"/>
    <x v="109"/>
    <x v="1"/>
    <n v="34"/>
    <x v="1"/>
    <n v="0"/>
    <n v="0"/>
    <n v="0"/>
    <n v="0"/>
    <n v="0"/>
    <x v="1"/>
    <n v="0"/>
    <x v="0"/>
    <x v="1"/>
  </r>
  <r>
    <n v="501304"/>
    <n v="41626"/>
    <x v="1"/>
    <x v="4"/>
    <d v="2025-12-10T00:00:00"/>
    <s v="11:52"/>
    <x v="148"/>
    <x v="2"/>
    <n v="22"/>
    <x v="5"/>
    <n v="0"/>
    <n v="0"/>
    <n v="0"/>
    <n v="0"/>
    <n v="0"/>
    <x v="1"/>
    <n v="1"/>
    <x v="0"/>
    <x v="1"/>
  </r>
  <r>
    <n v="501305"/>
    <n v="46158"/>
    <x v="1"/>
    <x v="2"/>
    <d v="2026-01-09T00:00:00"/>
    <s v="11:11"/>
    <x v="54"/>
    <x v="6"/>
    <n v="48"/>
    <x v="5"/>
    <n v="1"/>
    <n v="0"/>
    <n v="1"/>
    <n v="0"/>
    <n v="0"/>
    <x v="0"/>
    <n v="1"/>
    <x v="0"/>
    <x v="0"/>
  </r>
  <r>
    <n v="501306"/>
    <n v="87474"/>
    <x v="1"/>
    <x v="7"/>
    <d v="2026-04-06T00:00:00"/>
    <s v="08:05"/>
    <x v="176"/>
    <x v="3"/>
    <n v="20"/>
    <x v="6"/>
    <n v="1"/>
    <n v="0"/>
    <n v="0"/>
    <n v="0"/>
    <n v="0"/>
    <x v="1"/>
    <n v="0"/>
    <x v="0"/>
    <x v="1"/>
  </r>
  <r>
    <n v="501307"/>
    <n v="78022"/>
    <x v="1"/>
    <x v="0"/>
    <d v="2026-05-08T00:00:00"/>
    <s v="20:05"/>
    <x v="14"/>
    <x v="6"/>
    <n v="38"/>
    <x v="9"/>
    <n v="0"/>
    <n v="0"/>
    <n v="0"/>
    <n v="0"/>
    <n v="0"/>
    <x v="1"/>
    <n v="0"/>
    <x v="0"/>
    <x v="1"/>
  </r>
  <r>
    <n v="501308"/>
    <n v="25397"/>
    <x v="0"/>
    <x v="2"/>
    <d v="2026-03-15T00:00:00"/>
    <s v="03:11"/>
    <x v="102"/>
    <x v="4"/>
    <n v="37"/>
    <x v="9"/>
    <n v="1"/>
    <n v="0"/>
    <n v="0"/>
    <n v="0"/>
    <n v="0"/>
    <x v="1"/>
    <n v="1"/>
    <x v="0"/>
    <x v="1"/>
  </r>
  <r>
    <n v="501309"/>
    <n v="67703"/>
    <x v="1"/>
    <x v="0"/>
    <d v="2026-01-03T00:00:00"/>
    <s v="02:56"/>
    <x v="5"/>
    <x v="1"/>
    <n v="59"/>
    <x v="5"/>
    <n v="1"/>
    <n v="0"/>
    <n v="1"/>
    <n v="0"/>
    <n v="1"/>
    <x v="0"/>
    <n v="1"/>
    <x v="0"/>
    <x v="0"/>
  </r>
  <r>
    <n v="501310"/>
    <n v="13719"/>
    <x v="1"/>
    <x v="7"/>
    <d v="2026-03-17T00:00:00"/>
    <s v="23:36"/>
    <x v="97"/>
    <x v="4"/>
    <n v="47"/>
    <x v="4"/>
    <n v="1"/>
    <n v="0"/>
    <n v="0"/>
    <n v="0"/>
    <n v="0"/>
    <x v="1"/>
    <n v="1"/>
    <x v="0"/>
    <x v="0"/>
  </r>
  <r>
    <n v="501311"/>
    <n v="93205"/>
    <x v="1"/>
    <x v="3"/>
    <d v="2026-03-31T00:00:00"/>
    <s v="08:34"/>
    <x v="3"/>
    <x v="1"/>
    <n v="37"/>
    <x v="1"/>
    <n v="1"/>
    <n v="0"/>
    <n v="0"/>
    <n v="0"/>
    <n v="0"/>
    <x v="1"/>
    <n v="0"/>
    <x v="1"/>
    <x v="1"/>
  </r>
  <r>
    <n v="501312"/>
    <n v="75514"/>
    <x v="0"/>
    <x v="2"/>
    <d v="2026-05-16T00:00:00"/>
    <s v="10:50"/>
    <x v="32"/>
    <x v="5"/>
    <n v="54"/>
    <x v="4"/>
    <n v="0"/>
    <n v="1"/>
    <n v="0"/>
    <n v="0"/>
    <n v="0"/>
    <x v="0"/>
    <n v="1"/>
    <x v="0"/>
    <x v="0"/>
  </r>
  <r>
    <n v="501313"/>
    <n v="93817"/>
    <x v="0"/>
    <x v="4"/>
    <d v="2026-01-01T00:00:00"/>
    <s v="10:49"/>
    <x v="50"/>
    <x v="5"/>
    <n v="65"/>
    <x v="1"/>
    <n v="1"/>
    <n v="0"/>
    <n v="0"/>
    <n v="0"/>
    <n v="0"/>
    <x v="1"/>
    <n v="1"/>
    <x v="1"/>
    <x v="2"/>
  </r>
  <r>
    <n v="501314"/>
    <n v="12087"/>
    <x v="0"/>
    <x v="1"/>
    <d v="2025-12-02T00:00:00"/>
    <s v="17:24"/>
    <x v="1"/>
    <x v="1"/>
    <n v="49"/>
    <x v="9"/>
    <n v="1"/>
    <n v="0"/>
    <n v="0"/>
    <n v="0"/>
    <n v="0"/>
    <x v="1"/>
    <n v="1"/>
    <x v="0"/>
    <x v="0"/>
  </r>
  <r>
    <n v="501315"/>
    <n v="19952"/>
    <x v="0"/>
    <x v="5"/>
    <d v="2025-12-17T00:00:00"/>
    <s v="05:55"/>
    <x v="180"/>
    <x v="0"/>
    <n v="38"/>
    <x v="6"/>
    <n v="1"/>
    <n v="0"/>
    <n v="0"/>
    <n v="0"/>
    <n v="0"/>
    <x v="1"/>
    <n v="1"/>
    <x v="0"/>
    <x v="1"/>
  </r>
  <r>
    <n v="501316"/>
    <n v="27436"/>
    <x v="1"/>
    <x v="5"/>
    <d v="2026-02-28T00:00:00"/>
    <s v="21:41"/>
    <x v="66"/>
    <x v="6"/>
    <n v="11"/>
    <x v="0"/>
    <n v="0"/>
    <n v="0"/>
    <n v="0"/>
    <n v="0"/>
    <n v="0"/>
    <x v="1"/>
    <n v="0"/>
    <x v="0"/>
    <x v="3"/>
  </r>
  <r>
    <n v="501317"/>
    <n v="39468"/>
    <x v="1"/>
    <x v="0"/>
    <d v="2026-05-21T00:00:00"/>
    <s v="01:04"/>
    <x v="166"/>
    <x v="2"/>
    <n v="16"/>
    <x v="1"/>
    <n v="0"/>
    <n v="0"/>
    <n v="0"/>
    <n v="0"/>
    <n v="0"/>
    <x v="1"/>
    <n v="1"/>
    <x v="0"/>
    <x v="3"/>
  </r>
  <r>
    <n v="501318"/>
    <n v="74814"/>
    <x v="0"/>
    <x v="1"/>
    <d v="2026-01-08T00:00:00"/>
    <s v="23:24"/>
    <x v="5"/>
    <x v="1"/>
    <n v="31"/>
    <x v="1"/>
    <n v="0"/>
    <n v="0"/>
    <n v="0"/>
    <n v="0"/>
    <n v="0"/>
    <x v="1"/>
    <n v="1"/>
    <x v="0"/>
    <x v="1"/>
  </r>
  <r>
    <n v="501319"/>
    <n v="12722"/>
    <x v="1"/>
    <x v="6"/>
    <d v="2026-05-18T00:00:00"/>
    <s v="08:30"/>
    <x v="164"/>
    <x v="2"/>
    <n v="25"/>
    <x v="5"/>
    <n v="0"/>
    <n v="0"/>
    <n v="0"/>
    <n v="0"/>
    <n v="0"/>
    <x v="1"/>
    <n v="1"/>
    <x v="0"/>
    <x v="1"/>
  </r>
  <r>
    <n v="501320"/>
    <n v="60738"/>
    <x v="1"/>
    <x v="2"/>
    <d v="2025-12-02T00:00:00"/>
    <s v="15:24"/>
    <x v="129"/>
    <x v="3"/>
    <n v="34"/>
    <x v="0"/>
    <n v="1"/>
    <n v="0"/>
    <n v="0"/>
    <n v="0"/>
    <n v="0"/>
    <x v="1"/>
    <n v="0"/>
    <x v="1"/>
    <x v="1"/>
  </r>
  <r>
    <n v="501321"/>
    <n v="56802"/>
    <x v="0"/>
    <x v="3"/>
    <d v="2025-12-22T00:00:00"/>
    <s v="17:13"/>
    <x v="30"/>
    <x v="3"/>
    <n v="39"/>
    <x v="4"/>
    <n v="0"/>
    <n v="0"/>
    <n v="0"/>
    <n v="0"/>
    <n v="0"/>
    <x v="1"/>
    <n v="1"/>
    <x v="0"/>
    <x v="1"/>
  </r>
  <r>
    <n v="501322"/>
    <n v="76512"/>
    <x v="1"/>
    <x v="2"/>
    <d v="2026-04-28T00:00:00"/>
    <s v="14:26"/>
    <x v="18"/>
    <x v="5"/>
    <n v="48"/>
    <x v="6"/>
    <n v="0"/>
    <n v="0"/>
    <n v="0"/>
    <n v="0"/>
    <n v="0"/>
    <x v="1"/>
    <n v="0"/>
    <x v="0"/>
    <x v="0"/>
  </r>
  <r>
    <n v="501323"/>
    <n v="85269"/>
    <x v="0"/>
    <x v="6"/>
    <d v="2025-12-21T00:00:00"/>
    <s v="18:53"/>
    <x v="127"/>
    <x v="4"/>
    <n v="36"/>
    <x v="9"/>
    <n v="1"/>
    <n v="0"/>
    <n v="0"/>
    <n v="0"/>
    <n v="0"/>
    <x v="1"/>
    <n v="0"/>
    <x v="1"/>
    <x v="1"/>
  </r>
  <r>
    <n v="501324"/>
    <n v="83394"/>
    <x v="1"/>
    <x v="0"/>
    <d v="2026-03-18T00:00:00"/>
    <s v="01:18"/>
    <x v="143"/>
    <x v="4"/>
    <n v="47"/>
    <x v="4"/>
    <n v="1"/>
    <n v="0"/>
    <n v="1"/>
    <n v="0"/>
    <n v="0"/>
    <x v="0"/>
    <n v="1"/>
    <x v="0"/>
    <x v="0"/>
  </r>
  <r>
    <n v="501325"/>
    <n v="13614"/>
    <x v="1"/>
    <x v="4"/>
    <d v="2025-12-09T00:00:00"/>
    <s v="02:59"/>
    <x v="86"/>
    <x v="5"/>
    <n v="39"/>
    <x v="2"/>
    <n v="1"/>
    <n v="0"/>
    <n v="0"/>
    <n v="0"/>
    <n v="0"/>
    <x v="1"/>
    <n v="1"/>
    <x v="0"/>
    <x v="1"/>
  </r>
  <r>
    <n v="501326"/>
    <n v="53323"/>
    <x v="0"/>
    <x v="4"/>
    <d v="2025-12-17T00:00:00"/>
    <s v="16:58"/>
    <x v="73"/>
    <x v="6"/>
    <n v="0"/>
    <x v="2"/>
    <n v="0"/>
    <n v="0"/>
    <n v="0"/>
    <n v="0"/>
    <n v="0"/>
    <x v="1"/>
    <n v="0"/>
    <x v="0"/>
    <x v="3"/>
  </r>
  <r>
    <n v="501327"/>
    <n v="10888"/>
    <x v="0"/>
    <x v="2"/>
    <d v="2026-02-23T00:00:00"/>
    <s v="23:39"/>
    <x v="88"/>
    <x v="2"/>
    <n v="19"/>
    <x v="9"/>
    <n v="0"/>
    <n v="0"/>
    <n v="0"/>
    <n v="0"/>
    <n v="0"/>
    <x v="1"/>
    <n v="1"/>
    <x v="1"/>
    <x v="1"/>
  </r>
  <r>
    <n v="501328"/>
    <n v="64225"/>
    <x v="0"/>
    <x v="1"/>
    <d v="2026-04-20T00:00:00"/>
    <s v="22:40"/>
    <x v="29"/>
    <x v="3"/>
    <n v="35"/>
    <x v="1"/>
    <n v="0"/>
    <n v="0"/>
    <n v="0"/>
    <n v="0"/>
    <n v="0"/>
    <x v="1"/>
    <n v="0"/>
    <x v="0"/>
    <x v="1"/>
  </r>
  <r>
    <n v="501329"/>
    <n v="53488"/>
    <x v="0"/>
    <x v="5"/>
    <d v="2026-02-12T00:00:00"/>
    <s v="10:25"/>
    <x v="44"/>
    <x v="0"/>
    <n v="13"/>
    <x v="5"/>
    <n v="0"/>
    <n v="0"/>
    <n v="0"/>
    <n v="0"/>
    <n v="0"/>
    <x v="1"/>
    <n v="0"/>
    <x v="0"/>
    <x v="3"/>
  </r>
  <r>
    <n v="501330"/>
    <n v="63421"/>
    <x v="1"/>
    <x v="6"/>
    <d v="2025-12-22T00:00:00"/>
    <s v="21:33"/>
    <x v="80"/>
    <x v="0"/>
    <n v="49"/>
    <x v="2"/>
    <n v="1"/>
    <n v="1"/>
    <n v="0"/>
    <n v="0"/>
    <n v="0"/>
    <x v="0"/>
    <n v="1"/>
    <x v="1"/>
    <x v="0"/>
  </r>
  <r>
    <n v="501331"/>
    <n v="44144"/>
    <x v="1"/>
    <x v="1"/>
    <d v="2025-11-25T00:00:00"/>
    <s v="00:18"/>
    <x v="110"/>
    <x v="5"/>
    <n v="68"/>
    <x v="1"/>
    <n v="1"/>
    <n v="0"/>
    <n v="0"/>
    <n v="0"/>
    <n v="0"/>
    <x v="1"/>
    <n v="1"/>
    <x v="0"/>
    <x v="2"/>
  </r>
  <r>
    <n v="501332"/>
    <n v="83023"/>
    <x v="0"/>
    <x v="2"/>
    <d v="2026-04-07T00:00:00"/>
    <s v="04:13"/>
    <x v="0"/>
    <x v="0"/>
    <n v="62"/>
    <x v="6"/>
    <n v="0"/>
    <n v="1"/>
    <n v="0"/>
    <n v="1"/>
    <n v="0"/>
    <x v="0"/>
    <n v="0"/>
    <x v="0"/>
    <x v="2"/>
  </r>
  <r>
    <n v="501333"/>
    <n v="59130"/>
    <x v="0"/>
    <x v="3"/>
    <d v="2025-11-29T00:00:00"/>
    <s v="15:16"/>
    <x v="121"/>
    <x v="3"/>
    <n v="33"/>
    <x v="1"/>
    <n v="1"/>
    <n v="0"/>
    <n v="0"/>
    <n v="0"/>
    <n v="0"/>
    <x v="1"/>
    <n v="1"/>
    <x v="0"/>
    <x v="1"/>
  </r>
  <r>
    <n v="501334"/>
    <n v="30273"/>
    <x v="1"/>
    <x v="3"/>
    <d v="2025-12-06T00:00:00"/>
    <s v="20:08"/>
    <x v="170"/>
    <x v="1"/>
    <n v="67"/>
    <x v="3"/>
    <n v="0"/>
    <n v="0"/>
    <n v="0"/>
    <n v="0"/>
    <n v="0"/>
    <x v="1"/>
    <n v="0"/>
    <x v="0"/>
    <x v="2"/>
  </r>
  <r>
    <n v="501335"/>
    <n v="25765"/>
    <x v="1"/>
    <x v="7"/>
    <d v="2025-12-18T00:00:00"/>
    <s v="05:58"/>
    <x v="80"/>
    <x v="0"/>
    <n v="40"/>
    <x v="6"/>
    <n v="1"/>
    <n v="0"/>
    <n v="0"/>
    <n v="0"/>
    <n v="0"/>
    <x v="1"/>
    <n v="1"/>
    <x v="1"/>
    <x v="1"/>
  </r>
  <r>
    <n v="501336"/>
    <n v="35317"/>
    <x v="0"/>
    <x v="2"/>
    <d v="2026-05-04T00:00:00"/>
    <s v="09:50"/>
    <x v="108"/>
    <x v="5"/>
    <n v="31"/>
    <x v="3"/>
    <n v="1"/>
    <n v="0"/>
    <n v="0"/>
    <n v="0"/>
    <n v="0"/>
    <x v="1"/>
    <n v="1"/>
    <x v="1"/>
    <x v="1"/>
  </r>
  <r>
    <n v="501337"/>
    <n v="42272"/>
    <x v="1"/>
    <x v="3"/>
    <d v="2026-03-10T00:00:00"/>
    <s v="22:17"/>
    <x v="111"/>
    <x v="1"/>
    <n v="25"/>
    <x v="1"/>
    <n v="1"/>
    <n v="0"/>
    <n v="0"/>
    <n v="0"/>
    <n v="0"/>
    <x v="1"/>
    <n v="1"/>
    <x v="0"/>
    <x v="1"/>
  </r>
  <r>
    <n v="501338"/>
    <n v="72970"/>
    <x v="0"/>
    <x v="5"/>
    <d v="2025-12-06T00:00:00"/>
    <s v="13:42"/>
    <x v="192"/>
    <x v="6"/>
    <n v="31"/>
    <x v="4"/>
    <n v="1"/>
    <n v="0"/>
    <n v="0"/>
    <n v="0"/>
    <n v="0"/>
    <x v="1"/>
    <n v="1"/>
    <x v="1"/>
    <x v="1"/>
  </r>
  <r>
    <n v="501339"/>
    <n v="35957"/>
    <x v="1"/>
    <x v="4"/>
    <d v="2026-04-13T00:00:00"/>
    <s v="20:05"/>
    <x v="171"/>
    <x v="6"/>
    <n v="30"/>
    <x v="5"/>
    <n v="1"/>
    <n v="0"/>
    <n v="0"/>
    <n v="0"/>
    <n v="0"/>
    <x v="1"/>
    <n v="1"/>
    <x v="0"/>
    <x v="1"/>
  </r>
  <r>
    <n v="501340"/>
    <n v="73452"/>
    <x v="1"/>
    <x v="7"/>
    <d v="2026-05-05T00:00:00"/>
    <s v="03:21"/>
    <x v="132"/>
    <x v="5"/>
    <n v="41"/>
    <x v="3"/>
    <n v="1"/>
    <n v="0"/>
    <n v="0"/>
    <n v="0"/>
    <n v="0"/>
    <x v="1"/>
    <n v="1"/>
    <x v="0"/>
    <x v="0"/>
  </r>
  <r>
    <n v="501341"/>
    <n v="50254"/>
    <x v="0"/>
    <x v="2"/>
    <d v="2026-04-13T00:00:00"/>
    <s v="08:29"/>
    <x v="147"/>
    <x v="2"/>
    <n v="41"/>
    <x v="7"/>
    <n v="0"/>
    <n v="0"/>
    <n v="1"/>
    <n v="0"/>
    <n v="0"/>
    <x v="0"/>
    <n v="0"/>
    <x v="1"/>
    <x v="0"/>
  </r>
  <r>
    <n v="501342"/>
    <n v="99674"/>
    <x v="1"/>
    <x v="3"/>
    <d v="2026-01-26T00:00:00"/>
    <s v="07:02"/>
    <x v="137"/>
    <x v="3"/>
    <n v="38"/>
    <x v="8"/>
    <n v="1"/>
    <n v="0"/>
    <n v="0"/>
    <n v="0"/>
    <n v="0"/>
    <x v="1"/>
    <n v="1"/>
    <x v="0"/>
    <x v="1"/>
  </r>
  <r>
    <n v="501343"/>
    <n v="34340"/>
    <x v="0"/>
    <x v="2"/>
    <d v="2026-02-16T00:00:00"/>
    <s v="18:54"/>
    <x v="56"/>
    <x v="3"/>
    <n v="46"/>
    <x v="6"/>
    <n v="0"/>
    <n v="0"/>
    <n v="0"/>
    <n v="0"/>
    <n v="0"/>
    <x v="1"/>
    <n v="1"/>
    <x v="0"/>
    <x v="0"/>
  </r>
  <r>
    <n v="501344"/>
    <n v="25247"/>
    <x v="1"/>
    <x v="0"/>
    <d v="2026-05-19T00:00:00"/>
    <s v="03:04"/>
    <x v="174"/>
    <x v="4"/>
    <n v="61"/>
    <x v="1"/>
    <n v="1"/>
    <n v="0"/>
    <n v="0"/>
    <n v="0"/>
    <n v="0"/>
    <x v="1"/>
    <n v="1"/>
    <x v="1"/>
    <x v="2"/>
  </r>
  <r>
    <n v="501345"/>
    <n v="42266"/>
    <x v="1"/>
    <x v="4"/>
    <d v="2025-12-18T00:00:00"/>
    <s v="17:32"/>
    <x v="156"/>
    <x v="5"/>
    <n v="56"/>
    <x v="9"/>
    <n v="1"/>
    <n v="1"/>
    <n v="0"/>
    <n v="0"/>
    <n v="0"/>
    <x v="0"/>
    <n v="1"/>
    <x v="0"/>
    <x v="0"/>
  </r>
  <r>
    <n v="501346"/>
    <n v="46449"/>
    <x v="0"/>
    <x v="6"/>
    <d v="2025-11-25T00:00:00"/>
    <s v="07:52"/>
    <x v="23"/>
    <x v="2"/>
    <n v="8"/>
    <x v="0"/>
    <n v="0"/>
    <n v="0"/>
    <n v="0"/>
    <n v="0"/>
    <n v="0"/>
    <x v="1"/>
    <n v="1"/>
    <x v="0"/>
    <x v="3"/>
  </r>
  <r>
    <n v="501347"/>
    <n v="68868"/>
    <x v="0"/>
    <x v="1"/>
    <d v="2026-01-11T00:00:00"/>
    <s v="16:10"/>
    <x v="117"/>
    <x v="5"/>
    <n v="0"/>
    <x v="6"/>
    <n v="0"/>
    <n v="0"/>
    <n v="0"/>
    <n v="0"/>
    <n v="0"/>
    <x v="1"/>
    <n v="1"/>
    <x v="0"/>
    <x v="3"/>
  </r>
  <r>
    <n v="501348"/>
    <n v="74033"/>
    <x v="0"/>
    <x v="3"/>
    <d v="2026-02-09T00:00:00"/>
    <s v="12:53"/>
    <x v="44"/>
    <x v="0"/>
    <n v="56"/>
    <x v="8"/>
    <n v="1"/>
    <n v="1"/>
    <n v="0"/>
    <n v="0"/>
    <n v="0"/>
    <x v="0"/>
    <n v="1"/>
    <x v="1"/>
    <x v="0"/>
  </r>
  <r>
    <n v="501349"/>
    <n v="84725"/>
    <x v="1"/>
    <x v="5"/>
    <d v="2026-03-13T00:00:00"/>
    <s v="20:28"/>
    <x v="83"/>
    <x v="3"/>
    <n v="10"/>
    <x v="6"/>
    <n v="0"/>
    <n v="0"/>
    <n v="0"/>
    <n v="0"/>
    <n v="0"/>
    <x v="1"/>
    <n v="0"/>
    <x v="1"/>
    <x v="3"/>
  </r>
  <r>
    <n v="501350"/>
    <n v="21338"/>
    <x v="1"/>
    <x v="1"/>
    <d v="2026-05-13T00:00:00"/>
    <s v="04:37"/>
    <x v="124"/>
    <x v="0"/>
    <n v="33"/>
    <x v="2"/>
    <n v="0"/>
    <n v="0"/>
    <n v="0"/>
    <n v="0"/>
    <n v="0"/>
    <x v="1"/>
    <n v="1"/>
    <x v="0"/>
    <x v="1"/>
  </r>
  <r>
    <n v="501351"/>
    <n v="34179"/>
    <x v="0"/>
    <x v="5"/>
    <d v="2026-04-01T00:00:00"/>
    <s v="02:32"/>
    <x v="77"/>
    <x v="6"/>
    <n v="14"/>
    <x v="1"/>
    <n v="0"/>
    <n v="0"/>
    <n v="0"/>
    <n v="0"/>
    <n v="0"/>
    <x v="1"/>
    <n v="1"/>
    <x v="0"/>
    <x v="3"/>
  </r>
  <r>
    <n v="501352"/>
    <n v="67936"/>
    <x v="0"/>
    <x v="1"/>
    <d v="2026-01-05T00:00:00"/>
    <s v="02:41"/>
    <x v="100"/>
    <x v="0"/>
    <n v="1"/>
    <x v="1"/>
    <n v="0"/>
    <n v="0"/>
    <n v="0"/>
    <n v="0"/>
    <n v="0"/>
    <x v="1"/>
    <n v="1"/>
    <x v="1"/>
    <x v="3"/>
  </r>
  <r>
    <n v="501353"/>
    <n v="30016"/>
    <x v="1"/>
    <x v="7"/>
    <d v="2026-01-21T00:00:00"/>
    <s v="13:11"/>
    <x v="54"/>
    <x v="6"/>
    <n v="48"/>
    <x v="2"/>
    <n v="1"/>
    <n v="0"/>
    <n v="0"/>
    <n v="1"/>
    <n v="0"/>
    <x v="1"/>
    <n v="0"/>
    <x v="0"/>
    <x v="0"/>
  </r>
  <r>
    <n v="501354"/>
    <n v="39522"/>
    <x v="0"/>
    <x v="1"/>
    <d v="2026-04-01T00:00:00"/>
    <s v="03:55"/>
    <x v="8"/>
    <x v="4"/>
    <n v="53"/>
    <x v="4"/>
    <n v="1"/>
    <n v="1"/>
    <n v="0"/>
    <n v="0"/>
    <n v="0"/>
    <x v="0"/>
    <n v="1"/>
    <x v="1"/>
    <x v="0"/>
  </r>
  <r>
    <n v="501355"/>
    <n v="81712"/>
    <x v="1"/>
    <x v="0"/>
    <d v="2026-01-23T00:00:00"/>
    <s v="11:54"/>
    <x v="81"/>
    <x v="4"/>
    <n v="26"/>
    <x v="6"/>
    <n v="0"/>
    <n v="0"/>
    <n v="0"/>
    <n v="0"/>
    <n v="0"/>
    <x v="1"/>
    <n v="1"/>
    <x v="0"/>
    <x v="1"/>
  </r>
  <r>
    <n v="501356"/>
    <n v="52160"/>
    <x v="1"/>
    <x v="0"/>
    <d v="2026-04-07T00:00:00"/>
    <s v="19:57"/>
    <x v="36"/>
    <x v="3"/>
    <n v="0"/>
    <x v="2"/>
    <n v="0"/>
    <n v="0"/>
    <n v="0"/>
    <n v="0"/>
    <n v="0"/>
    <x v="1"/>
    <n v="1"/>
    <x v="1"/>
    <x v="3"/>
  </r>
  <r>
    <n v="501357"/>
    <n v="10448"/>
    <x v="0"/>
    <x v="4"/>
    <d v="2026-01-17T00:00:00"/>
    <s v="23:36"/>
    <x v="187"/>
    <x v="2"/>
    <n v="27"/>
    <x v="9"/>
    <n v="0"/>
    <n v="0"/>
    <n v="0"/>
    <n v="0"/>
    <n v="0"/>
    <x v="1"/>
    <n v="1"/>
    <x v="0"/>
    <x v="1"/>
  </r>
  <r>
    <n v="501358"/>
    <n v="12594"/>
    <x v="1"/>
    <x v="4"/>
    <d v="2025-12-29T00:00:00"/>
    <s v="19:25"/>
    <x v="75"/>
    <x v="0"/>
    <n v="45"/>
    <x v="0"/>
    <n v="1"/>
    <n v="0"/>
    <n v="0"/>
    <n v="0"/>
    <n v="0"/>
    <x v="1"/>
    <n v="1"/>
    <x v="0"/>
    <x v="0"/>
  </r>
  <r>
    <n v="501359"/>
    <n v="93453"/>
    <x v="1"/>
    <x v="6"/>
    <d v="2026-01-25T00:00:00"/>
    <s v="03:55"/>
    <x v="74"/>
    <x v="1"/>
    <n v="8"/>
    <x v="2"/>
    <n v="0"/>
    <n v="0"/>
    <n v="0"/>
    <n v="0"/>
    <n v="0"/>
    <x v="1"/>
    <n v="0"/>
    <x v="1"/>
    <x v="3"/>
  </r>
  <r>
    <n v="501360"/>
    <n v="47599"/>
    <x v="0"/>
    <x v="4"/>
    <d v="2025-12-31T00:00:00"/>
    <s v="00:22"/>
    <x v="100"/>
    <x v="0"/>
    <n v="41"/>
    <x v="0"/>
    <n v="0"/>
    <n v="0"/>
    <n v="0"/>
    <n v="1"/>
    <n v="0"/>
    <x v="1"/>
    <n v="1"/>
    <x v="0"/>
    <x v="0"/>
  </r>
  <r>
    <n v="501361"/>
    <n v="80975"/>
    <x v="0"/>
    <x v="4"/>
    <d v="2026-01-28T00:00:00"/>
    <s v="22:45"/>
    <x v="146"/>
    <x v="6"/>
    <n v="37"/>
    <x v="2"/>
    <n v="1"/>
    <n v="0"/>
    <n v="0"/>
    <n v="0"/>
    <n v="0"/>
    <x v="1"/>
    <n v="0"/>
    <x v="0"/>
    <x v="1"/>
  </r>
  <r>
    <n v="501362"/>
    <n v="69285"/>
    <x v="1"/>
    <x v="4"/>
    <d v="2026-02-07T00:00:00"/>
    <s v="11:20"/>
    <x v="163"/>
    <x v="0"/>
    <n v="49"/>
    <x v="3"/>
    <n v="1"/>
    <n v="1"/>
    <n v="0"/>
    <n v="0"/>
    <n v="0"/>
    <x v="0"/>
    <n v="1"/>
    <x v="0"/>
    <x v="0"/>
  </r>
  <r>
    <n v="501363"/>
    <n v="84499"/>
    <x v="0"/>
    <x v="2"/>
    <d v="2026-04-18T00:00:00"/>
    <s v="23:16"/>
    <x v="29"/>
    <x v="3"/>
    <n v="40"/>
    <x v="3"/>
    <n v="1"/>
    <n v="0"/>
    <n v="0"/>
    <n v="0"/>
    <n v="0"/>
    <x v="1"/>
    <n v="1"/>
    <x v="0"/>
    <x v="1"/>
  </r>
  <r>
    <n v="501364"/>
    <n v="81149"/>
    <x v="1"/>
    <x v="7"/>
    <d v="2026-05-21T00:00:00"/>
    <s v="03:04"/>
    <x v="108"/>
    <x v="5"/>
    <n v="18"/>
    <x v="9"/>
    <n v="0"/>
    <n v="0"/>
    <n v="0"/>
    <n v="0"/>
    <n v="0"/>
    <x v="1"/>
    <n v="1"/>
    <x v="0"/>
    <x v="3"/>
  </r>
  <r>
    <n v="501365"/>
    <n v="30541"/>
    <x v="1"/>
    <x v="4"/>
    <d v="2026-01-22T00:00:00"/>
    <s v="20:08"/>
    <x v="95"/>
    <x v="6"/>
    <n v="61"/>
    <x v="2"/>
    <n v="1"/>
    <n v="1"/>
    <n v="1"/>
    <n v="0"/>
    <n v="0"/>
    <x v="0"/>
    <n v="1"/>
    <x v="0"/>
    <x v="2"/>
  </r>
  <r>
    <n v="501366"/>
    <n v="94048"/>
    <x v="1"/>
    <x v="1"/>
    <d v="2026-05-01T00:00:00"/>
    <s v="01:24"/>
    <x v="18"/>
    <x v="5"/>
    <n v="34"/>
    <x v="2"/>
    <n v="1"/>
    <n v="0"/>
    <n v="0"/>
    <n v="0"/>
    <n v="0"/>
    <x v="1"/>
    <n v="0"/>
    <x v="0"/>
    <x v="1"/>
  </r>
  <r>
    <n v="501367"/>
    <n v="73790"/>
    <x v="1"/>
    <x v="0"/>
    <d v="2025-12-05T00:00:00"/>
    <s v="15:55"/>
    <x v="39"/>
    <x v="1"/>
    <n v="37"/>
    <x v="6"/>
    <n v="0"/>
    <n v="0"/>
    <n v="0"/>
    <n v="0"/>
    <n v="0"/>
    <x v="1"/>
    <n v="0"/>
    <x v="1"/>
    <x v="1"/>
  </r>
  <r>
    <n v="501368"/>
    <n v="21789"/>
    <x v="1"/>
    <x v="2"/>
    <d v="2026-05-14T00:00:00"/>
    <s v="05:42"/>
    <x v="196"/>
    <x v="6"/>
    <n v="19"/>
    <x v="1"/>
    <n v="0"/>
    <n v="0"/>
    <n v="0"/>
    <n v="0"/>
    <n v="0"/>
    <x v="1"/>
    <n v="1"/>
    <x v="1"/>
    <x v="1"/>
  </r>
  <r>
    <n v="501369"/>
    <n v="91688"/>
    <x v="1"/>
    <x v="6"/>
    <d v="2026-04-12T00:00:00"/>
    <s v="12:21"/>
    <x v="147"/>
    <x v="2"/>
    <n v="29"/>
    <x v="3"/>
    <n v="1"/>
    <n v="0"/>
    <n v="0"/>
    <n v="0"/>
    <n v="0"/>
    <x v="1"/>
    <n v="1"/>
    <x v="0"/>
    <x v="1"/>
  </r>
  <r>
    <n v="501370"/>
    <n v="29925"/>
    <x v="0"/>
    <x v="4"/>
    <d v="2025-11-27T00:00:00"/>
    <s v="11:35"/>
    <x v="64"/>
    <x v="1"/>
    <n v="20"/>
    <x v="6"/>
    <n v="1"/>
    <n v="0"/>
    <n v="0"/>
    <n v="0"/>
    <n v="0"/>
    <x v="1"/>
    <n v="1"/>
    <x v="0"/>
    <x v="1"/>
  </r>
  <r>
    <n v="501371"/>
    <n v="46861"/>
    <x v="0"/>
    <x v="5"/>
    <d v="2025-12-08T00:00:00"/>
    <s v="02:45"/>
    <x v="113"/>
    <x v="3"/>
    <n v="34"/>
    <x v="2"/>
    <n v="1"/>
    <n v="0"/>
    <n v="0"/>
    <n v="0"/>
    <n v="0"/>
    <x v="1"/>
    <n v="0"/>
    <x v="0"/>
    <x v="1"/>
  </r>
  <r>
    <n v="501372"/>
    <n v="72505"/>
    <x v="0"/>
    <x v="0"/>
    <d v="2026-01-02T00:00:00"/>
    <s v="05:05"/>
    <x v="42"/>
    <x v="5"/>
    <n v="72"/>
    <x v="9"/>
    <n v="1"/>
    <n v="0"/>
    <n v="0"/>
    <n v="0"/>
    <n v="0"/>
    <x v="1"/>
    <n v="0"/>
    <x v="0"/>
    <x v="2"/>
  </r>
  <r>
    <n v="501373"/>
    <n v="54535"/>
    <x v="0"/>
    <x v="2"/>
    <d v="2025-11-21T00:00:00"/>
    <s v="01:56"/>
    <x v="197"/>
    <x v="6"/>
    <n v="10"/>
    <x v="6"/>
    <n v="0"/>
    <n v="0"/>
    <n v="0"/>
    <n v="0"/>
    <n v="0"/>
    <x v="1"/>
    <n v="1"/>
    <x v="0"/>
    <x v="3"/>
  </r>
  <r>
    <n v="501374"/>
    <n v="29593"/>
    <x v="0"/>
    <x v="1"/>
    <d v="2026-04-27T00:00:00"/>
    <s v="11:43"/>
    <x v="25"/>
    <x v="4"/>
    <n v="5"/>
    <x v="4"/>
    <n v="0"/>
    <n v="0"/>
    <n v="0"/>
    <n v="0"/>
    <n v="0"/>
    <x v="1"/>
    <n v="0"/>
    <x v="0"/>
    <x v="3"/>
  </r>
  <r>
    <n v="501375"/>
    <n v="56492"/>
    <x v="1"/>
    <x v="0"/>
    <d v="2026-02-25T00:00:00"/>
    <s v="03:31"/>
    <x v="58"/>
    <x v="1"/>
    <n v="67"/>
    <x v="9"/>
    <n v="1"/>
    <n v="0"/>
    <n v="0"/>
    <n v="0"/>
    <n v="0"/>
    <x v="1"/>
    <n v="0"/>
    <x v="1"/>
    <x v="2"/>
  </r>
  <r>
    <n v="501376"/>
    <n v="51755"/>
    <x v="0"/>
    <x v="0"/>
    <d v="2026-01-22T00:00:00"/>
    <s v="02:11"/>
    <x v="95"/>
    <x v="6"/>
    <n v="33"/>
    <x v="1"/>
    <n v="1"/>
    <n v="0"/>
    <n v="0"/>
    <n v="0"/>
    <n v="0"/>
    <x v="1"/>
    <n v="1"/>
    <x v="1"/>
    <x v="1"/>
  </r>
  <r>
    <n v="501377"/>
    <n v="96074"/>
    <x v="1"/>
    <x v="5"/>
    <d v="2026-01-14T00:00:00"/>
    <s v="03:34"/>
    <x v="53"/>
    <x v="1"/>
    <n v="24"/>
    <x v="4"/>
    <n v="0"/>
    <n v="0"/>
    <n v="0"/>
    <n v="0"/>
    <n v="0"/>
    <x v="1"/>
    <n v="1"/>
    <x v="0"/>
    <x v="1"/>
  </r>
  <r>
    <n v="501378"/>
    <n v="12518"/>
    <x v="1"/>
    <x v="4"/>
    <d v="2025-12-25T00:00:00"/>
    <s v="04:43"/>
    <x v="156"/>
    <x v="5"/>
    <n v="58"/>
    <x v="1"/>
    <n v="1"/>
    <n v="0"/>
    <n v="1"/>
    <n v="0"/>
    <n v="0"/>
    <x v="0"/>
    <n v="0"/>
    <x v="0"/>
    <x v="0"/>
  </r>
  <r>
    <n v="501379"/>
    <n v="65641"/>
    <x v="1"/>
    <x v="2"/>
    <d v="2026-02-07T00:00:00"/>
    <s v="03:22"/>
    <x v="163"/>
    <x v="0"/>
    <n v="25"/>
    <x v="2"/>
    <n v="1"/>
    <n v="0"/>
    <n v="0"/>
    <n v="0"/>
    <n v="0"/>
    <x v="1"/>
    <n v="1"/>
    <x v="0"/>
    <x v="1"/>
  </r>
  <r>
    <n v="501380"/>
    <n v="68965"/>
    <x v="0"/>
    <x v="2"/>
    <d v="2026-04-27T00:00:00"/>
    <s v="20:10"/>
    <x v="62"/>
    <x v="2"/>
    <n v="74"/>
    <x v="8"/>
    <n v="0"/>
    <n v="1"/>
    <n v="1"/>
    <n v="0"/>
    <n v="0"/>
    <x v="0"/>
    <n v="1"/>
    <x v="0"/>
    <x v="2"/>
  </r>
  <r>
    <n v="501381"/>
    <n v="41056"/>
    <x v="0"/>
    <x v="5"/>
    <d v="2025-12-31T00:00:00"/>
    <s v="12:59"/>
    <x v="158"/>
    <x v="4"/>
    <n v="51"/>
    <x v="7"/>
    <n v="0"/>
    <n v="0"/>
    <n v="0"/>
    <n v="0"/>
    <n v="0"/>
    <x v="1"/>
    <n v="1"/>
    <x v="0"/>
    <x v="0"/>
  </r>
  <r>
    <n v="501382"/>
    <n v="70393"/>
    <x v="1"/>
    <x v="5"/>
    <d v="2026-02-14T00:00:00"/>
    <s v="16:36"/>
    <x v="115"/>
    <x v="5"/>
    <n v="28"/>
    <x v="9"/>
    <n v="0"/>
    <n v="0"/>
    <n v="0"/>
    <n v="1"/>
    <n v="0"/>
    <x v="1"/>
    <n v="0"/>
    <x v="0"/>
    <x v="1"/>
  </r>
  <r>
    <n v="501383"/>
    <n v="34323"/>
    <x v="0"/>
    <x v="5"/>
    <d v="2026-03-13T00:00:00"/>
    <s v="02:12"/>
    <x v="83"/>
    <x v="3"/>
    <n v="81"/>
    <x v="7"/>
    <n v="1"/>
    <n v="0"/>
    <n v="0"/>
    <n v="1"/>
    <n v="0"/>
    <x v="1"/>
    <n v="1"/>
    <x v="0"/>
    <x v="2"/>
  </r>
  <r>
    <n v="501384"/>
    <n v="35860"/>
    <x v="1"/>
    <x v="3"/>
    <d v="2026-04-03T00:00:00"/>
    <s v="20:05"/>
    <x v="3"/>
    <x v="1"/>
    <n v="25"/>
    <x v="3"/>
    <n v="1"/>
    <n v="0"/>
    <n v="0"/>
    <n v="0"/>
    <n v="0"/>
    <x v="1"/>
    <n v="0"/>
    <x v="0"/>
    <x v="1"/>
  </r>
  <r>
    <n v="501385"/>
    <n v="76530"/>
    <x v="0"/>
    <x v="5"/>
    <d v="2026-01-17T00:00:00"/>
    <s v="03:15"/>
    <x v="117"/>
    <x v="5"/>
    <n v="52"/>
    <x v="2"/>
    <n v="0"/>
    <n v="1"/>
    <n v="0"/>
    <n v="0"/>
    <n v="0"/>
    <x v="0"/>
    <n v="1"/>
    <x v="0"/>
    <x v="0"/>
  </r>
  <r>
    <n v="501386"/>
    <n v="34667"/>
    <x v="0"/>
    <x v="2"/>
    <d v="2026-01-28T00:00:00"/>
    <s v="06:02"/>
    <x v="74"/>
    <x v="1"/>
    <n v="43"/>
    <x v="1"/>
    <n v="0"/>
    <n v="0"/>
    <n v="0"/>
    <n v="0"/>
    <n v="0"/>
    <x v="1"/>
    <n v="1"/>
    <x v="0"/>
    <x v="0"/>
  </r>
  <r>
    <n v="501387"/>
    <n v="38607"/>
    <x v="1"/>
    <x v="7"/>
    <d v="2026-01-12T00:00:00"/>
    <s v="06:29"/>
    <x v="141"/>
    <x v="0"/>
    <n v="64"/>
    <x v="4"/>
    <n v="0"/>
    <n v="0"/>
    <n v="0"/>
    <n v="0"/>
    <n v="0"/>
    <x v="1"/>
    <n v="1"/>
    <x v="1"/>
    <x v="2"/>
  </r>
  <r>
    <n v="501388"/>
    <n v="55118"/>
    <x v="0"/>
    <x v="4"/>
    <d v="2025-12-25T00:00:00"/>
    <s v="10:29"/>
    <x v="179"/>
    <x v="4"/>
    <n v="69"/>
    <x v="6"/>
    <n v="1"/>
    <n v="1"/>
    <n v="0"/>
    <n v="0"/>
    <n v="0"/>
    <x v="0"/>
    <n v="1"/>
    <x v="0"/>
    <x v="2"/>
  </r>
  <r>
    <n v="501389"/>
    <n v="98892"/>
    <x v="0"/>
    <x v="7"/>
    <d v="2026-04-20T00:00:00"/>
    <s v="19:21"/>
    <x v="182"/>
    <x v="2"/>
    <n v="38"/>
    <x v="4"/>
    <n v="1"/>
    <n v="0"/>
    <n v="0"/>
    <n v="0"/>
    <n v="0"/>
    <x v="1"/>
    <n v="1"/>
    <x v="1"/>
    <x v="1"/>
  </r>
  <r>
    <n v="501390"/>
    <n v="74105"/>
    <x v="1"/>
    <x v="1"/>
    <d v="2026-04-22T00:00:00"/>
    <s v="20:18"/>
    <x v="116"/>
    <x v="6"/>
    <n v="22"/>
    <x v="1"/>
    <n v="0"/>
    <n v="0"/>
    <n v="0"/>
    <n v="1"/>
    <n v="0"/>
    <x v="1"/>
    <n v="1"/>
    <x v="0"/>
    <x v="1"/>
  </r>
  <r>
    <n v="501391"/>
    <n v="62853"/>
    <x v="1"/>
    <x v="6"/>
    <d v="2026-04-21T00:00:00"/>
    <s v="17:26"/>
    <x v="31"/>
    <x v="2"/>
    <n v="47"/>
    <x v="3"/>
    <n v="0"/>
    <n v="1"/>
    <n v="0"/>
    <n v="0"/>
    <n v="0"/>
    <x v="0"/>
    <n v="1"/>
    <x v="0"/>
    <x v="0"/>
  </r>
  <r>
    <n v="501392"/>
    <n v="92862"/>
    <x v="0"/>
    <x v="4"/>
    <d v="2026-05-21T00:00:00"/>
    <s v="00:39"/>
    <x v="191"/>
    <x v="1"/>
    <n v="24"/>
    <x v="4"/>
    <n v="0"/>
    <n v="0"/>
    <n v="0"/>
    <n v="0"/>
    <n v="0"/>
    <x v="1"/>
    <n v="0"/>
    <x v="1"/>
    <x v="1"/>
  </r>
  <r>
    <n v="501393"/>
    <n v="34105"/>
    <x v="0"/>
    <x v="5"/>
    <d v="2026-05-03T00:00:00"/>
    <s v="17:11"/>
    <x v="4"/>
    <x v="3"/>
    <n v="78"/>
    <x v="7"/>
    <n v="1"/>
    <n v="0"/>
    <n v="0"/>
    <n v="0"/>
    <n v="0"/>
    <x v="1"/>
    <n v="0"/>
    <x v="0"/>
    <x v="2"/>
  </r>
  <r>
    <n v="501394"/>
    <n v="46394"/>
    <x v="0"/>
    <x v="1"/>
    <d v="2026-03-03T00:00:00"/>
    <s v="23:45"/>
    <x v="49"/>
    <x v="3"/>
    <n v="40"/>
    <x v="3"/>
    <n v="1"/>
    <n v="0"/>
    <n v="0"/>
    <n v="0"/>
    <n v="0"/>
    <x v="1"/>
    <n v="1"/>
    <x v="0"/>
    <x v="1"/>
  </r>
  <r>
    <n v="501395"/>
    <n v="17832"/>
    <x v="1"/>
    <x v="5"/>
    <d v="2026-02-07T00:00:00"/>
    <s v="10:40"/>
    <x v="178"/>
    <x v="6"/>
    <n v="30"/>
    <x v="6"/>
    <n v="1"/>
    <n v="0"/>
    <n v="0"/>
    <n v="0"/>
    <n v="0"/>
    <x v="1"/>
    <n v="1"/>
    <x v="0"/>
    <x v="1"/>
  </r>
  <r>
    <n v="501396"/>
    <n v="74779"/>
    <x v="0"/>
    <x v="4"/>
    <d v="2026-04-01T00:00:00"/>
    <s v="20:24"/>
    <x v="77"/>
    <x v="6"/>
    <n v="41"/>
    <x v="3"/>
    <n v="0"/>
    <n v="0"/>
    <n v="0"/>
    <n v="0"/>
    <n v="0"/>
    <x v="1"/>
    <n v="1"/>
    <x v="0"/>
    <x v="0"/>
  </r>
  <r>
    <n v="501397"/>
    <n v="90167"/>
    <x v="0"/>
    <x v="3"/>
    <d v="2026-04-12T00:00:00"/>
    <s v="04:39"/>
    <x v="147"/>
    <x v="2"/>
    <n v="11"/>
    <x v="8"/>
    <n v="0"/>
    <n v="0"/>
    <n v="0"/>
    <n v="0"/>
    <n v="0"/>
    <x v="1"/>
    <n v="0"/>
    <x v="0"/>
    <x v="3"/>
  </r>
  <r>
    <n v="501398"/>
    <n v="26794"/>
    <x v="1"/>
    <x v="6"/>
    <d v="2026-01-25T00:00:00"/>
    <s v="12:52"/>
    <x v="106"/>
    <x v="5"/>
    <n v="18"/>
    <x v="6"/>
    <n v="0"/>
    <n v="0"/>
    <n v="0"/>
    <n v="0"/>
    <n v="0"/>
    <x v="1"/>
    <n v="1"/>
    <x v="0"/>
    <x v="3"/>
  </r>
  <r>
    <n v="501399"/>
    <n v="52755"/>
    <x v="0"/>
    <x v="2"/>
    <d v="2025-12-24T00:00:00"/>
    <s v="19:56"/>
    <x v="80"/>
    <x v="0"/>
    <n v="62"/>
    <x v="3"/>
    <n v="1"/>
    <n v="0"/>
    <n v="0"/>
    <n v="0"/>
    <n v="0"/>
    <x v="1"/>
    <n v="1"/>
    <x v="0"/>
    <x v="2"/>
  </r>
  <r>
    <n v="501400"/>
    <n v="40005"/>
    <x v="0"/>
    <x v="1"/>
    <d v="2026-04-01T00:00:00"/>
    <s v="12:53"/>
    <x v="59"/>
    <x v="1"/>
    <n v="24"/>
    <x v="3"/>
    <n v="1"/>
    <n v="0"/>
    <n v="0"/>
    <n v="0"/>
    <n v="0"/>
    <x v="1"/>
    <n v="0"/>
    <x v="0"/>
    <x v="1"/>
  </r>
  <r>
    <n v="501401"/>
    <n v="29445"/>
    <x v="1"/>
    <x v="5"/>
    <d v="2026-05-09T00:00:00"/>
    <s v="22:35"/>
    <x v="124"/>
    <x v="0"/>
    <n v="17"/>
    <x v="8"/>
    <n v="0"/>
    <n v="0"/>
    <n v="0"/>
    <n v="0"/>
    <n v="0"/>
    <x v="1"/>
    <n v="1"/>
    <x v="0"/>
    <x v="3"/>
  </r>
  <r>
    <n v="501402"/>
    <n v="44866"/>
    <x v="0"/>
    <x v="6"/>
    <d v="2026-03-17T00:00:00"/>
    <s v="06:28"/>
    <x v="97"/>
    <x v="4"/>
    <n v="48"/>
    <x v="5"/>
    <n v="0"/>
    <n v="0"/>
    <n v="0"/>
    <n v="0"/>
    <n v="0"/>
    <x v="1"/>
    <n v="1"/>
    <x v="0"/>
    <x v="0"/>
  </r>
  <r>
    <n v="501403"/>
    <n v="92977"/>
    <x v="0"/>
    <x v="2"/>
    <d v="2026-02-26T00:00:00"/>
    <s v="19:49"/>
    <x v="27"/>
    <x v="6"/>
    <n v="61"/>
    <x v="4"/>
    <n v="1"/>
    <n v="0"/>
    <n v="0"/>
    <n v="0"/>
    <n v="0"/>
    <x v="1"/>
    <n v="0"/>
    <x v="1"/>
    <x v="2"/>
  </r>
  <r>
    <n v="501404"/>
    <n v="94651"/>
    <x v="0"/>
    <x v="5"/>
    <d v="2026-02-03T00:00:00"/>
    <s v="09:24"/>
    <x v="20"/>
    <x v="0"/>
    <n v="52"/>
    <x v="0"/>
    <n v="0"/>
    <n v="0"/>
    <n v="1"/>
    <n v="0"/>
    <n v="0"/>
    <x v="0"/>
    <n v="0"/>
    <x v="0"/>
    <x v="0"/>
  </r>
  <r>
    <n v="501405"/>
    <n v="11430"/>
    <x v="1"/>
    <x v="7"/>
    <d v="2026-04-10T00:00:00"/>
    <s v="11:16"/>
    <x v="176"/>
    <x v="3"/>
    <n v="57"/>
    <x v="1"/>
    <n v="0"/>
    <n v="1"/>
    <n v="1"/>
    <n v="0"/>
    <n v="0"/>
    <x v="0"/>
    <n v="0"/>
    <x v="0"/>
    <x v="0"/>
  </r>
  <r>
    <n v="501406"/>
    <n v="68547"/>
    <x v="1"/>
    <x v="3"/>
    <d v="2025-12-22T00:00:00"/>
    <s v="05:43"/>
    <x v="140"/>
    <x v="2"/>
    <n v="22"/>
    <x v="9"/>
    <n v="1"/>
    <n v="0"/>
    <n v="0"/>
    <n v="0"/>
    <n v="0"/>
    <x v="1"/>
    <n v="1"/>
    <x v="1"/>
    <x v="1"/>
  </r>
  <r>
    <n v="501407"/>
    <n v="89500"/>
    <x v="1"/>
    <x v="7"/>
    <d v="2026-02-13T00:00:00"/>
    <s v="09:36"/>
    <x v="21"/>
    <x v="1"/>
    <n v="9"/>
    <x v="2"/>
    <n v="0"/>
    <n v="0"/>
    <n v="0"/>
    <n v="0"/>
    <n v="0"/>
    <x v="1"/>
    <n v="1"/>
    <x v="1"/>
    <x v="3"/>
  </r>
  <r>
    <n v="501408"/>
    <n v="16871"/>
    <x v="1"/>
    <x v="6"/>
    <d v="2026-03-06T00:00:00"/>
    <s v="20:54"/>
    <x v="111"/>
    <x v="1"/>
    <n v="68"/>
    <x v="4"/>
    <n v="0"/>
    <n v="1"/>
    <n v="0"/>
    <n v="0"/>
    <n v="0"/>
    <x v="0"/>
    <n v="1"/>
    <x v="0"/>
    <x v="2"/>
  </r>
  <r>
    <n v="501409"/>
    <n v="14526"/>
    <x v="1"/>
    <x v="2"/>
    <d v="2025-12-26T00:00:00"/>
    <s v="14:42"/>
    <x v="170"/>
    <x v="1"/>
    <n v="31"/>
    <x v="9"/>
    <n v="0"/>
    <n v="0"/>
    <n v="0"/>
    <n v="0"/>
    <n v="0"/>
    <x v="1"/>
    <n v="1"/>
    <x v="0"/>
    <x v="1"/>
  </r>
  <r>
    <n v="501410"/>
    <n v="18372"/>
    <x v="0"/>
    <x v="3"/>
    <d v="2025-12-17T00:00:00"/>
    <s v="19:30"/>
    <x v="6"/>
    <x v="2"/>
    <n v="32"/>
    <x v="2"/>
    <n v="0"/>
    <n v="0"/>
    <n v="0"/>
    <n v="0"/>
    <n v="0"/>
    <x v="1"/>
    <n v="1"/>
    <x v="0"/>
    <x v="1"/>
  </r>
  <r>
    <n v="501411"/>
    <n v="56803"/>
    <x v="1"/>
    <x v="5"/>
    <d v="2026-02-02T00:00:00"/>
    <s v="02:52"/>
    <x v="167"/>
    <x v="3"/>
    <n v="64"/>
    <x v="5"/>
    <n v="1"/>
    <n v="0"/>
    <n v="0"/>
    <n v="0"/>
    <n v="0"/>
    <x v="1"/>
    <n v="1"/>
    <x v="1"/>
    <x v="2"/>
  </r>
  <r>
    <n v="501412"/>
    <n v="21727"/>
    <x v="0"/>
    <x v="6"/>
    <d v="2026-01-07T00:00:00"/>
    <s v="14:09"/>
    <x v="123"/>
    <x v="4"/>
    <n v="49"/>
    <x v="2"/>
    <n v="0"/>
    <n v="0"/>
    <n v="0"/>
    <n v="0"/>
    <n v="0"/>
    <x v="1"/>
    <n v="1"/>
    <x v="1"/>
    <x v="0"/>
  </r>
  <r>
    <n v="501413"/>
    <n v="94266"/>
    <x v="0"/>
    <x v="6"/>
    <d v="2026-05-06T00:00:00"/>
    <s v="02:02"/>
    <x v="166"/>
    <x v="2"/>
    <n v="47"/>
    <x v="7"/>
    <n v="0"/>
    <n v="1"/>
    <n v="0"/>
    <n v="0"/>
    <n v="0"/>
    <x v="0"/>
    <n v="1"/>
    <x v="0"/>
    <x v="0"/>
  </r>
  <r>
    <n v="501414"/>
    <n v="93142"/>
    <x v="1"/>
    <x v="0"/>
    <d v="2026-04-07T00:00:00"/>
    <s v="18:44"/>
    <x v="45"/>
    <x v="2"/>
    <n v="81"/>
    <x v="8"/>
    <n v="1"/>
    <n v="0"/>
    <n v="0"/>
    <n v="0"/>
    <n v="0"/>
    <x v="1"/>
    <n v="1"/>
    <x v="1"/>
    <x v="2"/>
  </r>
  <r>
    <n v="501415"/>
    <n v="86380"/>
    <x v="1"/>
    <x v="0"/>
    <d v="2026-01-03T00:00:00"/>
    <s v="12:40"/>
    <x v="6"/>
    <x v="2"/>
    <n v="25"/>
    <x v="4"/>
    <n v="0"/>
    <n v="0"/>
    <n v="0"/>
    <n v="0"/>
    <n v="0"/>
    <x v="1"/>
    <n v="0"/>
    <x v="1"/>
    <x v="1"/>
  </r>
  <r>
    <n v="501416"/>
    <n v="37889"/>
    <x v="0"/>
    <x v="0"/>
    <d v="2026-01-27T00:00:00"/>
    <s v="07:10"/>
    <x v="52"/>
    <x v="1"/>
    <n v="56"/>
    <x v="9"/>
    <n v="1"/>
    <n v="1"/>
    <n v="0"/>
    <n v="0"/>
    <n v="0"/>
    <x v="0"/>
    <n v="1"/>
    <x v="0"/>
    <x v="0"/>
  </r>
  <r>
    <n v="501417"/>
    <n v="44123"/>
    <x v="1"/>
    <x v="5"/>
    <d v="2026-01-27T00:00:00"/>
    <s v="04:25"/>
    <x v="120"/>
    <x v="2"/>
    <n v="39"/>
    <x v="0"/>
    <n v="1"/>
    <n v="0"/>
    <n v="0"/>
    <n v="1"/>
    <n v="0"/>
    <x v="1"/>
    <n v="1"/>
    <x v="0"/>
    <x v="1"/>
  </r>
  <r>
    <n v="501418"/>
    <n v="63174"/>
    <x v="0"/>
    <x v="3"/>
    <d v="2025-11-24T00:00:00"/>
    <s v="04:12"/>
    <x v="86"/>
    <x v="5"/>
    <n v="43"/>
    <x v="6"/>
    <n v="0"/>
    <n v="0"/>
    <n v="0"/>
    <n v="0"/>
    <n v="0"/>
    <x v="1"/>
    <n v="1"/>
    <x v="0"/>
    <x v="0"/>
  </r>
  <r>
    <n v="501419"/>
    <n v="49139"/>
    <x v="0"/>
    <x v="7"/>
    <d v="2025-11-30T00:00:00"/>
    <s v="00:02"/>
    <x v="23"/>
    <x v="2"/>
    <n v="68"/>
    <x v="4"/>
    <n v="1"/>
    <n v="1"/>
    <n v="0"/>
    <n v="0"/>
    <n v="0"/>
    <x v="0"/>
    <n v="1"/>
    <x v="0"/>
    <x v="2"/>
  </r>
  <r>
    <n v="501420"/>
    <n v="38367"/>
    <x v="0"/>
    <x v="2"/>
    <d v="2026-01-05T00:00:00"/>
    <s v="09:12"/>
    <x v="33"/>
    <x v="4"/>
    <n v="48"/>
    <x v="1"/>
    <n v="1"/>
    <n v="0"/>
    <n v="0"/>
    <n v="0"/>
    <n v="0"/>
    <x v="1"/>
    <n v="1"/>
    <x v="1"/>
    <x v="0"/>
  </r>
  <r>
    <n v="501421"/>
    <n v="74445"/>
    <x v="1"/>
    <x v="7"/>
    <d v="2026-01-31T00:00:00"/>
    <s v="06:42"/>
    <x v="47"/>
    <x v="6"/>
    <n v="48"/>
    <x v="1"/>
    <n v="0"/>
    <n v="0"/>
    <n v="0"/>
    <n v="0"/>
    <n v="0"/>
    <x v="1"/>
    <n v="0"/>
    <x v="0"/>
    <x v="0"/>
  </r>
  <r>
    <n v="501422"/>
    <n v="10001"/>
    <x v="1"/>
    <x v="6"/>
    <d v="2026-04-13T00:00:00"/>
    <s v="11:17"/>
    <x v="183"/>
    <x v="0"/>
    <n v="59"/>
    <x v="5"/>
    <n v="0"/>
    <n v="1"/>
    <n v="0"/>
    <n v="0"/>
    <n v="0"/>
    <x v="0"/>
    <n v="1"/>
    <x v="0"/>
    <x v="0"/>
  </r>
  <r>
    <n v="501423"/>
    <n v="95672"/>
    <x v="0"/>
    <x v="7"/>
    <d v="2026-02-14T00:00:00"/>
    <s v="14:55"/>
    <x v="56"/>
    <x v="3"/>
    <n v="30"/>
    <x v="7"/>
    <n v="0"/>
    <n v="0"/>
    <n v="0"/>
    <n v="0"/>
    <n v="0"/>
    <x v="1"/>
    <n v="0"/>
    <x v="0"/>
    <x v="1"/>
  </r>
  <r>
    <n v="501424"/>
    <n v="36825"/>
    <x v="0"/>
    <x v="0"/>
    <d v="2026-03-24T00:00:00"/>
    <s v="04:26"/>
    <x v="102"/>
    <x v="4"/>
    <n v="21"/>
    <x v="3"/>
    <n v="0"/>
    <n v="0"/>
    <n v="0"/>
    <n v="1"/>
    <n v="0"/>
    <x v="1"/>
    <n v="1"/>
    <x v="0"/>
    <x v="1"/>
  </r>
  <r>
    <n v="501425"/>
    <n v="85992"/>
    <x v="1"/>
    <x v="7"/>
    <d v="2025-12-02T00:00:00"/>
    <s v="01:15"/>
    <x v="1"/>
    <x v="1"/>
    <n v="17"/>
    <x v="7"/>
    <n v="0"/>
    <n v="0"/>
    <n v="0"/>
    <n v="0"/>
    <n v="0"/>
    <x v="1"/>
    <n v="1"/>
    <x v="0"/>
    <x v="3"/>
  </r>
  <r>
    <n v="501426"/>
    <n v="30092"/>
    <x v="0"/>
    <x v="5"/>
    <d v="2025-12-11T00:00:00"/>
    <s v="16:36"/>
    <x v="78"/>
    <x v="5"/>
    <n v="0"/>
    <x v="5"/>
    <n v="0"/>
    <n v="0"/>
    <n v="0"/>
    <n v="0"/>
    <n v="0"/>
    <x v="1"/>
    <n v="1"/>
    <x v="0"/>
    <x v="3"/>
  </r>
  <r>
    <n v="501427"/>
    <n v="71040"/>
    <x v="1"/>
    <x v="3"/>
    <d v="2025-12-26T00:00:00"/>
    <s v="22:50"/>
    <x v="84"/>
    <x v="3"/>
    <n v="79"/>
    <x v="7"/>
    <n v="0"/>
    <n v="0"/>
    <n v="0"/>
    <n v="0"/>
    <n v="0"/>
    <x v="1"/>
    <n v="1"/>
    <x v="0"/>
    <x v="2"/>
  </r>
  <r>
    <n v="501428"/>
    <n v="97981"/>
    <x v="1"/>
    <x v="1"/>
    <d v="2025-12-07T00:00:00"/>
    <s v="18:46"/>
    <x v="152"/>
    <x v="4"/>
    <n v="15"/>
    <x v="1"/>
    <n v="0"/>
    <n v="0"/>
    <n v="0"/>
    <n v="0"/>
    <n v="0"/>
    <x v="1"/>
    <n v="0"/>
    <x v="0"/>
    <x v="3"/>
  </r>
  <r>
    <n v="501429"/>
    <n v="15783"/>
    <x v="1"/>
    <x v="6"/>
    <d v="2025-11-24T00:00:00"/>
    <s v="23:20"/>
    <x v="155"/>
    <x v="2"/>
    <n v="33"/>
    <x v="1"/>
    <n v="0"/>
    <n v="0"/>
    <n v="0"/>
    <n v="0"/>
    <n v="0"/>
    <x v="1"/>
    <n v="1"/>
    <x v="0"/>
    <x v="1"/>
  </r>
  <r>
    <n v="501430"/>
    <n v="81380"/>
    <x v="0"/>
    <x v="2"/>
    <d v="2025-12-28T00:00:00"/>
    <s v="02:47"/>
    <x v="50"/>
    <x v="5"/>
    <n v="32"/>
    <x v="4"/>
    <n v="0"/>
    <n v="0"/>
    <n v="0"/>
    <n v="0"/>
    <n v="0"/>
    <x v="1"/>
    <n v="1"/>
    <x v="0"/>
    <x v="1"/>
  </r>
  <r>
    <n v="501431"/>
    <n v="58773"/>
    <x v="1"/>
    <x v="2"/>
    <d v="2025-11-29T00:00:00"/>
    <s v="03:27"/>
    <x v="82"/>
    <x v="0"/>
    <n v="44"/>
    <x v="0"/>
    <n v="0"/>
    <n v="0"/>
    <n v="0"/>
    <n v="0"/>
    <n v="0"/>
    <x v="1"/>
    <n v="1"/>
    <x v="0"/>
    <x v="0"/>
  </r>
  <r>
    <n v="501432"/>
    <n v="66585"/>
    <x v="0"/>
    <x v="7"/>
    <d v="2026-02-22T00:00:00"/>
    <s v="03:26"/>
    <x v="91"/>
    <x v="1"/>
    <n v="54"/>
    <x v="2"/>
    <n v="1"/>
    <n v="0"/>
    <n v="0"/>
    <n v="0"/>
    <n v="0"/>
    <x v="1"/>
    <n v="1"/>
    <x v="0"/>
    <x v="0"/>
  </r>
  <r>
    <n v="501433"/>
    <n v="55017"/>
    <x v="0"/>
    <x v="2"/>
    <d v="2026-01-01T00:00:00"/>
    <s v="07:57"/>
    <x v="11"/>
    <x v="1"/>
    <n v="55"/>
    <x v="8"/>
    <n v="0"/>
    <n v="0"/>
    <n v="0"/>
    <n v="0"/>
    <n v="0"/>
    <x v="1"/>
    <n v="0"/>
    <x v="0"/>
    <x v="0"/>
  </r>
  <r>
    <n v="501434"/>
    <n v="64916"/>
    <x v="0"/>
    <x v="0"/>
    <d v="2026-04-15T00:00:00"/>
    <s v="22:11"/>
    <x v="101"/>
    <x v="1"/>
    <n v="26"/>
    <x v="8"/>
    <n v="0"/>
    <n v="0"/>
    <n v="0"/>
    <n v="0"/>
    <n v="0"/>
    <x v="1"/>
    <n v="1"/>
    <x v="0"/>
    <x v="1"/>
  </r>
  <r>
    <n v="501435"/>
    <n v="39724"/>
    <x v="1"/>
    <x v="6"/>
    <d v="2026-03-20T00:00:00"/>
    <s v="01:32"/>
    <x v="77"/>
    <x v="6"/>
    <n v="34"/>
    <x v="6"/>
    <n v="1"/>
    <n v="0"/>
    <n v="0"/>
    <n v="0"/>
    <n v="0"/>
    <x v="1"/>
    <n v="1"/>
    <x v="0"/>
    <x v="1"/>
  </r>
  <r>
    <n v="501436"/>
    <n v="96100"/>
    <x v="1"/>
    <x v="1"/>
    <d v="2026-02-05T00:00:00"/>
    <s v="00:11"/>
    <x v="66"/>
    <x v="6"/>
    <n v="43"/>
    <x v="9"/>
    <n v="1"/>
    <n v="0"/>
    <n v="0"/>
    <n v="0"/>
    <n v="0"/>
    <x v="1"/>
    <n v="1"/>
    <x v="0"/>
    <x v="0"/>
  </r>
  <r>
    <n v="501437"/>
    <n v="30408"/>
    <x v="0"/>
    <x v="0"/>
    <d v="2026-02-03T00:00:00"/>
    <s v="04:49"/>
    <x v="92"/>
    <x v="3"/>
    <n v="33"/>
    <x v="8"/>
    <n v="0"/>
    <n v="0"/>
    <n v="0"/>
    <n v="0"/>
    <n v="0"/>
    <x v="1"/>
    <n v="1"/>
    <x v="0"/>
    <x v="1"/>
  </r>
  <r>
    <n v="501438"/>
    <n v="63230"/>
    <x v="1"/>
    <x v="1"/>
    <d v="2025-12-09T00:00:00"/>
    <s v="23:36"/>
    <x v="114"/>
    <x v="0"/>
    <n v="70"/>
    <x v="8"/>
    <n v="0"/>
    <n v="0"/>
    <n v="1"/>
    <n v="1"/>
    <n v="0"/>
    <x v="0"/>
    <n v="0"/>
    <x v="0"/>
    <x v="2"/>
  </r>
  <r>
    <n v="501439"/>
    <n v="18784"/>
    <x v="1"/>
    <x v="6"/>
    <d v="2026-01-09T00:00:00"/>
    <s v="14:00"/>
    <x v="11"/>
    <x v="1"/>
    <n v="47"/>
    <x v="6"/>
    <n v="1"/>
    <n v="0"/>
    <n v="0"/>
    <n v="1"/>
    <n v="0"/>
    <x v="1"/>
    <n v="1"/>
    <x v="0"/>
    <x v="0"/>
  </r>
  <r>
    <n v="501440"/>
    <n v="49817"/>
    <x v="1"/>
    <x v="6"/>
    <d v="2025-12-25T00:00:00"/>
    <s v="20:56"/>
    <x v="156"/>
    <x v="5"/>
    <n v="52"/>
    <x v="9"/>
    <n v="0"/>
    <n v="0"/>
    <n v="0"/>
    <n v="0"/>
    <n v="0"/>
    <x v="1"/>
    <n v="1"/>
    <x v="0"/>
    <x v="0"/>
  </r>
  <r>
    <n v="501441"/>
    <n v="60299"/>
    <x v="0"/>
    <x v="4"/>
    <d v="2026-01-06T00:00:00"/>
    <s v="21:30"/>
    <x v="109"/>
    <x v="1"/>
    <n v="51"/>
    <x v="9"/>
    <n v="1"/>
    <n v="0"/>
    <n v="0"/>
    <n v="0"/>
    <n v="0"/>
    <x v="1"/>
    <n v="0"/>
    <x v="0"/>
    <x v="0"/>
  </r>
  <r>
    <n v="501442"/>
    <n v="21380"/>
    <x v="1"/>
    <x v="7"/>
    <d v="2025-12-04T00:00:00"/>
    <s v="22:49"/>
    <x v="188"/>
    <x v="2"/>
    <n v="61"/>
    <x v="8"/>
    <n v="0"/>
    <n v="1"/>
    <n v="0"/>
    <n v="0"/>
    <n v="0"/>
    <x v="0"/>
    <n v="0"/>
    <x v="0"/>
    <x v="2"/>
  </r>
  <r>
    <n v="501443"/>
    <n v="71509"/>
    <x v="0"/>
    <x v="2"/>
    <d v="2026-02-07T00:00:00"/>
    <s v="03:36"/>
    <x v="47"/>
    <x v="6"/>
    <n v="41"/>
    <x v="0"/>
    <n v="1"/>
    <n v="0"/>
    <n v="1"/>
    <n v="0"/>
    <n v="0"/>
    <x v="0"/>
    <n v="1"/>
    <x v="0"/>
    <x v="0"/>
  </r>
  <r>
    <n v="501444"/>
    <n v="13700"/>
    <x v="1"/>
    <x v="5"/>
    <d v="2026-02-18T00:00:00"/>
    <s v="12:49"/>
    <x v="44"/>
    <x v="0"/>
    <n v="12"/>
    <x v="8"/>
    <n v="0"/>
    <n v="0"/>
    <n v="0"/>
    <n v="0"/>
    <n v="0"/>
    <x v="1"/>
    <n v="1"/>
    <x v="0"/>
    <x v="3"/>
  </r>
  <r>
    <n v="501445"/>
    <n v="80210"/>
    <x v="0"/>
    <x v="7"/>
    <d v="2026-05-07T00:00:00"/>
    <s v="14:03"/>
    <x v="144"/>
    <x v="4"/>
    <n v="45"/>
    <x v="9"/>
    <n v="0"/>
    <n v="0"/>
    <n v="0"/>
    <n v="0"/>
    <n v="0"/>
    <x v="1"/>
    <n v="1"/>
    <x v="1"/>
    <x v="0"/>
  </r>
  <r>
    <n v="501446"/>
    <n v="48048"/>
    <x v="1"/>
    <x v="4"/>
    <d v="2025-12-21T00:00:00"/>
    <s v="18:21"/>
    <x v="78"/>
    <x v="5"/>
    <n v="24"/>
    <x v="6"/>
    <n v="0"/>
    <n v="0"/>
    <n v="0"/>
    <n v="0"/>
    <n v="0"/>
    <x v="1"/>
    <n v="1"/>
    <x v="0"/>
    <x v="1"/>
  </r>
  <r>
    <n v="501447"/>
    <n v="60764"/>
    <x v="0"/>
    <x v="4"/>
    <d v="2026-02-21T00:00:00"/>
    <s v="12:33"/>
    <x v="19"/>
    <x v="2"/>
    <n v="27"/>
    <x v="7"/>
    <n v="1"/>
    <n v="0"/>
    <n v="0"/>
    <n v="0"/>
    <n v="0"/>
    <x v="1"/>
    <n v="1"/>
    <x v="0"/>
    <x v="1"/>
  </r>
  <r>
    <n v="501448"/>
    <n v="39980"/>
    <x v="1"/>
    <x v="5"/>
    <d v="2026-03-28T00:00:00"/>
    <s v="01:31"/>
    <x v="77"/>
    <x v="6"/>
    <n v="49"/>
    <x v="6"/>
    <n v="0"/>
    <n v="1"/>
    <n v="0"/>
    <n v="0"/>
    <n v="0"/>
    <x v="0"/>
    <n v="1"/>
    <x v="0"/>
    <x v="0"/>
  </r>
  <r>
    <n v="501449"/>
    <n v="66357"/>
    <x v="0"/>
    <x v="2"/>
    <d v="2025-12-30T00:00:00"/>
    <s v="12:22"/>
    <x v="148"/>
    <x v="2"/>
    <n v="62"/>
    <x v="8"/>
    <n v="0"/>
    <n v="0"/>
    <n v="1"/>
    <n v="0"/>
    <n v="0"/>
    <x v="0"/>
    <n v="1"/>
    <x v="0"/>
    <x v="2"/>
  </r>
  <r>
    <n v="501450"/>
    <n v="97123"/>
    <x v="1"/>
    <x v="6"/>
    <d v="2025-12-31T00:00:00"/>
    <s v="07:01"/>
    <x v="150"/>
    <x v="2"/>
    <n v="38"/>
    <x v="5"/>
    <n v="0"/>
    <n v="0"/>
    <n v="0"/>
    <n v="0"/>
    <n v="0"/>
    <x v="1"/>
    <n v="1"/>
    <x v="1"/>
    <x v="1"/>
  </r>
  <r>
    <n v="501451"/>
    <n v="84766"/>
    <x v="0"/>
    <x v="1"/>
    <d v="2026-04-24T00:00:00"/>
    <s v="09:06"/>
    <x v="108"/>
    <x v="5"/>
    <n v="44"/>
    <x v="3"/>
    <n v="1"/>
    <n v="0"/>
    <n v="0"/>
    <n v="0"/>
    <n v="0"/>
    <x v="1"/>
    <n v="1"/>
    <x v="0"/>
    <x v="0"/>
  </r>
  <r>
    <n v="501452"/>
    <n v="25184"/>
    <x v="0"/>
    <x v="1"/>
    <d v="2025-12-01T00:00:00"/>
    <s v="14:25"/>
    <x v="93"/>
    <x v="6"/>
    <n v="72"/>
    <x v="1"/>
    <n v="0"/>
    <n v="1"/>
    <n v="0"/>
    <n v="0"/>
    <n v="0"/>
    <x v="0"/>
    <n v="1"/>
    <x v="0"/>
    <x v="2"/>
  </r>
  <r>
    <n v="501453"/>
    <n v="44850"/>
    <x v="0"/>
    <x v="7"/>
    <d v="2026-02-03T00:00:00"/>
    <s v="08:23"/>
    <x v="165"/>
    <x v="4"/>
    <n v="42"/>
    <x v="2"/>
    <n v="1"/>
    <n v="0"/>
    <n v="0"/>
    <n v="0"/>
    <n v="0"/>
    <x v="1"/>
    <n v="1"/>
    <x v="0"/>
    <x v="0"/>
  </r>
  <r>
    <n v="501454"/>
    <n v="72748"/>
    <x v="0"/>
    <x v="5"/>
    <d v="2026-02-19T00:00:00"/>
    <s v="04:29"/>
    <x v="125"/>
    <x v="5"/>
    <n v="90"/>
    <x v="2"/>
    <n v="1"/>
    <n v="0"/>
    <n v="0"/>
    <n v="0"/>
    <n v="0"/>
    <x v="1"/>
    <n v="0"/>
    <x v="1"/>
    <x v="2"/>
  </r>
  <r>
    <n v="501455"/>
    <n v="18912"/>
    <x v="1"/>
    <x v="5"/>
    <d v="2026-01-10T00:00:00"/>
    <s v="17:08"/>
    <x v="98"/>
    <x v="2"/>
    <n v="49"/>
    <x v="9"/>
    <n v="0"/>
    <n v="1"/>
    <n v="0"/>
    <n v="0"/>
    <n v="0"/>
    <x v="0"/>
    <n v="1"/>
    <x v="0"/>
    <x v="0"/>
  </r>
  <r>
    <n v="501456"/>
    <n v="17821"/>
    <x v="1"/>
    <x v="0"/>
    <d v="2026-04-10T00:00:00"/>
    <s v="00:47"/>
    <x v="116"/>
    <x v="6"/>
    <n v="2"/>
    <x v="4"/>
    <n v="0"/>
    <n v="0"/>
    <n v="0"/>
    <n v="0"/>
    <n v="0"/>
    <x v="1"/>
    <n v="1"/>
    <x v="0"/>
    <x v="3"/>
  </r>
  <r>
    <n v="501457"/>
    <n v="58979"/>
    <x v="1"/>
    <x v="6"/>
    <d v="2026-01-26T00:00:00"/>
    <s v="06:28"/>
    <x v="69"/>
    <x v="2"/>
    <n v="53"/>
    <x v="9"/>
    <n v="0"/>
    <n v="0"/>
    <n v="1"/>
    <n v="0"/>
    <n v="0"/>
    <x v="0"/>
    <n v="0"/>
    <x v="0"/>
    <x v="0"/>
  </r>
  <r>
    <n v="501458"/>
    <n v="93275"/>
    <x v="0"/>
    <x v="1"/>
    <d v="2026-05-01T00:00:00"/>
    <s v="12:22"/>
    <x v="48"/>
    <x v="1"/>
    <n v="45"/>
    <x v="9"/>
    <n v="1"/>
    <n v="0"/>
    <n v="0"/>
    <n v="1"/>
    <n v="0"/>
    <x v="1"/>
    <n v="1"/>
    <x v="0"/>
    <x v="0"/>
  </r>
  <r>
    <n v="501459"/>
    <n v="29079"/>
    <x v="0"/>
    <x v="2"/>
    <d v="2025-11-30T00:00:00"/>
    <s v="16:59"/>
    <x v="122"/>
    <x v="3"/>
    <n v="63"/>
    <x v="0"/>
    <n v="1"/>
    <n v="1"/>
    <n v="0"/>
    <n v="0"/>
    <n v="0"/>
    <x v="0"/>
    <n v="1"/>
    <x v="0"/>
    <x v="2"/>
  </r>
  <r>
    <n v="501460"/>
    <n v="71592"/>
    <x v="1"/>
    <x v="4"/>
    <d v="2025-12-27T00:00:00"/>
    <s v="15:38"/>
    <x v="148"/>
    <x v="2"/>
    <n v="51"/>
    <x v="9"/>
    <n v="0"/>
    <n v="0"/>
    <n v="1"/>
    <n v="0"/>
    <n v="0"/>
    <x v="0"/>
    <n v="1"/>
    <x v="0"/>
    <x v="0"/>
  </r>
  <r>
    <n v="501461"/>
    <n v="42976"/>
    <x v="1"/>
    <x v="7"/>
    <d v="2025-12-01T00:00:00"/>
    <s v="22:29"/>
    <x v="78"/>
    <x v="5"/>
    <n v="35"/>
    <x v="0"/>
    <n v="0"/>
    <n v="0"/>
    <n v="0"/>
    <n v="0"/>
    <n v="0"/>
    <x v="1"/>
    <n v="0"/>
    <x v="0"/>
    <x v="1"/>
  </r>
  <r>
    <n v="501462"/>
    <n v="55680"/>
    <x v="1"/>
    <x v="1"/>
    <d v="2026-04-18T00:00:00"/>
    <s v="09:35"/>
    <x v="183"/>
    <x v="0"/>
    <n v="13"/>
    <x v="4"/>
    <n v="0"/>
    <n v="0"/>
    <n v="0"/>
    <n v="0"/>
    <n v="0"/>
    <x v="1"/>
    <n v="1"/>
    <x v="0"/>
    <x v="3"/>
  </r>
  <r>
    <n v="501463"/>
    <n v="65554"/>
    <x v="0"/>
    <x v="3"/>
    <d v="2026-04-01T00:00:00"/>
    <s v="20:47"/>
    <x v="77"/>
    <x v="6"/>
    <n v="33"/>
    <x v="0"/>
    <n v="0"/>
    <n v="0"/>
    <n v="0"/>
    <n v="0"/>
    <n v="0"/>
    <x v="1"/>
    <n v="1"/>
    <x v="0"/>
    <x v="1"/>
  </r>
  <r>
    <n v="501464"/>
    <n v="70645"/>
    <x v="0"/>
    <x v="5"/>
    <d v="2026-04-01T00:00:00"/>
    <s v="01:46"/>
    <x v="59"/>
    <x v="1"/>
    <n v="20"/>
    <x v="0"/>
    <n v="0"/>
    <n v="0"/>
    <n v="0"/>
    <n v="0"/>
    <n v="0"/>
    <x v="1"/>
    <n v="0"/>
    <x v="0"/>
    <x v="1"/>
  </r>
  <r>
    <n v="501465"/>
    <n v="33996"/>
    <x v="1"/>
    <x v="2"/>
    <d v="2026-02-22T00:00:00"/>
    <s v="16:35"/>
    <x v="19"/>
    <x v="2"/>
    <n v="26"/>
    <x v="1"/>
    <n v="1"/>
    <n v="0"/>
    <n v="0"/>
    <n v="0"/>
    <n v="0"/>
    <x v="1"/>
    <n v="1"/>
    <x v="0"/>
    <x v="1"/>
  </r>
  <r>
    <n v="501466"/>
    <n v="29181"/>
    <x v="1"/>
    <x v="5"/>
    <d v="2026-01-25T00:00:00"/>
    <s v="13:55"/>
    <x v="106"/>
    <x v="5"/>
    <n v="49"/>
    <x v="0"/>
    <n v="0"/>
    <n v="0"/>
    <n v="0"/>
    <n v="0"/>
    <n v="0"/>
    <x v="1"/>
    <n v="1"/>
    <x v="0"/>
    <x v="0"/>
  </r>
  <r>
    <n v="501467"/>
    <n v="74887"/>
    <x v="1"/>
    <x v="7"/>
    <d v="2026-02-04T00:00:00"/>
    <s v="01:51"/>
    <x v="40"/>
    <x v="4"/>
    <n v="71"/>
    <x v="8"/>
    <n v="1"/>
    <n v="1"/>
    <n v="1"/>
    <n v="0"/>
    <n v="0"/>
    <x v="0"/>
    <n v="1"/>
    <x v="0"/>
    <x v="2"/>
  </r>
  <r>
    <n v="501468"/>
    <n v="25655"/>
    <x v="0"/>
    <x v="3"/>
    <d v="2025-12-01T00:00:00"/>
    <s v="05:00"/>
    <x v="121"/>
    <x v="3"/>
    <n v="45"/>
    <x v="6"/>
    <n v="1"/>
    <n v="0"/>
    <n v="0"/>
    <n v="0"/>
    <n v="0"/>
    <x v="1"/>
    <n v="1"/>
    <x v="1"/>
    <x v="0"/>
  </r>
  <r>
    <n v="501469"/>
    <n v="80152"/>
    <x v="1"/>
    <x v="3"/>
    <d v="2026-01-16T00:00:00"/>
    <s v="16:37"/>
    <x v="20"/>
    <x v="0"/>
    <n v="14"/>
    <x v="6"/>
    <n v="0"/>
    <n v="0"/>
    <n v="0"/>
    <n v="0"/>
    <n v="0"/>
    <x v="1"/>
    <n v="1"/>
    <x v="1"/>
    <x v="3"/>
  </r>
  <r>
    <n v="501470"/>
    <n v="96546"/>
    <x v="0"/>
    <x v="0"/>
    <d v="2026-02-09T00:00:00"/>
    <s v="09:42"/>
    <x v="40"/>
    <x v="4"/>
    <n v="46"/>
    <x v="6"/>
    <n v="1"/>
    <n v="0"/>
    <n v="0"/>
    <n v="0"/>
    <n v="0"/>
    <x v="1"/>
    <n v="1"/>
    <x v="0"/>
    <x v="0"/>
  </r>
  <r>
    <n v="501471"/>
    <n v="44961"/>
    <x v="1"/>
    <x v="1"/>
    <d v="2026-01-13T00:00:00"/>
    <s v="07:56"/>
    <x v="81"/>
    <x v="4"/>
    <n v="61"/>
    <x v="2"/>
    <n v="0"/>
    <n v="0"/>
    <n v="0"/>
    <n v="0"/>
    <n v="0"/>
    <x v="1"/>
    <n v="1"/>
    <x v="0"/>
    <x v="2"/>
  </r>
  <r>
    <n v="501472"/>
    <n v="31023"/>
    <x v="0"/>
    <x v="7"/>
    <d v="2026-04-05T00:00:00"/>
    <s v="02:46"/>
    <x v="29"/>
    <x v="3"/>
    <n v="25"/>
    <x v="3"/>
    <n v="0"/>
    <n v="0"/>
    <n v="0"/>
    <n v="0"/>
    <n v="0"/>
    <x v="1"/>
    <n v="1"/>
    <x v="0"/>
    <x v="1"/>
  </r>
  <r>
    <n v="501473"/>
    <n v="31711"/>
    <x v="0"/>
    <x v="1"/>
    <d v="2026-03-19T00:00:00"/>
    <s v="01:04"/>
    <x v="63"/>
    <x v="5"/>
    <n v="35"/>
    <x v="0"/>
    <n v="0"/>
    <n v="0"/>
    <n v="0"/>
    <n v="1"/>
    <n v="0"/>
    <x v="1"/>
    <n v="1"/>
    <x v="0"/>
    <x v="1"/>
  </r>
  <r>
    <n v="501474"/>
    <n v="60685"/>
    <x v="1"/>
    <x v="1"/>
    <d v="2026-01-06T00:00:00"/>
    <s v="08:11"/>
    <x v="109"/>
    <x v="1"/>
    <n v="38"/>
    <x v="1"/>
    <n v="0"/>
    <n v="0"/>
    <n v="0"/>
    <n v="0"/>
    <n v="0"/>
    <x v="1"/>
    <n v="1"/>
    <x v="0"/>
    <x v="1"/>
  </r>
  <r>
    <n v="501475"/>
    <n v="60393"/>
    <x v="1"/>
    <x v="0"/>
    <d v="2026-02-03T00:00:00"/>
    <s v="04:38"/>
    <x v="53"/>
    <x v="1"/>
    <n v="22"/>
    <x v="8"/>
    <n v="1"/>
    <n v="0"/>
    <n v="0"/>
    <n v="0"/>
    <n v="0"/>
    <x v="1"/>
    <n v="1"/>
    <x v="0"/>
    <x v="1"/>
  </r>
  <r>
    <n v="501476"/>
    <n v="54864"/>
    <x v="1"/>
    <x v="0"/>
    <d v="2026-05-11T00:00:00"/>
    <s v="02:59"/>
    <x v="168"/>
    <x v="0"/>
    <n v="50"/>
    <x v="3"/>
    <n v="1"/>
    <n v="0"/>
    <n v="0"/>
    <n v="0"/>
    <n v="0"/>
    <x v="1"/>
    <n v="1"/>
    <x v="0"/>
    <x v="0"/>
  </r>
  <r>
    <n v="501477"/>
    <n v="59501"/>
    <x v="0"/>
    <x v="4"/>
    <d v="2026-01-04T00:00:00"/>
    <s v="03:42"/>
    <x v="123"/>
    <x v="4"/>
    <n v="35"/>
    <x v="1"/>
    <n v="0"/>
    <n v="0"/>
    <n v="0"/>
    <n v="0"/>
    <n v="0"/>
    <x v="1"/>
    <n v="1"/>
    <x v="0"/>
    <x v="1"/>
  </r>
  <r>
    <n v="501478"/>
    <n v="40263"/>
    <x v="1"/>
    <x v="6"/>
    <d v="2026-01-03T00:00:00"/>
    <s v="13:38"/>
    <x v="38"/>
    <x v="6"/>
    <n v="46"/>
    <x v="7"/>
    <n v="0"/>
    <n v="0"/>
    <n v="1"/>
    <n v="0"/>
    <n v="0"/>
    <x v="0"/>
    <n v="1"/>
    <x v="0"/>
    <x v="0"/>
  </r>
  <r>
    <n v="501479"/>
    <n v="12686"/>
    <x v="1"/>
    <x v="4"/>
    <d v="2026-03-07T00:00:00"/>
    <s v="04:59"/>
    <x v="12"/>
    <x v="5"/>
    <n v="20"/>
    <x v="3"/>
    <n v="1"/>
    <n v="0"/>
    <n v="0"/>
    <n v="0"/>
    <n v="0"/>
    <x v="1"/>
    <n v="1"/>
    <x v="1"/>
    <x v="1"/>
  </r>
  <r>
    <n v="501480"/>
    <n v="58050"/>
    <x v="1"/>
    <x v="6"/>
    <d v="2026-04-15T00:00:00"/>
    <s v="16:30"/>
    <x v="145"/>
    <x v="4"/>
    <n v="29"/>
    <x v="2"/>
    <n v="0"/>
    <n v="0"/>
    <n v="0"/>
    <n v="0"/>
    <n v="0"/>
    <x v="1"/>
    <n v="1"/>
    <x v="0"/>
    <x v="1"/>
  </r>
  <r>
    <n v="501481"/>
    <n v="35652"/>
    <x v="0"/>
    <x v="4"/>
    <d v="2026-03-25T00:00:00"/>
    <s v="07:36"/>
    <x v="16"/>
    <x v="0"/>
    <n v="52"/>
    <x v="4"/>
    <n v="0"/>
    <n v="0"/>
    <n v="1"/>
    <n v="0"/>
    <n v="0"/>
    <x v="0"/>
    <n v="1"/>
    <x v="1"/>
    <x v="0"/>
  </r>
  <r>
    <n v="501482"/>
    <n v="20388"/>
    <x v="1"/>
    <x v="6"/>
    <d v="2026-02-09T00:00:00"/>
    <s v="06:57"/>
    <x v="163"/>
    <x v="0"/>
    <n v="30"/>
    <x v="2"/>
    <n v="1"/>
    <n v="0"/>
    <n v="0"/>
    <n v="0"/>
    <n v="0"/>
    <x v="1"/>
    <n v="0"/>
    <x v="1"/>
    <x v="1"/>
  </r>
  <r>
    <n v="501483"/>
    <n v="63669"/>
    <x v="1"/>
    <x v="3"/>
    <d v="2026-01-05T00:00:00"/>
    <s v="15:59"/>
    <x v="150"/>
    <x v="2"/>
    <n v="72"/>
    <x v="8"/>
    <n v="0"/>
    <n v="1"/>
    <n v="1"/>
    <n v="1"/>
    <n v="0"/>
    <x v="0"/>
    <n v="0"/>
    <x v="0"/>
    <x v="2"/>
  </r>
  <r>
    <n v="501484"/>
    <n v="33061"/>
    <x v="1"/>
    <x v="6"/>
    <d v="2026-01-18T00:00:00"/>
    <s v="19:10"/>
    <x v="126"/>
    <x v="3"/>
    <n v="30"/>
    <x v="5"/>
    <n v="0"/>
    <n v="0"/>
    <n v="0"/>
    <n v="0"/>
    <n v="0"/>
    <x v="1"/>
    <n v="1"/>
    <x v="0"/>
    <x v="1"/>
  </r>
  <r>
    <n v="501485"/>
    <n v="18831"/>
    <x v="0"/>
    <x v="7"/>
    <d v="2026-04-07T00:00:00"/>
    <s v="22:49"/>
    <x v="3"/>
    <x v="1"/>
    <n v="42"/>
    <x v="2"/>
    <n v="0"/>
    <n v="0"/>
    <n v="0"/>
    <n v="0"/>
    <n v="0"/>
    <x v="1"/>
    <n v="1"/>
    <x v="0"/>
    <x v="0"/>
  </r>
  <r>
    <n v="501486"/>
    <n v="34485"/>
    <x v="0"/>
    <x v="0"/>
    <d v="2026-03-11T00:00:00"/>
    <s v="15:20"/>
    <x v="112"/>
    <x v="4"/>
    <n v="56"/>
    <x v="4"/>
    <n v="0"/>
    <n v="0"/>
    <n v="0"/>
    <n v="1"/>
    <n v="0"/>
    <x v="1"/>
    <n v="1"/>
    <x v="1"/>
    <x v="0"/>
  </r>
  <r>
    <n v="501487"/>
    <n v="30435"/>
    <x v="0"/>
    <x v="1"/>
    <d v="2025-12-05T00:00:00"/>
    <s v="08:27"/>
    <x v="67"/>
    <x v="6"/>
    <n v="9"/>
    <x v="9"/>
    <n v="0"/>
    <n v="0"/>
    <n v="0"/>
    <n v="0"/>
    <n v="0"/>
    <x v="1"/>
    <n v="1"/>
    <x v="1"/>
    <x v="3"/>
  </r>
  <r>
    <n v="501488"/>
    <n v="42216"/>
    <x v="1"/>
    <x v="3"/>
    <d v="2025-12-03T00:00:00"/>
    <s v="19:16"/>
    <x v="192"/>
    <x v="6"/>
    <n v="2"/>
    <x v="6"/>
    <n v="0"/>
    <n v="0"/>
    <n v="0"/>
    <n v="0"/>
    <n v="0"/>
    <x v="1"/>
    <n v="1"/>
    <x v="0"/>
    <x v="3"/>
  </r>
  <r>
    <n v="501489"/>
    <n v="15540"/>
    <x v="0"/>
    <x v="4"/>
    <d v="2026-01-13T00:00:00"/>
    <s v="07:32"/>
    <x v="98"/>
    <x v="2"/>
    <n v="7"/>
    <x v="2"/>
    <n v="0"/>
    <n v="0"/>
    <n v="0"/>
    <n v="0"/>
    <n v="0"/>
    <x v="1"/>
    <n v="1"/>
    <x v="0"/>
    <x v="3"/>
  </r>
  <r>
    <n v="501490"/>
    <n v="98804"/>
    <x v="1"/>
    <x v="4"/>
    <d v="2026-02-15T00:00:00"/>
    <s v="19:06"/>
    <x v="151"/>
    <x v="4"/>
    <n v="63"/>
    <x v="8"/>
    <n v="1"/>
    <n v="0"/>
    <n v="0"/>
    <n v="0"/>
    <n v="0"/>
    <x v="1"/>
    <n v="0"/>
    <x v="0"/>
    <x v="2"/>
  </r>
  <r>
    <n v="501491"/>
    <n v="78612"/>
    <x v="1"/>
    <x v="3"/>
    <d v="2026-05-08T00:00:00"/>
    <s v="00:26"/>
    <x v="48"/>
    <x v="1"/>
    <n v="26"/>
    <x v="8"/>
    <n v="1"/>
    <n v="0"/>
    <n v="0"/>
    <n v="0"/>
    <n v="0"/>
    <x v="1"/>
    <n v="1"/>
    <x v="0"/>
    <x v="1"/>
  </r>
  <r>
    <n v="501492"/>
    <n v="49117"/>
    <x v="0"/>
    <x v="4"/>
    <d v="2025-11-26T00:00:00"/>
    <s v="15:52"/>
    <x v="64"/>
    <x v="1"/>
    <n v="89"/>
    <x v="5"/>
    <n v="1"/>
    <n v="1"/>
    <n v="1"/>
    <n v="0"/>
    <n v="0"/>
    <x v="0"/>
    <n v="0"/>
    <x v="0"/>
    <x v="2"/>
  </r>
  <r>
    <n v="501493"/>
    <n v="68974"/>
    <x v="0"/>
    <x v="7"/>
    <d v="2025-12-22T00:00:00"/>
    <s v="11:35"/>
    <x v="60"/>
    <x v="5"/>
    <n v="26"/>
    <x v="5"/>
    <n v="0"/>
    <n v="0"/>
    <n v="0"/>
    <n v="0"/>
    <n v="0"/>
    <x v="1"/>
    <n v="0"/>
    <x v="1"/>
    <x v="1"/>
  </r>
  <r>
    <n v="501494"/>
    <n v="62329"/>
    <x v="1"/>
    <x v="6"/>
    <d v="2025-12-06T00:00:00"/>
    <s v="17:45"/>
    <x v="93"/>
    <x v="6"/>
    <n v="41"/>
    <x v="4"/>
    <n v="0"/>
    <n v="0"/>
    <n v="0"/>
    <n v="0"/>
    <n v="0"/>
    <x v="1"/>
    <n v="0"/>
    <x v="0"/>
    <x v="0"/>
  </r>
  <r>
    <n v="501495"/>
    <n v="23275"/>
    <x v="1"/>
    <x v="2"/>
    <d v="2026-03-05T00:00:00"/>
    <s v="16:53"/>
    <x v="128"/>
    <x v="0"/>
    <n v="68"/>
    <x v="7"/>
    <n v="1"/>
    <n v="0"/>
    <n v="0"/>
    <n v="0"/>
    <n v="0"/>
    <x v="1"/>
    <n v="1"/>
    <x v="0"/>
    <x v="2"/>
  </r>
  <r>
    <n v="501496"/>
    <n v="72535"/>
    <x v="0"/>
    <x v="6"/>
    <d v="2026-03-17T00:00:00"/>
    <s v="14:19"/>
    <x v="143"/>
    <x v="4"/>
    <n v="78"/>
    <x v="6"/>
    <n v="1"/>
    <n v="1"/>
    <n v="0"/>
    <n v="0"/>
    <n v="1"/>
    <x v="0"/>
    <n v="0"/>
    <x v="0"/>
    <x v="2"/>
  </r>
  <r>
    <n v="501497"/>
    <n v="17849"/>
    <x v="0"/>
    <x v="1"/>
    <d v="2026-02-07T00:00:00"/>
    <s v="22:42"/>
    <x v="178"/>
    <x v="6"/>
    <n v="79"/>
    <x v="8"/>
    <n v="1"/>
    <n v="1"/>
    <n v="0"/>
    <n v="0"/>
    <n v="0"/>
    <x v="0"/>
    <n v="1"/>
    <x v="1"/>
    <x v="2"/>
  </r>
  <r>
    <n v="501498"/>
    <n v="77763"/>
    <x v="0"/>
    <x v="6"/>
    <d v="2025-11-20T00:00:00"/>
    <s v="22:17"/>
    <x v="17"/>
    <x v="0"/>
    <n v="62"/>
    <x v="3"/>
    <n v="1"/>
    <n v="0"/>
    <n v="1"/>
    <n v="0"/>
    <n v="0"/>
    <x v="0"/>
    <n v="1"/>
    <x v="0"/>
    <x v="2"/>
  </r>
  <r>
    <n v="501499"/>
    <n v="59535"/>
    <x v="1"/>
    <x v="6"/>
    <d v="2025-12-25T00:00:00"/>
    <s v="06:41"/>
    <x v="156"/>
    <x v="5"/>
    <n v="58"/>
    <x v="0"/>
    <n v="0"/>
    <n v="1"/>
    <n v="0"/>
    <n v="0"/>
    <n v="0"/>
    <x v="0"/>
    <n v="1"/>
    <x v="0"/>
    <x v="0"/>
  </r>
  <r>
    <n v="501500"/>
    <n v="27424"/>
    <x v="0"/>
    <x v="4"/>
    <d v="2025-12-17T00:00:00"/>
    <s v="11:32"/>
    <x v="129"/>
    <x v="3"/>
    <n v="49"/>
    <x v="9"/>
    <n v="0"/>
    <n v="0"/>
    <n v="0"/>
    <n v="0"/>
    <n v="0"/>
    <x v="1"/>
    <n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DF78D-4BD4-4F62-B35C-514CFCA5B94A}" name="PivotTable17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95:E206" firstHeaderRow="1" firstDataRow="1" firstDataCol="1" rowPageCount="1" colPageCount="1"/>
  <pivotFields count="22">
    <pivotField showAll="0"/>
    <pivotField dataField="1" showAll="0"/>
    <pivotField showAll="0"/>
    <pivotField showAll="0"/>
    <pivotField numFmtId="164" showAll="0"/>
    <pivotField showAll="0"/>
    <pivotField numFmtId="164" showAll="0">
      <items count="199">
        <item x="189"/>
        <item x="197"/>
        <item x="57"/>
        <item x="159"/>
        <item x="155"/>
        <item x="119"/>
        <item x="17"/>
        <item x="64"/>
        <item x="110"/>
        <item x="121"/>
        <item x="23"/>
        <item x="99"/>
        <item x="82"/>
        <item x="39"/>
        <item x="93"/>
        <item x="13"/>
        <item x="113"/>
        <item x="188"/>
        <item x="24"/>
        <item x="114"/>
        <item x="1"/>
        <item x="192"/>
        <item x="86"/>
        <item x="122"/>
        <item x="118"/>
        <item x="152"/>
        <item x="180"/>
        <item x="169"/>
        <item x="67"/>
        <item x="78"/>
        <item x="129"/>
        <item x="140"/>
        <item x="127"/>
        <item x="80"/>
        <item x="170"/>
        <item x="73"/>
        <item x="156"/>
        <item x="30"/>
        <item x="148"/>
        <item x="158"/>
        <item x="22"/>
        <item x="70"/>
        <item x="38"/>
        <item x="50"/>
        <item x="84"/>
        <item x="6"/>
        <item x="123"/>
        <item x="75"/>
        <item x="109"/>
        <item x="130"/>
        <item x="60"/>
        <item x="51"/>
        <item x="98"/>
        <item x="179"/>
        <item x="100"/>
        <item x="11"/>
        <item x="94"/>
        <item x="117"/>
        <item x="65"/>
        <item x="150"/>
        <item x="35"/>
        <item x="141"/>
        <item x="5"/>
        <item x="54"/>
        <item x="106"/>
        <item x="137"/>
        <item x="187"/>
        <item x="81"/>
        <item x="96"/>
        <item x="74"/>
        <item x="146"/>
        <item x="42"/>
        <item x="126"/>
        <item x="120"/>
        <item x="33"/>
        <item x="20"/>
        <item x="52"/>
        <item x="47"/>
        <item x="154"/>
        <item x="167"/>
        <item x="69"/>
        <item x="40"/>
        <item x="163"/>
        <item x="53"/>
        <item x="178"/>
        <item x="115"/>
        <item x="56"/>
        <item x="2"/>
        <item x="165"/>
        <item x="44"/>
        <item x="21"/>
        <item x="95"/>
        <item x="28"/>
        <item x="92"/>
        <item x="19"/>
        <item x="151"/>
        <item x="149"/>
        <item x="91"/>
        <item x="27"/>
        <item x="125"/>
        <item x="61"/>
        <item x="131"/>
        <item x="72"/>
        <item x="135"/>
        <item x="89"/>
        <item x="66"/>
        <item x="12"/>
        <item x="85"/>
        <item x="88"/>
        <item x="112"/>
        <item x="128"/>
        <item x="111"/>
        <item x="193"/>
        <item x="184"/>
        <item x="83"/>
        <item x="136"/>
        <item x="143"/>
        <item x="26"/>
        <item x="41"/>
        <item x="71"/>
        <item x="185"/>
        <item x="49"/>
        <item x="15"/>
        <item x="102"/>
        <item x="16"/>
        <item x="58"/>
        <item x="161"/>
        <item x="63"/>
        <item x="153"/>
        <item x="107"/>
        <item x="97"/>
        <item x="186"/>
        <item x="59"/>
        <item x="77"/>
        <item x="68"/>
        <item x="43"/>
        <item x="45"/>
        <item x="8"/>
        <item x="0"/>
        <item x="3"/>
        <item x="160"/>
        <item x="90"/>
        <item x="176"/>
        <item x="147"/>
        <item x="37"/>
        <item x="139"/>
        <item x="101"/>
        <item x="171"/>
        <item x="134"/>
        <item x="29"/>
        <item x="31"/>
        <item x="145"/>
        <item x="183"/>
        <item x="172"/>
        <item x="116"/>
        <item x="79"/>
        <item x="36"/>
        <item x="62"/>
        <item x="25"/>
        <item x="87"/>
        <item x="157"/>
        <item x="105"/>
        <item x="18"/>
        <item x="4"/>
        <item x="182"/>
        <item x="46"/>
        <item x="133"/>
        <item x="48"/>
        <item x="76"/>
        <item x="132"/>
        <item x="173"/>
        <item x="190"/>
        <item x="10"/>
        <item x="124"/>
        <item x="9"/>
        <item x="55"/>
        <item x="32"/>
        <item x="104"/>
        <item x="162"/>
        <item x="7"/>
        <item x="168"/>
        <item x="138"/>
        <item x="14"/>
        <item x="108"/>
        <item x="103"/>
        <item x="166"/>
        <item x="144"/>
        <item x="175"/>
        <item x="181"/>
        <item x="34"/>
        <item x="142"/>
        <item x="177"/>
        <item x="164"/>
        <item x="174"/>
        <item x="191"/>
        <item x="194"/>
        <item x="196"/>
        <item x="195"/>
        <item t="default"/>
      </items>
    </pivotField>
    <pivotField showAll="0"/>
    <pivotField showAll="0"/>
    <pivotField axis="axisRow" showAll="0">
      <items count="11">
        <item x="7"/>
        <item x="3"/>
        <item x="6"/>
        <item x="9"/>
        <item x="0"/>
        <item x="2"/>
        <item x="4"/>
        <item x="1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7" hier="-1"/>
  </pageFields>
  <dataFields count="1">
    <dataField name="Count of Patient_ID" fld="1" subtotal="count" baseField="1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E1030-CCB4-4295-970E-8057F8E7FEE6}" name="PivotTable1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5:B206" firstHeaderRow="1" firstDataRow="1" firstDataCol="1" rowPageCount="1" colPageCount="1"/>
  <pivotFields count="22">
    <pivotField showAll="0"/>
    <pivotField dataField="1" showAll="0"/>
    <pivotField showAll="0"/>
    <pivotField showAll="0"/>
    <pivotField numFmtId="164" showAll="0"/>
    <pivotField showAll="0"/>
    <pivotField numFmtId="164" showAll="0">
      <items count="199">
        <item x="189"/>
        <item x="197"/>
        <item x="57"/>
        <item x="159"/>
        <item x="155"/>
        <item x="119"/>
        <item x="17"/>
        <item x="64"/>
        <item x="110"/>
        <item x="121"/>
        <item x="23"/>
        <item x="99"/>
        <item x="82"/>
        <item x="39"/>
        <item x="93"/>
        <item x="13"/>
        <item x="113"/>
        <item x="188"/>
        <item x="24"/>
        <item x="114"/>
        <item x="1"/>
        <item x="192"/>
        <item x="86"/>
        <item x="122"/>
        <item x="118"/>
        <item x="152"/>
        <item x="180"/>
        <item x="169"/>
        <item x="67"/>
        <item x="78"/>
        <item x="129"/>
        <item x="140"/>
        <item x="127"/>
        <item x="80"/>
        <item x="170"/>
        <item x="73"/>
        <item x="156"/>
        <item x="30"/>
        <item x="148"/>
        <item x="158"/>
        <item x="22"/>
        <item x="70"/>
        <item x="38"/>
        <item x="50"/>
        <item x="84"/>
        <item x="6"/>
        <item x="123"/>
        <item x="75"/>
        <item x="109"/>
        <item x="130"/>
        <item x="60"/>
        <item x="51"/>
        <item x="98"/>
        <item x="179"/>
        <item x="100"/>
        <item x="11"/>
        <item x="94"/>
        <item x="117"/>
        <item x="65"/>
        <item x="150"/>
        <item x="35"/>
        <item x="141"/>
        <item x="5"/>
        <item x="54"/>
        <item x="106"/>
        <item x="137"/>
        <item x="187"/>
        <item x="81"/>
        <item x="96"/>
        <item x="74"/>
        <item x="146"/>
        <item x="42"/>
        <item x="126"/>
        <item x="120"/>
        <item x="33"/>
        <item x="20"/>
        <item x="52"/>
        <item x="47"/>
        <item x="154"/>
        <item x="167"/>
        <item x="69"/>
        <item x="40"/>
        <item x="163"/>
        <item x="53"/>
        <item x="178"/>
        <item x="115"/>
        <item x="56"/>
        <item x="2"/>
        <item x="165"/>
        <item x="44"/>
        <item x="21"/>
        <item x="95"/>
        <item x="28"/>
        <item x="92"/>
        <item x="19"/>
        <item x="151"/>
        <item x="149"/>
        <item x="91"/>
        <item x="27"/>
        <item x="125"/>
        <item x="61"/>
        <item x="131"/>
        <item x="72"/>
        <item x="135"/>
        <item x="89"/>
        <item x="66"/>
        <item x="12"/>
        <item x="85"/>
        <item x="88"/>
        <item x="112"/>
        <item x="128"/>
        <item x="111"/>
        <item x="193"/>
        <item x="184"/>
        <item x="83"/>
        <item x="136"/>
        <item x="143"/>
        <item x="26"/>
        <item x="41"/>
        <item x="71"/>
        <item x="185"/>
        <item x="49"/>
        <item x="15"/>
        <item x="102"/>
        <item x="16"/>
        <item x="58"/>
        <item x="161"/>
        <item x="63"/>
        <item x="153"/>
        <item x="107"/>
        <item x="97"/>
        <item x="186"/>
        <item x="59"/>
        <item x="77"/>
        <item x="68"/>
        <item x="43"/>
        <item x="45"/>
        <item x="8"/>
        <item x="0"/>
        <item x="3"/>
        <item x="160"/>
        <item x="90"/>
        <item x="176"/>
        <item x="147"/>
        <item x="37"/>
        <item x="139"/>
        <item x="101"/>
        <item x="171"/>
        <item x="134"/>
        <item x="29"/>
        <item x="31"/>
        <item x="145"/>
        <item x="183"/>
        <item x="172"/>
        <item x="116"/>
        <item x="79"/>
        <item x="36"/>
        <item x="62"/>
        <item x="25"/>
        <item x="87"/>
        <item x="157"/>
        <item x="105"/>
        <item x="18"/>
        <item x="4"/>
        <item x="182"/>
        <item x="46"/>
        <item x="133"/>
        <item x="48"/>
        <item x="76"/>
        <item x="132"/>
        <item x="173"/>
        <item x="190"/>
        <item x="10"/>
        <item x="124"/>
        <item x="9"/>
        <item x="55"/>
        <item x="32"/>
        <item x="104"/>
        <item x="162"/>
        <item x="7"/>
        <item x="168"/>
        <item x="138"/>
        <item x="14"/>
        <item x="108"/>
        <item x="103"/>
        <item x="166"/>
        <item x="144"/>
        <item x="175"/>
        <item x="181"/>
        <item x="34"/>
        <item x="142"/>
        <item x="177"/>
        <item x="164"/>
        <item x="174"/>
        <item x="191"/>
        <item x="194"/>
        <item x="196"/>
        <item x="195"/>
        <item t="default"/>
      </items>
    </pivotField>
    <pivotField showAll="0"/>
    <pivotField showAll="0"/>
    <pivotField axis="axisRow" showAll="0">
      <items count="11">
        <item x="7"/>
        <item x="3"/>
        <item x="6"/>
        <item x="9"/>
        <item x="0"/>
        <item x="2"/>
        <item x="4"/>
        <item x="1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7" hier="-1"/>
  </pageFields>
  <dataFields count="1">
    <dataField name="Count of Patient_ID" fld="1" subtotal="count" baseField="1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4C37E-DCB6-42EA-A632-804599DDEFC5}" name="PivotTable1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1:E170" firstHeaderRow="1" firstDataRow="1" firstDataCol="1" rowPageCount="1" colPageCount="1"/>
  <pivotFields count="22">
    <pivotField showAll="0"/>
    <pivotField showAll="0"/>
    <pivotField showAll="0"/>
    <pivotField showAll="0"/>
    <pivotField numFmtId="164" showAll="0"/>
    <pivotField showAll="0"/>
    <pivotField numFmtId="164" showAll="0">
      <items count="199">
        <item x="189"/>
        <item x="197"/>
        <item x="57"/>
        <item x="159"/>
        <item x="155"/>
        <item x="119"/>
        <item x="17"/>
        <item x="64"/>
        <item x="110"/>
        <item x="121"/>
        <item x="23"/>
        <item x="99"/>
        <item x="82"/>
        <item x="39"/>
        <item x="93"/>
        <item x="13"/>
        <item x="113"/>
        <item x="188"/>
        <item x="24"/>
        <item x="114"/>
        <item x="1"/>
        <item x="192"/>
        <item x="86"/>
        <item x="122"/>
        <item x="118"/>
        <item x="152"/>
        <item x="180"/>
        <item x="169"/>
        <item x="67"/>
        <item x="78"/>
        <item x="129"/>
        <item x="140"/>
        <item x="127"/>
        <item x="80"/>
        <item x="170"/>
        <item x="73"/>
        <item x="156"/>
        <item x="30"/>
        <item x="148"/>
        <item x="158"/>
        <item x="22"/>
        <item x="70"/>
        <item x="38"/>
        <item x="50"/>
        <item x="84"/>
        <item x="6"/>
        <item x="123"/>
        <item x="75"/>
        <item x="109"/>
        <item x="130"/>
        <item x="60"/>
        <item x="51"/>
        <item x="98"/>
        <item x="179"/>
        <item x="100"/>
        <item x="11"/>
        <item x="94"/>
        <item x="117"/>
        <item x="65"/>
        <item x="150"/>
        <item x="35"/>
        <item x="141"/>
        <item x="5"/>
        <item x="54"/>
        <item x="106"/>
        <item x="137"/>
        <item x="187"/>
        <item x="81"/>
        <item x="96"/>
        <item x="74"/>
        <item x="146"/>
        <item x="42"/>
        <item x="126"/>
        <item x="120"/>
        <item x="33"/>
        <item x="20"/>
        <item x="52"/>
        <item x="47"/>
        <item x="154"/>
        <item x="167"/>
        <item x="69"/>
        <item x="40"/>
        <item x="163"/>
        <item x="53"/>
        <item x="178"/>
        <item x="115"/>
        <item x="56"/>
        <item x="2"/>
        <item x="165"/>
        <item x="44"/>
        <item x="21"/>
        <item x="95"/>
        <item x="28"/>
        <item x="92"/>
        <item x="19"/>
        <item x="151"/>
        <item x="149"/>
        <item x="91"/>
        <item x="27"/>
        <item x="125"/>
        <item x="61"/>
        <item x="131"/>
        <item x="72"/>
        <item x="135"/>
        <item x="89"/>
        <item x="66"/>
        <item x="12"/>
        <item x="85"/>
        <item x="88"/>
        <item x="112"/>
        <item x="128"/>
        <item x="111"/>
        <item x="193"/>
        <item x="184"/>
        <item x="83"/>
        <item x="136"/>
        <item x="143"/>
        <item x="26"/>
        <item x="41"/>
        <item x="71"/>
        <item x="185"/>
        <item x="49"/>
        <item x="15"/>
        <item x="102"/>
        <item x="16"/>
        <item x="58"/>
        <item x="161"/>
        <item x="63"/>
        <item x="153"/>
        <item x="107"/>
        <item x="97"/>
        <item x="186"/>
        <item x="59"/>
        <item x="77"/>
        <item x="68"/>
        <item x="43"/>
        <item x="45"/>
        <item x="8"/>
        <item x="0"/>
        <item x="3"/>
        <item x="160"/>
        <item x="90"/>
        <item x="176"/>
        <item x="147"/>
        <item x="37"/>
        <item x="139"/>
        <item x="101"/>
        <item x="171"/>
        <item x="134"/>
        <item x="29"/>
        <item x="31"/>
        <item x="145"/>
        <item x="183"/>
        <item x="172"/>
        <item x="116"/>
        <item x="79"/>
        <item x="36"/>
        <item x="62"/>
        <item x="25"/>
        <item x="87"/>
        <item x="157"/>
        <item x="105"/>
        <item x="18"/>
        <item x="4"/>
        <item x="182"/>
        <item x="46"/>
        <item x="133"/>
        <item x="48"/>
        <item x="76"/>
        <item x="132"/>
        <item x="173"/>
        <item x="190"/>
        <item x="10"/>
        <item x="124"/>
        <item x="9"/>
        <item x="55"/>
        <item x="32"/>
        <item x="104"/>
        <item x="162"/>
        <item x="7"/>
        <item x="168"/>
        <item x="138"/>
        <item x="14"/>
        <item x="108"/>
        <item x="103"/>
        <item x="166"/>
        <item x="144"/>
        <item x="175"/>
        <item x="181"/>
        <item x="34"/>
        <item x="142"/>
        <item x="177"/>
        <item x="164"/>
        <item x="174"/>
        <item x="191"/>
        <item x="194"/>
        <item x="196"/>
        <item x="19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3">
        <item x="0"/>
        <item x="1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9"/>
  </rowFields>
  <rowItems count="9">
    <i>
      <x v="1"/>
    </i>
    <i>
      <x v="2"/>
    </i>
    <i>
      <x v="3"/>
    </i>
    <i>
      <x v="4"/>
    </i>
    <i>
      <x v="5"/>
    </i>
    <i>
      <x v="6"/>
    </i>
    <i>
      <x v="11"/>
    </i>
    <i>
      <x v="12"/>
    </i>
    <i t="grand">
      <x/>
    </i>
  </rowItems>
  <colItems count="1">
    <i/>
  </colItems>
  <pageFields count="1">
    <pageField fld="17" hier="-1"/>
  </pageFields>
  <dataFields count="1">
    <dataField name="Count of No_Show" fld="17" subtotal="count" showDataAs="percentOfTotal" baseField="19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4C8E7-1446-423A-9DDE-ACF4AE670A82}" name="PivotTable13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1:B170" firstHeaderRow="1" firstDataRow="1" firstDataCol="1"/>
  <pivotFields count="22">
    <pivotField showAll="0"/>
    <pivotField showAll="0"/>
    <pivotField showAll="0"/>
    <pivotField showAll="0"/>
    <pivotField numFmtId="164" showAll="0"/>
    <pivotField showAll="0"/>
    <pivotField numFmtId="164" showAll="0">
      <items count="199">
        <item x="189"/>
        <item x="197"/>
        <item x="57"/>
        <item x="159"/>
        <item x="155"/>
        <item x="119"/>
        <item x="17"/>
        <item x="64"/>
        <item x="110"/>
        <item x="121"/>
        <item x="23"/>
        <item x="99"/>
        <item x="82"/>
        <item x="39"/>
        <item x="93"/>
        <item x="13"/>
        <item x="113"/>
        <item x="188"/>
        <item x="24"/>
        <item x="114"/>
        <item x="1"/>
        <item x="192"/>
        <item x="86"/>
        <item x="122"/>
        <item x="118"/>
        <item x="152"/>
        <item x="180"/>
        <item x="169"/>
        <item x="67"/>
        <item x="78"/>
        <item x="129"/>
        <item x="140"/>
        <item x="127"/>
        <item x="80"/>
        <item x="170"/>
        <item x="73"/>
        <item x="156"/>
        <item x="30"/>
        <item x="148"/>
        <item x="158"/>
        <item x="22"/>
        <item x="70"/>
        <item x="38"/>
        <item x="50"/>
        <item x="84"/>
        <item x="6"/>
        <item x="123"/>
        <item x="75"/>
        <item x="109"/>
        <item x="130"/>
        <item x="60"/>
        <item x="51"/>
        <item x="98"/>
        <item x="179"/>
        <item x="100"/>
        <item x="11"/>
        <item x="94"/>
        <item x="117"/>
        <item x="65"/>
        <item x="150"/>
        <item x="35"/>
        <item x="141"/>
        <item x="5"/>
        <item x="54"/>
        <item x="106"/>
        <item x="137"/>
        <item x="187"/>
        <item x="81"/>
        <item x="96"/>
        <item x="74"/>
        <item x="146"/>
        <item x="42"/>
        <item x="126"/>
        <item x="120"/>
        <item x="33"/>
        <item x="20"/>
        <item x="52"/>
        <item x="47"/>
        <item x="154"/>
        <item x="167"/>
        <item x="69"/>
        <item x="40"/>
        <item x="163"/>
        <item x="53"/>
        <item x="178"/>
        <item x="115"/>
        <item x="56"/>
        <item x="2"/>
        <item x="165"/>
        <item x="44"/>
        <item x="21"/>
        <item x="95"/>
        <item x="28"/>
        <item x="92"/>
        <item x="19"/>
        <item x="151"/>
        <item x="149"/>
        <item x="91"/>
        <item x="27"/>
        <item x="125"/>
        <item x="61"/>
        <item x="131"/>
        <item x="72"/>
        <item x="135"/>
        <item x="89"/>
        <item x="66"/>
        <item x="12"/>
        <item x="85"/>
        <item x="88"/>
        <item x="112"/>
        <item x="128"/>
        <item x="111"/>
        <item x="193"/>
        <item x="184"/>
        <item x="83"/>
        <item x="136"/>
        <item x="143"/>
        <item x="26"/>
        <item x="41"/>
        <item x="71"/>
        <item x="185"/>
        <item x="49"/>
        <item x="15"/>
        <item x="102"/>
        <item x="16"/>
        <item x="58"/>
        <item x="161"/>
        <item x="63"/>
        <item x="153"/>
        <item x="107"/>
        <item x="97"/>
        <item x="186"/>
        <item x="59"/>
        <item x="77"/>
        <item x="68"/>
        <item x="43"/>
        <item x="45"/>
        <item x="8"/>
        <item x="0"/>
        <item x="3"/>
        <item x="160"/>
        <item x="90"/>
        <item x="176"/>
        <item x="147"/>
        <item x="37"/>
        <item x="139"/>
        <item x="101"/>
        <item x="171"/>
        <item x="134"/>
        <item x="29"/>
        <item x="31"/>
        <item x="145"/>
        <item x="183"/>
        <item x="172"/>
        <item x="116"/>
        <item x="79"/>
        <item x="36"/>
        <item x="62"/>
        <item x="25"/>
        <item x="87"/>
        <item x="157"/>
        <item x="105"/>
        <item x="18"/>
        <item x="4"/>
        <item x="182"/>
        <item x="46"/>
        <item x="133"/>
        <item x="48"/>
        <item x="76"/>
        <item x="132"/>
        <item x="173"/>
        <item x="190"/>
        <item x="10"/>
        <item x="124"/>
        <item x="9"/>
        <item x="55"/>
        <item x="32"/>
        <item x="104"/>
        <item x="162"/>
        <item x="7"/>
        <item x="168"/>
        <item x="138"/>
        <item x="14"/>
        <item x="108"/>
        <item x="103"/>
        <item x="166"/>
        <item x="144"/>
        <item x="175"/>
        <item x="181"/>
        <item x="34"/>
        <item x="142"/>
        <item x="177"/>
        <item x="164"/>
        <item x="174"/>
        <item x="191"/>
        <item x="194"/>
        <item x="196"/>
        <item x="19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9"/>
  </rowFields>
  <rowItems count="9">
    <i>
      <x v="1"/>
    </i>
    <i>
      <x v="2"/>
    </i>
    <i>
      <x v="3"/>
    </i>
    <i>
      <x v="4"/>
    </i>
    <i>
      <x v="5"/>
    </i>
    <i>
      <x v="6"/>
    </i>
    <i>
      <x v="11"/>
    </i>
    <i>
      <x v="12"/>
    </i>
    <i t="grand">
      <x/>
    </i>
  </rowItems>
  <colItems count="1">
    <i/>
  </colItems>
  <dataFields count="1">
    <dataField name="Count of No_Show" fld="17" subtotal="count" baseField="1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F5CCC-0E76-4734-91D8-EDD5131930B7}" name="PivotTable1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43:F146" firstHeaderRow="1" firstDataRow="1" firstDataCol="1" rowPageCount="1" colPageCount="1"/>
  <pivotFields count="22">
    <pivotField showAll="0"/>
    <pivotField showAll="0"/>
    <pivotField showAll="0"/>
    <pivotField showAll="0"/>
    <pivotField numFmtId="164" showAll="0"/>
    <pivotField showAll="0"/>
    <pivotField numFmtId="164" showAll="0">
      <items count="199">
        <item x="189"/>
        <item x="197"/>
        <item x="57"/>
        <item x="159"/>
        <item x="155"/>
        <item x="119"/>
        <item x="17"/>
        <item x="64"/>
        <item x="110"/>
        <item x="121"/>
        <item x="23"/>
        <item x="99"/>
        <item x="82"/>
        <item x="39"/>
        <item x="93"/>
        <item x="13"/>
        <item x="113"/>
        <item x="188"/>
        <item x="24"/>
        <item x="114"/>
        <item x="1"/>
        <item x="192"/>
        <item x="86"/>
        <item x="122"/>
        <item x="118"/>
        <item x="152"/>
        <item x="180"/>
        <item x="169"/>
        <item x="67"/>
        <item x="78"/>
        <item x="129"/>
        <item x="140"/>
        <item x="127"/>
        <item x="80"/>
        <item x="170"/>
        <item x="73"/>
        <item x="156"/>
        <item x="30"/>
        <item x="148"/>
        <item x="158"/>
        <item x="22"/>
        <item x="70"/>
        <item x="38"/>
        <item x="50"/>
        <item x="84"/>
        <item x="6"/>
        <item x="123"/>
        <item x="75"/>
        <item x="109"/>
        <item x="130"/>
        <item x="60"/>
        <item x="51"/>
        <item x="98"/>
        <item x="179"/>
        <item x="100"/>
        <item x="11"/>
        <item x="94"/>
        <item x="117"/>
        <item x="65"/>
        <item x="150"/>
        <item x="35"/>
        <item x="141"/>
        <item x="5"/>
        <item x="54"/>
        <item x="106"/>
        <item x="137"/>
        <item x="187"/>
        <item x="81"/>
        <item x="96"/>
        <item x="74"/>
        <item x="146"/>
        <item x="42"/>
        <item x="126"/>
        <item x="120"/>
        <item x="33"/>
        <item x="20"/>
        <item x="52"/>
        <item x="47"/>
        <item x="154"/>
        <item x="167"/>
        <item x="69"/>
        <item x="40"/>
        <item x="163"/>
        <item x="53"/>
        <item x="178"/>
        <item x="115"/>
        <item x="56"/>
        <item x="2"/>
        <item x="165"/>
        <item x="44"/>
        <item x="21"/>
        <item x="95"/>
        <item x="28"/>
        <item x="92"/>
        <item x="19"/>
        <item x="151"/>
        <item x="149"/>
        <item x="91"/>
        <item x="27"/>
        <item x="125"/>
        <item x="61"/>
        <item x="131"/>
        <item x="72"/>
        <item x="135"/>
        <item x="89"/>
        <item x="66"/>
        <item x="12"/>
        <item x="85"/>
        <item x="88"/>
        <item x="112"/>
        <item x="128"/>
        <item x="111"/>
        <item x="193"/>
        <item x="184"/>
        <item x="83"/>
        <item x="136"/>
        <item x="143"/>
        <item x="26"/>
        <item x="41"/>
        <item x="71"/>
        <item x="185"/>
        <item x="49"/>
        <item x="15"/>
        <item x="102"/>
        <item x="16"/>
        <item x="58"/>
        <item x="161"/>
        <item x="63"/>
        <item x="153"/>
        <item x="107"/>
        <item x="97"/>
        <item x="186"/>
        <item x="59"/>
        <item x="77"/>
        <item x="68"/>
        <item x="43"/>
        <item x="45"/>
        <item x="8"/>
        <item x="0"/>
        <item x="3"/>
        <item x="160"/>
        <item x="90"/>
        <item x="176"/>
        <item x="147"/>
        <item x="37"/>
        <item x="139"/>
        <item x="101"/>
        <item x="171"/>
        <item x="134"/>
        <item x="29"/>
        <item x="31"/>
        <item x="145"/>
        <item x="183"/>
        <item x="172"/>
        <item x="116"/>
        <item x="79"/>
        <item x="36"/>
        <item x="62"/>
        <item x="25"/>
        <item x="87"/>
        <item x="157"/>
        <item x="105"/>
        <item x="18"/>
        <item x="4"/>
        <item x="182"/>
        <item x="46"/>
        <item x="133"/>
        <item x="48"/>
        <item x="76"/>
        <item x="132"/>
        <item x="173"/>
        <item x="190"/>
        <item x="10"/>
        <item x="124"/>
        <item x="9"/>
        <item x="55"/>
        <item x="32"/>
        <item x="104"/>
        <item x="162"/>
        <item x="7"/>
        <item x="168"/>
        <item x="138"/>
        <item x="14"/>
        <item x="108"/>
        <item x="103"/>
        <item x="166"/>
        <item x="144"/>
        <item x="175"/>
        <item x="181"/>
        <item x="34"/>
        <item x="142"/>
        <item x="177"/>
        <item x="164"/>
        <item x="174"/>
        <item x="191"/>
        <item x="194"/>
        <item x="196"/>
        <item x="19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Page" dataField="1" multipleItemSelectionAllowed="1" showAll="0">
      <items count="3">
        <item h="1"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17" hier="-1"/>
  </pageFields>
  <dataFields count="1">
    <dataField name="Sum of No_Show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AFE5B-C3F5-4AEB-8186-DB95680ABB00}" name="PivotTable1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3:B146" firstHeaderRow="1" firstDataRow="1" firstDataCol="1"/>
  <pivotFields count="22">
    <pivotField showAll="0"/>
    <pivotField showAll="0"/>
    <pivotField showAll="0"/>
    <pivotField showAll="0"/>
    <pivotField numFmtId="164" showAll="0"/>
    <pivotField showAll="0"/>
    <pivotField numFmtId="164" showAll="0">
      <items count="199">
        <item x="189"/>
        <item x="197"/>
        <item x="57"/>
        <item x="159"/>
        <item x="155"/>
        <item x="119"/>
        <item x="17"/>
        <item x="64"/>
        <item x="110"/>
        <item x="121"/>
        <item x="23"/>
        <item x="99"/>
        <item x="82"/>
        <item x="39"/>
        <item x="93"/>
        <item x="13"/>
        <item x="113"/>
        <item x="188"/>
        <item x="24"/>
        <item x="114"/>
        <item x="1"/>
        <item x="192"/>
        <item x="86"/>
        <item x="122"/>
        <item x="118"/>
        <item x="152"/>
        <item x="180"/>
        <item x="169"/>
        <item x="67"/>
        <item x="78"/>
        <item x="129"/>
        <item x="140"/>
        <item x="127"/>
        <item x="80"/>
        <item x="170"/>
        <item x="73"/>
        <item x="156"/>
        <item x="30"/>
        <item x="148"/>
        <item x="158"/>
        <item x="22"/>
        <item x="70"/>
        <item x="38"/>
        <item x="50"/>
        <item x="84"/>
        <item x="6"/>
        <item x="123"/>
        <item x="75"/>
        <item x="109"/>
        <item x="130"/>
        <item x="60"/>
        <item x="51"/>
        <item x="98"/>
        <item x="179"/>
        <item x="100"/>
        <item x="11"/>
        <item x="94"/>
        <item x="117"/>
        <item x="65"/>
        <item x="150"/>
        <item x="35"/>
        <item x="141"/>
        <item x="5"/>
        <item x="54"/>
        <item x="106"/>
        <item x="137"/>
        <item x="187"/>
        <item x="81"/>
        <item x="96"/>
        <item x="74"/>
        <item x="146"/>
        <item x="42"/>
        <item x="126"/>
        <item x="120"/>
        <item x="33"/>
        <item x="20"/>
        <item x="52"/>
        <item x="47"/>
        <item x="154"/>
        <item x="167"/>
        <item x="69"/>
        <item x="40"/>
        <item x="163"/>
        <item x="53"/>
        <item x="178"/>
        <item x="115"/>
        <item x="56"/>
        <item x="2"/>
        <item x="165"/>
        <item x="44"/>
        <item x="21"/>
        <item x="95"/>
        <item x="28"/>
        <item x="92"/>
        <item x="19"/>
        <item x="151"/>
        <item x="149"/>
        <item x="91"/>
        <item x="27"/>
        <item x="125"/>
        <item x="61"/>
        <item x="131"/>
        <item x="72"/>
        <item x="135"/>
        <item x="89"/>
        <item x="66"/>
        <item x="12"/>
        <item x="85"/>
        <item x="88"/>
        <item x="112"/>
        <item x="128"/>
        <item x="111"/>
        <item x="193"/>
        <item x="184"/>
        <item x="83"/>
        <item x="136"/>
        <item x="143"/>
        <item x="26"/>
        <item x="41"/>
        <item x="71"/>
        <item x="185"/>
        <item x="49"/>
        <item x="15"/>
        <item x="102"/>
        <item x="16"/>
        <item x="58"/>
        <item x="161"/>
        <item x="63"/>
        <item x="153"/>
        <item x="107"/>
        <item x="97"/>
        <item x="186"/>
        <item x="59"/>
        <item x="77"/>
        <item x="68"/>
        <item x="43"/>
        <item x="45"/>
        <item x="8"/>
        <item x="0"/>
        <item x="3"/>
        <item x="160"/>
        <item x="90"/>
        <item x="176"/>
        <item x="147"/>
        <item x="37"/>
        <item x="139"/>
        <item x="101"/>
        <item x="171"/>
        <item x="134"/>
        <item x="29"/>
        <item x="31"/>
        <item x="145"/>
        <item x="183"/>
        <item x="172"/>
        <item x="116"/>
        <item x="79"/>
        <item x="36"/>
        <item x="62"/>
        <item x="25"/>
        <item x="87"/>
        <item x="157"/>
        <item x="105"/>
        <item x="18"/>
        <item x="4"/>
        <item x="182"/>
        <item x="46"/>
        <item x="133"/>
        <item x="48"/>
        <item x="76"/>
        <item x="132"/>
        <item x="173"/>
        <item x="190"/>
        <item x="10"/>
        <item x="124"/>
        <item x="9"/>
        <item x="55"/>
        <item x="32"/>
        <item x="104"/>
        <item x="162"/>
        <item x="7"/>
        <item x="168"/>
        <item x="138"/>
        <item x="14"/>
        <item x="108"/>
        <item x="103"/>
        <item x="166"/>
        <item x="144"/>
        <item x="175"/>
        <item x="181"/>
        <item x="34"/>
        <item x="142"/>
        <item x="177"/>
        <item x="164"/>
        <item x="174"/>
        <item x="191"/>
        <item x="194"/>
        <item x="196"/>
        <item x="19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ount of chronic_condition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3D621-6C11-4FD2-935F-42393CC91E32}" name="PivotTable10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24:E127" firstHeaderRow="1" firstDataRow="1" firstDataCol="1" rowPageCount="1" colPageCount="1"/>
  <pivotFields count="22"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numFmtId="164" showAll="0"/>
    <pivotField showAll="0"/>
    <pivotField numFmtId="164" showAll="0">
      <items count="199">
        <item x="189"/>
        <item x="197"/>
        <item x="57"/>
        <item x="159"/>
        <item x="155"/>
        <item x="119"/>
        <item x="17"/>
        <item x="64"/>
        <item x="110"/>
        <item x="121"/>
        <item x="23"/>
        <item x="99"/>
        <item x="82"/>
        <item x="39"/>
        <item x="93"/>
        <item x="13"/>
        <item x="113"/>
        <item x="188"/>
        <item x="24"/>
        <item x="114"/>
        <item x="1"/>
        <item x="192"/>
        <item x="86"/>
        <item x="122"/>
        <item x="118"/>
        <item x="152"/>
        <item x="180"/>
        <item x="169"/>
        <item x="67"/>
        <item x="78"/>
        <item x="129"/>
        <item x="140"/>
        <item x="127"/>
        <item x="80"/>
        <item x="170"/>
        <item x="73"/>
        <item x="156"/>
        <item x="30"/>
        <item x="148"/>
        <item x="158"/>
        <item x="22"/>
        <item x="70"/>
        <item x="38"/>
        <item x="50"/>
        <item x="84"/>
        <item x="6"/>
        <item x="123"/>
        <item x="75"/>
        <item x="109"/>
        <item x="130"/>
        <item x="60"/>
        <item x="51"/>
        <item x="98"/>
        <item x="179"/>
        <item x="100"/>
        <item x="11"/>
        <item x="94"/>
        <item x="117"/>
        <item x="65"/>
        <item x="150"/>
        <item x="35"/>
        <item x="141"/>
        <item x="5"/>
        <item x="54"/>
        <item x="106"/>
        <item x="137"/>
        <item x="187"/>
        <item x="81"/>
        <item x="96"/>
        <item x="74"/>
        <item x="146"/>
        <item x="42"/>
        <item x="126"/>
        <item x="120"/>
        <item x="33"/>
        <item x="20"/>
        <item x="52"/>
        <item x="47"/>
        <item x="154"/>
        <item x="167"/>
        <item x="69"/>
        <item x="40"/>
        <item x="163"/>
        <item x="53"/>
        <item x="178"/>
        <item x="115"/>
        <item x="56"/>
        <item x="2"/>
        <item x="165"/>
        <item x="44"/>
        <item x="21"/>
        <item x="95"/>
        <item x="28"/>
        <item x="92"/>
        <item x="19"/>
        <item x="151"/>
        <item x="149"/>
        <item x="91"/>
        <item x="27"/>
        <item x="125"/>
        <item x="61"/>
        <item x="131"/>
        <item x="72"/>
        <item x="135"/>
        <item x="89"/>
        <item x="66"/>
        <item x="12"/>
        <item x="85"/>
        <item x="88"/>
        <item x="112"/>
        <item x="128"/>
        <item x="111"/>
        <item x="193"/>
        <item x="184"/>
        <item x="83"/>
        <item x="136"/>
        <item x="143"/>
        <item x="26"/>
        <item x="41"/>
        <item x="71"/>
        <item x="185"/>
        <item x="49"/>
        <item x="15"/>
        <item x="102"/>
        <item x="16"/>
        <item x="58"/>
        <item x="161"/>
        <item x="63"/>
        <item x="153"/>
        <item x="107"/>
        <item x="97"/>
        <item x="186"/>
        <item x="59"/>
        <item x="77"/>
        <item x="68"/>
        <item x="43"/>
        <item x="45"/>
        <item x="8"/>
        <item x="0"/>
        <item x="3"/>
        <item x="160"/>
        <item x="90"/>
        <item x="176"/>
        <item x="147"/>
        <item x="37"/>
        <item x="139"/>
        <item x="101"/>
        <item x="171"/>
        <item x="134"/>
        <item x="29"/>
        <item x="31"/>
        <item x="145"/>
        <item x="183"/>
        <item x="172"/>
        <item x="116"/>
        <item x="79"/>
        <item x="36"/>
        <item x="62"/>
        <item x="25"/>
        <item x="87"/>
        <item x="157"/>
        <item x="105"/>
        <item x="18"/>
        <item x="4"/>
        <item x="182"/>
        <item x="46"/>
        <item x="133"/>
        <item x="48"/>
        <item x="76"/>
        <item x="132"/>
        <item x="173"/>
        <item x="190"/>
        <item x="10"/>
        <item x="124"/>
        <item x="9"/>
        <item x="55"/>
        <item x="32"/>
        <item x="104"/>
        <item x="162"/>
        <item x="7"/>
        <item x="168"/>
        <item x="138"/>
        <item x="14"/>
        <item x="108"/>
        <item x="103"/>
        <item x="166"/>
        <item x="144"/>
        <item x="175"/>
        <item x="181"/>
        <item x="34"/>
        <item x="142"/>
        <item x="177"/>
        <item x="164"/>
        <item x="174"/>
        <item x="191"/>
        <item x="194"/>
        <item x="196"/>
        <item x="19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17" hier="-1"/>
  </pageFields>
  <dataFields count="1">
    <dataField name="Total patient count" fld="1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F9214-FB4F-4B37-ACA9-84D5CCB7D6CA}" name="PivotTable9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4:B127" firstHeaderRow="1" firstDataRow="1" firstDataCol="1" rowPageCount="1" colPageCount="1"/>
  <pivotFields count="22"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numFmtId="164" showAll="0"/>
    <pivotField showAll="0"/>
    <pivotField numFmtId="164" showAll="0">
      <items count="199">
        <item x="189"/>
        <item x="197"/>
        <item x="57"/>
        <item x="159"/>
        <item x="155"/>
        <item x="119"/>
        <item x="17"/>
        <item x="64"/>
        <item x="110"/>
        <item x="121"/>
        <item x="23"/>
        <item x="99"/>
        <item x="82"/>
        <item x="39"/>
        <item x="93"/>
        <item x="13"/>
        <item x="113"/>
        <item x="188"/>
        <item x="24"/>
        <item x="114"/>
        <item x="1"/>
        <item x="192"/>
        <item x="86"/>
        <item x="122"/>
        <item x="118"/>
        <item x="152"/>
        <item x="180"/>
        <item x="169"/>
        <item x="67"/>
        <item x="78"/>
        <item x="129"/>
        <item x="140"/>
        <item x="127"/>
        <item x="80"/>
        <item x="170"/>
        <item x="73"/>
        <item x="156"/>
        <item x="30"/>
        <item x="148"/>
        <item x="158"/>
        <item x="22"/>
        <item x="70"/>
        <item x="38"/>
        <item x="50"/>
        <item x="84"/>
        <item x="6"/>
        <item x="123"/>
        <item x="75"/>
        <item x="109"/>
        <item x="130"/>
        <item x="60"/>
        <item x="51"/>
        <item x="98"/>
        <item x="179"/>
        <item x="100"/>
        <item x="11"/>
        <item x="94"/>
        <item x="117"/>
        <item x="65"/>
        <item x="150"/>
        <item x="35"/>
        <item x="141"/>
        <item x="5"/>
        <item x="54"/>
        <item x="106"/>
        <item x="137"/>
        <item x="187"/>
        <item x="81"/>
        <item x="96"/>
        <item x="74"/>
        <item x="146"/>
        <item x="42"/>
        <item x="126"/>
        <item x="120"/>
        <item x="33"/>
        <item x="20"/>
        <item x="52"/>
        <item x="47"/>
        <item x="154"/>
        <item x="167"/>
        <item x="69"/>
        <item x="40"/>
        <item x="163"/>
        <item x="53"/>
        <item x="178"/>
        <item x="115"/>
        <item x="56"/>
        <item x="2"/>
        <item x="165"/>
        <item x="44"/>
        <item x="21"/>
        <item x="95"/>
        <item x="28"/>
        <item x="92"/>
        <item x="19"/>
        <item x="151"/>
        <item x="149"/>
        <item x="91"/>
        <item x="27"/>
        <item x="125"/>
        <item x="61"/>
        <item x="131"/>
        <item x="72"/>
        <item x="135"/>
        <item x="89"/>
        <item x="66"/>
        <item x="12"/>
        <item x="85"/>
        <item x="88"/>
        <item x="112"/>
        <item x="128"/>
        <item x="111"/>
        <item x="193"/>
        <item x="184"/>
        <item x="83"/>
        <item x="136"/>
        <item x="143"/>
        <item x="26"/>
        <item x="41"/>
        <item x="71"/>
        <item x="185"/>
        <item x="49"/>
        <item x="15"/>
        <item x="102"/>
        <item x="16"/>
        <item x="58"/>
        <item x="161"/>
        <item x="63"/>
        <item x="153"/>
        <item x="107"/>
        <item x="97"/>
        <item x="186"/>
        <item x="59"/>
        <item x="77"/>
        <item x="68"/>
        <item x="43"/>
        <item x="45"/>
        <item x="8"/>
        <item x="0"/>
        <item x="3"/>
        <item x="160"/>
        <item x="90"/>
        <item x="176"/>
        <item x="147"/>
        <item x="37"/>
        <item x="139"/>
        <item x="101"/>
        <item x="171"/>
        <item x="134"/>
        <item x="29"/>
        <item x="31"/>
        <item x="145"/>
        <item x="183"/>
        <item x="172"/>
        <item x="116"/>
        <item x="79"/>
        <item x="36"/>
        <item x="62"/>
        <item x="25"/>
        <item x="87"/>
        <item x="157"/>
        <item x="105"/>
        <item x="18"/>
        <item x="4"/>
        <item x="182"/>
        <item x="46"/>
        <item x="133"/>
        <item x="48"/>
        <item x="76"/>
        <item x="132"/>
        <item x="173"/>
        <item x="190"/>
        <item x="10"/>
        <item x="124"/>
        <item x="9"/>
        <item x="55"/>
        <item x="32"/>
        <item x="104"/>
        <item x="162"/>
        <item x="7"/>
        <item x="168"/>
        <item x="138"/>
        <item x="14"/>
        <item x="108"/>
        <item x="103"/>
        <item x="166"/>
        <item x="144"/>
        <item x="175"/>
        <item x="181"/>
        <item x="34"/>
        <item x="142"/>
        <item x="177"/>
        <item x="164"/>
        <item x="174"/>
        <item x="191"/>
        <item x="194"/>
        <item x="196"/>
        <item x="19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17" hier="-1"/>
  </pageFields>
  <dataFields count="1">
    <dataField name="Total patient count" fld="1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0DDB0-41A8-4BE5-99DC-382AF7693D46}" name="PivotTable8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88:E96" firstHeaderRow="1" firstDataRow="1" firstDataCol="1" rowPageCount="1" colPageCount="1"/>
  <pivotFields count="22">
    <pivotField showAll="0"/>
    <pivotField dataField="1" showAll="0"/>
    <pivotField showAll="0"/>
    <pivotField showAll="0"/>
    <pivotField numFmtId="164" showAll="0"/>
    <pivotField showAll="0"/>
    <pivotField numFmtId="164" showAll="0">
      <items count="199">
        <item x="189"/>
        <item x="197"/>
        <item x="57"/>
        <item x="159"/>
        <item x="155"/>
        <item x="119"/>
        <item x="17"/>
        <item x="64"/>
        <item x="110"/>
        <item x="121"/>
        <item x="23"/>
        <item x="99"/>
        <item x="82"/>
        <item x="39"/>
        <item x="93"/>
        <item x="13"/>
        <item x="113"/>
        <item x="188"/>
        <item x="24"/>
        <item x="114"/>
        <item x="1"/>
        <item x="192"/>
        <item x="86"/>
        <item x="122"/>
        <item x="118"/>
        <item x="152"/>
        <item x="180"/>
        <item x="169"/>
        <item x="67"/>
        <item x="78"/>
        <item x="129"/>
        <item x="140"/>
        <item x="127"/>
        <item x="80"/>
        <item x="170"/>
        <item x="73"/>
        <item x="156"/>
        <item x="30"/>
        <item x="148"/>
        <item x="158"/>
        <item x="22"/>
        <item x="70"/>
        <item x="38"/>
        <item x="50"/>
        <item x="84"/>
        <item x="6"/>
        <item x="123"/>
        <item x="75"/>
        <item x="109"/>
        <item x="130"/>
        <item x="60"/>
        <item x="51"/>
        <item x="98"/>
        <item x="179"/>
        <item x="100"/>
        <item x="11"/>
        <item x="94"/>
        <item x="117"/>
        <item x="65"/>
        <item x="150"/>
        <item x="35"/>
        <item x="141"/>
        <item x="5"/>
        <item x="54"/>
        <item x="106"/>
        <item x="137"/>
        <item x="187"/>
        <item x="81"/>
        <item x="96"/>
        <item x="74"/>
        <item x="146"/>
        <item x="42"/>
        <item x="126"/>
        <item x="120"/>
        <item x="33"/>
        <item x="20"/>
        <item x="52"/>
        <item x="47"/>
        <item x="154"/>
        <item x="167"/>
        <item x="69"/>
        <item x="40"/>
        <item x="163"/>
        <item x="53"/>
        <item x="178"/>
        <item x="115"/>
        <item x="56"/>
        <item x="2"/>
        <item x="165"/>
        <item x="44"/>
        <item x="21"/>
        <item x="95"/>
        <item x="28"/>
        <item x="92"/>
        <item x="19"/>
        <item x="151"/>
        <item x="149"/>
        <item x="91"/>
        <item x="27"/>
        <item x="125"/>
        <item x="61"/>
        <item x="131"/>
        <item x="72"/>
        <item x="135"/>
        <item x="89"/>
        <item x="66"/>
        <item x="12"/>
        <item x="85"/>
        <item x="88"/>
        <item x="112"/>
        <item x="128"/>
        <item x="111"/>
        <item x="193"/>
        <item x="184"/>
        <item x="83"/>
        <item x="136"/>
        <item x="143"/>
        <item x="26"/>
        <item x="41"/>
        <item x="71"/>
        <item x="185"/>
        <item x="49"/>
        <item x="15"/>
        <item x="102"/>
        <item x="16"/>
        <item x="58"/>
        <item x="161"/>
        <item x="63"/>
        <item x="153"/>
        <item x="107"/>
        <item x="97"/>
        <item x="186"/>
        <item x="59"/>
        <item x="77"/>
        <item x="68"/>
        <item x="43"/>
        <item x="45"/>
        <item x="8"/>
        <item x="0"/>
        <item x="3"/>
        <item x="160"/>
        <item x="90"/>
        <item x="176"/>
        <item x="147"/>
        <item x="37"/>
        <item x="139"/>
        <item x="101"/>
        <item x="171"/>
        <item x="134"/>
        <item x="29"/>
        <item x="31"/>
        <item x="145"/>
        <item x="183"/>
        <item x="172"/>
        <item x="116"/>
        <item x="79"/>
        <item x="36"/>
        <item x="62"/>
        <item x="25"/>
        <item x="87"/>
        <item x="157"/>
        <item x="105"/>
        <item x="18"/>
        <item x="4"/>
        <item x="182"/>
        <item x="46"/>
        <item x="133"/>
        <item x="48"/>
        <item x="76"/>
        <item x="132"/>
        <item x="173"/>
        <item x="190"/>
        <item x="10"/>
        <item x="124"/>
        <item x="9"/>
        <item x="55"/>
        <item x="32"/>
        <item x="104"/>
        <item x="162"/>
        <item x="7"/>
        <item x="168"/>
        <item x="138"/>
        <item x="14"/>
        <item x="108"/>
        <item x="103"/>
        <item x="166"/>
        <item x="144"/>
        <item x="175"/>
        <item x="181"/>
        <item x="34"/>
        <item x="142"/>
        <item x="177"/>
        <item x="164"/>
        <item x="174"/>
        <item x="191"/>
        <item x="194"/>
        <item x="196"/>
        <item x="195"/>
        <item t="default"/>
      </items>
    </pivotField>
    <pivotField axis="axisRow" showAll="0">
      <items count="8">
        <item x="5"/>
        <item x="3"/>
        <item x="2"/>
        <item x="4"/>
        <item x="0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7" hier="-1"/>
  </pageFields>
  <dataFields count="1">
    <dataField name="Count of Patient_ID" fld="1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5D477-167B-4EE6-8389-7E7089909B55}" name="PivotTable7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8:B96" firstHeaderRow="1" firstDataRow="1" firstDataCol="1"/>
  <pivotFields count="22">
    <pivotField showAll="0"/>
    <pivotField dataField="1" showAll="0"/>
    <pivotField showAll="0"/>
    <pivotField showAll="0"/>
    <pivotField numFmtId="164" showAll="0"/>
    <pivotField showAll="0"/>
    <pivotField numFmtId="164" showAll="0">
      <items count="199">
        <item x="189"/>
        <item x="197"/>
        <item x="57"/>
        <item x="159"/>
        <item x="155"/>
        <item x="119"/>
        <item x="17"/>
        <item x="64"/>
        <item x="110"/>
        <item x="121"/>
        <item x="23"/>
        <item x="99"/>
        <item x="82"/>
        <item x="39"/>
        <item x="93"/>
        <item x="13"/>
        <item x="113"/>
        <item x="188"/>
        <item x="24"/>
        <item x="114"/>
        <item x="1"/>
        <item x="192"/>
        <item x="86"/>
        <item x="122"/>
        <item x="118"/>
        <item x="152"/>
        <item x="180"/>
        <item x="169"/>
        <item x="67"/>
        <item x="78"/>
        <item x="129"/>
        <item x="140"/>
        <item x="127"/>
        <item x="80"/>
        <item x="170"/>
        <item x="73"/>
        <item x="156"/>
        <item x="30"/>
        <item x="148"/>
        <item x="158"/>
        <item x="22"/>
        <item x="70"/>
        <item x="38"/>
        <item x="50"/>
        <item x="84"/>
        <item x="6"/>
        <item x="123"/>
        <item x="75"/>
        <item x="109"/>
        <item x="130"/>
        <item x="60"/>
        <item x="51"/>
        <item x="98"/>
        <item x="179"/>
        <item x="100"/>
        <item x="11"/>
        <item x="94"/>
        <item x="117"/>
        <item x="65"/>
        <item x="150"/>
        <item x="35"/>
        <item x="141"/>
        <item x="5"/>
        <item x="54"/>
        <item x="106"/>
        <item x="137"/>
        <item x="187"/>
        <item x="81"/>
        <item x="96"/>
        <item x="74"/>
        <item x="146"/>
        <item x="42"/>
        <item x="126"/>
        <item x="120"/>
        <item x="33"/>
        <item x="20"/>
        <item x="52"/>
        <item x="47"/>
        <item x="154"/>
        <item x="167"/>
        <item x="69"/>
        <item x="40"/>
        <item x="163"/>
        <item x="53"/>
        <item x="178"/>
        <item x="115"/>
        <item x="56"/>
        <item x="2"/>
        <item x="165"/>
        <item x="44"/>
        <item x="21"/>
        <item x="95"/>
        <item x="28"/>
        <item x="92"/>
        <item x="19"/>
        <item x="151"/>
        <item x="149"/>
        <item x="91"/>
        <item x="27"/>
        <item x="125"/>
        <item x="61"/>
        <item x="131"/>
        <item x="72"/>
        <item x="135"/>
        <item x="89"/>
        <item x="66"/>
        <item x="12"/>
        <item x="85"/>
        <item x="88"/>
        <item x="112"/>
        <item x="128"/>
        <item x="111"/>
        <item x="193"/>
        <item x="184"/>
        <item x="83"/>
        <item x="136"/>
        <item x="143"/>
        <item x="26"/>
        <item x="41"/>
        <item x="71"/>
        <item x="185"/>
        <item x="49"/>
        <item x="15"/>
        <item x="102"/>
        <item x="16"/>
        <item x="58"/>
        <item x="161"/>
        <item x="63"/>
        <item x="153"/>
        <item x="107"/>
        <item x="97"/>
        <item x="186"/>
        <item x="59"/>
        <item x="77"/>
        <item x="68"/>
        <item x="43"/>
        <item x="45"/>
        <item x="8"/>
        <item x="0"/>
        <item x="3"/>
        <item x="160"/>
        <item x="90"/>
        <item x="176"/>
        <item x="147"/>
        <item x="37"/>
        <item x="139"/>
        <item x="101"/>
        <item x="171"/>
        <item x="134"/>
        <item x="29"/>
        <item x="31"/>
        <item x="145"/>
        <item x="183"/>
        <item x="172"/>
        <item x="116"/>
        <item x="79"/>
        <item x="36"/>
        <item x="62"/>
        <item x="25"/>
        <item x="87"/>
        <item x="157"/>
        <item x="105"/>
        <item x="18"/>
        <item x="4"/>
        <item x="182"/>
        <item x="46"/>
        <item x="133"/>
        <item x="48"/>
        <item x="76"/>
        <item x="132"/>
        <item x="173"/>
        <item x="190"/>
        <item x="10"/>
        <item x="124"/>
        <item x="9"/>
        <item x="55"/>
        <item x="32"/>
        <item x="104"/>
        <item x="162"/>
        <item x="7"/>
        <item x="168"/>
        <item x="138"/>
        <item x="14"/>
        <item x="108"/>
        <item x="103"/>
        <item x="166"/>
        <item x="144"/>
        <item x="175"/>
        <item x="181"/>
        <item x="34"/>
        <item x="142"/>
        <item x="177"/>
        <item x="164"/>
        <item x="174"/>
        <item x="191"/>
        <item x="194"/>
        <item x="196"/>
        <item x="195"/>
        <item t="default"/>
      </items>
    </pivotField>
    <pivotField axis="axisRow" showAll="0">
      <items count="8">
        <item x="5"/>
        <item x="3"/>
        <item x="2"/>
        <item x="4"/>
        <item x="0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atient_ID" fld="1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AB209-5FB0-4167-B2AA-B3D10225458F}" name="PivotTable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9:F64" firstHeaderRow="1" firstDataRow="1" firstDataCol="1" rowPageCount="1" colPageCount="1"/>
  <pivotFields count="22">
    <pivotField showAll="0"/>
    <pivotField dataField="1" showAll="0"/>
    <pivotField showAll="0"/>
    <pivotField showAll="0"/>
    <pivotField numFmtId="164" showAll="0"/>
    <pivotField showAll="0"/>
    <pivotField numFmtId="164" showAll="0">
      <items count="199">
        <item x="189"/>
        <item x="197"/>
        <item x="57"/>
        <item x="159"/>
        <item x="155"/>
        <item x="119"/>
        <item x="17"/>
        <item x="64"/>
        <item x="110"/>
        <item x="121"/>
        <item x="23"/>
        <item x="99"/>
        <item x="82"/>
        <item x="39"/>
        <item x="93"/>
        <item x="13"/>
        <item x="113"/>
        <item x="188"/>
        <item x="24"/>
        <item x="114"/>
        <item x="1"/>
        <item x="192"/>
        <item x="86"/>
        <item x="122"/>
        <item x="118"/>
        <item x="152"/>
        <item x="180"/>
        <item x="169"/>
        <item x="67"/>
        <item x="78"/>
        <item x="129"/>
        <item x="140"/>
        <item x="127"/>
        <item x="80"/>
        <item x="170"/>
        <item x="73"/>
        <item x="156"/>
        <item x="30"/>
        <item x="148"/>
        <item x="158"/>
        <item x="22"/>
        <item x="70"/>
        <item x="38"/>
        <item x="50"/>
        <item x="84"/>
        <item x="6"/>
        <item x="123"/>
        <item x="75"/>
        <item x="109"/>
        <item x="130"/>
        <item x="60"/>
        <item x="51"/>
        <item x="98"/>
        <item x="179"/>
        <item x="100"/>
        <item x="11"/>
        <item x="94"/>
        <item x="117"/>
        <item x="65"/>
        <item x="150"/>
        <item x="35"/>
        <item x="141"/>
        <item x="5"/>
        <item x="54"/>
        <item x="106"/>
        <item x="137"/>
        <item x="187"/>
        <item x="81"/>
        <item x="96"/>
        <item x="74"/>
        <item x="146"/>
        <item x="42"/>
        <item x="126"/>
        <item x="120"/>
        <item x="33"/>
        <item x="20"/>
        <item x="52"/>
        <item x="47"/>
        <item x="154"/>
        <item x="167"/>
        <item x="69"/>
        <item x="40"/>
        <item x="163"/>
        <item x="53"/>
        <item x="178"/>
        <item x="115"/>
        <item x="56"/>
        <item x="2"/>
        <item x="165"/>
        <item x="44"/>
        <item x="21"/>
        <item x="95"/>
        <item x="28"/>
        <item x="92"/>
        <item x="19"/>
        <item x="151"/>
        <item x="149"/>
        <item x="91"/>
        <item x="27"/>
        <item x="125"/>
        <item x="61"/>
        <item x="131"/>
        <item x="72"/>
        <item x="135"/>
        <item x="89"/>
        <item x="66"/>
        <item x="12"/>
        <item x="85"/>
        <item x="88"/>
        <item x="112"/>
        <item x="128"/>
        <item x="111"/>
        <item x="193"/>
        <item x="184"/>
        <item x="83"/>
        <item x="136"/>
        <item x="143"/>
        <item x="26"/>
        <item x="41"/>
        <item x="71"/>
        <item x="185"/>
        <item x="49"/>
        <item x="15"/>
        <item x="102"/>
        <item x="16"/>
        <item x="58"/>
        <item x="161"/>
        <item x="63"/>
        <item x="153"/>
        <item x="107"/>
        <item x="97"/>
        <item x="186"/>
        <item x="59"/>
        <item x="77"/>
        <item x="68"/>
        <item x="43"/>
        <item x="45"/>
        <item x="8"/>
        <item x="0"/>
        <item x="3"/>
        <item x="160"/>
        <item x="90"/>
        <item x="176"/>
        <item x="147"/>
        <item x="37"/>
        <item x="139"/>
        <item x="101"/>
        <item x="171"/>
        <item x="134"/>
        <item x="29"/>
        <item x="31"/>
        <item x="145"/>
        <item x="183"/>
        <item x="172"/>
        <item x="116"/>
        <item x="79"/>
        <item x="36"/>
        <item x="62"/>
        <item x="25"/>
        <item x="87"/>
        <item x="157"/>
        <item x="105"/>
        <item x="18"/>
        <item x="4"/>
        <item x="182"/>
        <item x="46"/>
        <item x="133"/>
        <item x="48"/>
        <item x="76"/>
        <item x="132"/>
        <item x="173"/>
        <item x="190"/>
        <item x="10"/>
        <item x="124"/>
        <item x="9"/>
        <item x="55"/>
        <item x="32"/>
        <item x="104"/>
        <item x="162"/>
        <item x="7"/>
        <item x="168"/>
        <item x="138"/>
        <item x="14"/>
        <item x="108"/>
        <item x="103"/>
        <item x="166"/>
        <item x="144"/>
        <item x="175"/>
        <item x="181"/>
        <item x="34"/>
        <item x="142"/>
        <item x="177"/>
        <item x="164"/>
        <item x="174"/>
        <item x="191"/>
        <item x="194"/>
        <item x="196"/>
        <item x="19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7" hier="-1"/>
  </pageFields>
  <dataFields count="1">
    <dataField name="Total patient count" fld="1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DD214-290F-49B4-8DA9-852A479BB37D}" name="PivotTable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9:B64" firstHeaderRow="1" firstDataRow="1" firstDataCol="1" rowPageCount="1" colPageCount="1"/>
  <pivotFields count="22">
    <pivotField showAll="0"/>
    <pivotField dataField="1" showAll="0"/>
    <pivotField showAll="0"/>
    <pivotField showAll="0"/>
    <pivotField numFmtId="164" showAll="0"/>
    <pivotField showAll="0"/>
    <pivotField numFmtId="164" showAll="0">
      <items count="199">
        <item x="189"/>
        <item x="197"/>
        <item x="57"/>
        <item x="159"/>
        <item x="155"/>
        <item x="119"/>
        <item x="17"/>
        <item x="64"/>
        <item x="110"/>
        <item x="121"/>
        <item x="23"/>
        <item x="99"/>
        <item x="82"/>
        <item x="39"/>
        <item x="93"/>
        <item x="13"/>
        <item x="113"/>
        <item x="188"/>
        <item x="24"/>
        <item x="114"/>
        <item x="1"/>
        <item x="192"/>
        <item x="86"/>
        <item x="122"/>
        <item x="118"/>
        <item x="152"/>
        <item x="180"/>
        <item x="169"/>
        <item x="67"/>
        <item x="78"/>
        <item x="129"/>
        <item x="140"/>
        <item x="127"/>
        <item x="80"/>
        <item x="170"/>
        <item x="73"/>
        <item x="156"/>
        <item x="30"/>
        <item x="148"/>
        <item x="158"/>
        <item x="22"/>
        <item x="70"/>
        <item x="38"/>
        <item x="50"/>
        <item x="84"/>
        <item x="6"/>
        <item x="123"/>
        <item x="75"/>
        <item x="109"/>
        <item x="130"/>
        <item x="60"/>
        <item x="51"/>
        <item x="98"/>
        <item x="179"/>
        <item x="100"/>
        <item x="11"/>
        <item x="94"/>
        <item x="117"/>
        <item x="65"/>
        <item x="150"/>
        <item x="35"/>
        <item x="141"/>
        <item x="5"/>
        <item x="54"/>
        <item x="106"/>
        <item x="137"/>
        <item x="187"/>
        <item x="81"/>
        <item x="96"/>
        <item x="74"/>
        <item x="146"/>
        <item x="42"/>
        <item x="126"/>
        <item x="120"/>
        <item x="33"/>
        <item x="20"/>
        <item x="52"/>
        <item x="47"/>
        <item x="154"/>
        <item x="167"/>
        <item x="69"/>
        <item x="40"/>
        <item x="163"/>
        <item x="53"/>
        <item x="178"/>
        <item x="115"/>
        <item x="56"/>
        <item x="2"/>
        <item x="165"/>
        <item x="44"/>
        <item x="21"/>
        <item x="95"/>
        <item x="28"/>
        <item x="92"/>
        <item x="19"/>
        <item x="151"/>
        <item x="149"/>
        <item x="91"/>
        <item x="27"/>
        <item x="125"/>
        <item x="61"/>
        <item x="131"/>
        <item x="72"/>
        <item x="135"/>
        <item x="89"/>
        <item x="66"/>
        <item x="12"/>
        <item x="85"/>
        <item x="88"/>
        <item x="112"/>
        <item x="128"/>
        <item x="111"/>
        <item x="193"/>
        <item x="184"/>
        <item x="83"/>
        <item x="136"/>
        <item x="143"/>
        <item x="26"/>
        <item x="41"/>
        <item x="71"/>
        <item x="185"/>
        <item x="49"/>
        <item x="15"/>
        <item x="102"/>
        <item x="16"/>
        <item x="58"/>
        <item x="161"/>
        <item x="63"/>
        <item x="153"/>
        <item x="107"/>
        <item x="97"/>
        <item x="186"/>
        <item x="59"/>
        <item x="77"/>
        <item x="68"/>
        <item x="43"/>
        <item x="45"/>
        <item x="8"/>
        <item x="0"/>
        <item x="3"/>
        <item x="160"/>
        <item x="90"/>
        <item x="176"/>
        <item x="147"/>
        <item x="37"/>
        <item x="139"/>
        <item x="101"/>
        <item x="171"/>
        <item x="134"/>
        <item x="29"/>
        <item x="31"/>
        <item x="145"/>
        <item x="183"/>
        <item x="172"/>
        <item x="116"/>
        <item x="79"/>
        <item x="36"/>
        <item x="62"/>
        <item x="25"/>
        <item x="87"/>
        <item x="157"/>
        <item x="105"/>
        <item x="18"/>
        <item x="4"/>
        <item x="182"/>
        <item x="46"/>
        <item x="133"/>
        <item x="48"/>
        <item x="76"/>
        <item x="132"/>
        <item x="173"/>
        <item x="190"/>
        <item x="10"/>
        <item x="124"/>
        <item x="9"/>
        <item x="55"/>
        <item x="32"/>
        <item x="104"/>
        <item x="162"/>
        <item x="7"/>
        <item x="168"/>
        <item x="138"/>
        <item x="14"/>
        <item x="108"/>
        <item x="103"/>
        <item x="166"/>
        <item x="144"/>
        <item x="175"/>
        <item x="181"/>
        <item x="34"/>
        <item x="142"/>
        <item x="177"/>
        <item x="164"/>
        <item x="174"/>
        <item x="191"/>
        <item x="194"/>
        <item x="196"/>
        <item x="19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7" hier="-1"/>
  </pageFields>
  <dataFields count="1">
    <dataField name="Total patient count" fld="1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762BB-C47B-462D-AB59-7EB7CE0718A4}" name="PivotTable4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B33" firstHeaderRow="1" firstDataRow="1" firstDataCol="1" rowPageCount="1" colPageCount="1"/>
  <pivotFields count="22">
    <pivotField showAll="0"/>
    <pivotField dataField="1" showAll="0"/>
    <pivotField showAll="0"/>
    <pivotField axis="axisRow" showAll="0">
      <items count="9">
        <item x="0"/>
        <item x="6"/>
        <item x="1"/>
        <item x="4"/>
        <item x="7"/>
        <item x="5"/>
        <item x="2"/>
        <item x="3"/>
        <item t="default"/>
      </items>
    </pivotField>
    <pivotField numFmtId="164" showAll="0"/>
    <pivotField showAll="0"/>
    <pivotField numFmtId="164" showAll="0">
      <items count="199">
        <item x="189"/>
        <item x="197"/>
        <item x="57"/>
        <item x="159"/>
        <item x="155"/>
        <item x="119"/>
        <item x="17"/>
        <item x="64"/>
        <item x="110"/>
        <item x="121"/>
        <item x="23"/>
        <item x="99"/>
        <item x="82"/>
        <item x="39"/>
        <item x="93"/>
        <item x="13"/>
        <item x="113"/>
        <item x="188"/>
        <item x="24"/>
        <item x="114"/>
        <item x="1"/>
        <item x="192"/>
        <item x="86"/>
        <item x="122"/>
        <item x="118"/>
        <item x="152"/>
        <item x="180"/>
        <item x="169"/>
        <item x="67"/>
        <item x="78"/>
        <item x="129"/>
        <item x="140"/>
        <item x="127"/>
        <item x="80"/>
        <item x="170"/>
        <item x="73"/>
        <item x="156"/>
        <item x="30"/>
        <item x="148"/>
        <item x="158"/>
        <item x="22"/>
        <item x="70"/>
        <item x="38"/>
        <item x="50"/>
        <item x="84"/>
        <item x="6"/>
        <item x="123"/>
        <item x="75"/>
        <item x="109"/>
        <item x="130"/>
        <item x="60"/>
        <item x="51"/>
        <item x="98"/>
        <item x="179"/>
        <item x="100"/>
        <item x="11"/>
        <item x="94"/>
        <item x="117"/>
        <item x="65"/>
        <item x="150"/>
        <item x="35"/>
        <item x="141"/>
        <item x="5"/>
        <item x="54"/>
        <item x="106"/>
        <item x="137"/>
        <item x="187"/>
        <item x="81"/>
        <item x="96"/>
        <item x="74"/>
        <item x="146"/>
        <item x="42"/>
        <item x="126"/>
        <item x="120"/>
        <item x="33"/>
        <item x="20"/>
        <item x="52"/>
        <item x="47"/>
        <item x="154"/>
        <item x="167"/>
        <item x="69"/>
        <item x="40"/>
        <item x="163"/>
        <item x="53"/>
        <item x="178"/>
        <item x="115"/>
        <item x="56"/>
        <item x="2"/>
        <item x="165"/>
        <item x="44"/>
        <item x="21"/>
        <item x="95"/>
        <item x="28"/>
        <item x="92"/>
        <item x="19"/>
        <item x="151"/>
        <item x="149"/>
        <item x="91"/>
        <item x="27"/>
        <item x="125"/>
        <item x="61"/>
        <item x="131"/>
        <item x="72"/>
        <item x="135"/>
        <item x="89"/>
        <item x="66"/>
        <item x="12"/>
        <item x="85"/>
        <item x="88"/>
        <item x="112"/>
        <item x="128"/>
        <item x="111"/>
        <item x="193"/>
        <item x="184"/>
        <item x="83"/>
        <item x="136"/>
        <item x="143"/>
        <item x="26"/>
        <item x="41"/>
        <item x="71"/>
        <item x="185"/>
        <item x="49"/>
        <item x="15"/>
        <item x="102"/>
        <item x="16"/>
        <item x="58"/>
        <item x="161"/>
        <item x="63"/>
        <item x="153"/>
        <item x="107"/>
        <item x="97"/>
        <item x="186"/>
        <item x="59"/>
        <item x="77"/>
        <item x="68"/>
        <item x="43"/>
        <item x="45"/>
        <item x="8"/>
        <item x="0"/>
        <item x="3"/>
        <item x="160"/>
        <item x="90"/>
        <item x="176"/>
        <item x="147"/>
        <item x="37"/>
        <item x="139"/>
        <item x="101"/>
        <item x="171"/>
        <item x="134"/>
        <item x="29"/>
        <item x="31"/>
        <item x="145"/>
        <item x="183"/>
        <item x="172"/>
        <item x="116"/>
        <item x="79"/>
        <item x="36"/>
        <item x="62"/>
        <item x="25"/>
        <item x="87"/>
        <item x="157"/>
        <item x="105"/>
        <item x="18"/>
        <item x="4"/>
        <item x="182"/>
        <item x="46"/>
        <item x="133"/>
        <item x="48"/>
        <item x="76"/>
        <item x="132"/>
        <item x="173"/>
        <item x="190"/>
        <item x="10"/>
        <item x="124"/>
        <item x="9"/>
        <item x="55"/>
        <item x="32"/>
        <item x="104"/>
        <item x="162"/>
        <item x="7"/>
        <item x="168"/>
        <item x="138"/>
        <item x="14"/>
        <item x="108"/>
        <item x="103"/>
        <item x="166"/>
        <item x="144"/>
        <item x="175"/>
        <item x="181"/>
        <item x="34"/>
        <item x="142"/>
        <item x="177"/>
        <item x="164"/>
        <item x="174"/>
        <item x="191"/>
        <item x="194"/>
        <item x="196"/>
        <item x="19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7" hier="-1"/>
  </pageFields>
  <dataFields count="1">
    <dataField name="Total patient count" fld="1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C452D-4024-4C69-8817-A8ADC1944882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4:F33" firstHeaderRow="1" firstDataRow="1" firstDataCol="1" rowPageCount="1" colPageCount="1"/>
  <pivotFields count="22">
    <pivotField showAll="0"/>
    <pivotField dataField="1" showAll="0"/>
    <pivotField showAll="0"/>
    <pivotField axis="axisRow" showAll="0">
      <items count="9">
        <item x="0"/>
        <item x="6"/>
        <item x="1"/>
        <item x="4"/>
        <item x="7"/>
        <item x="5"/>
        <item x="2"/>
        <item x="3"/>
        <item t="default"/>
      </items>
    </pivotField>
    <pivotField numFmtId="164" showAll="0"/>
    <pivotField showAll="0"/>
    <pivotField numFmtId="164" showAll="0">
      <items count="199">
        <item x="189"/>
        <item x="197"/>
        <item x="57"/>
        <item x="159"/>
        <item x="155"/>
        <item x="119"/>
        <item x="17"/>
        <item x="64"/>
        <item x="110"/>
        <item x="121"/>
        <item x="23"/>
        <item x="99"/>
        <item x="82"/>
        <item x="39"/>
        <item x="93"/>
        <item x="13"/>
        <item x="113"/>
        <item x="188"/>
        <item x="24"/>
        <item x="114"/>
        <item x="1"/>
        <item x="192"/>
        <item x="86"/>
        <item x="122"/>
        <item x="118"/>
        <item x="152"/>
        <item x="180"/>
        <item x="169"/>
        <item x="67"/>
        <item x="78"/>
        <item x="129"/>
        <item x="140"/>
        <item x="127"/>
        <item x="80"/>
        <item x="170"/>
        <item x="73"/>
        <item x="156"/>
        <item x="30"/>
        <item x="148"/>
        <item x="158"/>
        <item x="22"/>
        <item x="70"/>
        <item x="38"/>
        <item x="50"/>
        <item x="84"/>
        <item x="6"/>
        <item x="123"/>
        <item x="75"/>
        <item x="109"/>
        <item x="130"/>
        <item x="60"/>
        <item x="51"/>
        <item x="98"/>
        <item x="179"/>
        <item x="100"/>
        <item x="11"/>
        <item x="94"/>
        <item x="117"/>
        <item x="65"/>
        <item x="150"/>
        <item x="35"/>
        <item x="141"/>
        <item x="5"/>
        <item x="54"/>
        <item x="106"/>
        <item x="137"/>
        <item x="187"/>
        <item x="81"/>
        <item x="96"/>
        <item x="74"/>
        <item x="146"/>
        <item x="42"/>
        <item x="126"/>
        <item x="120"/>
        <item x="33"/>
        <item x="20"/>
        <item x="52"/>
        <item x="47"/>
        <item x="154"/>
        <item x="167"/>
        <item x="69"/>
        <item x="40"/>
        <item x="163"/>
        <item x="53"/>
        <item x="178"/>
        <item x="115"/>
        <item x="56"/>
        <item x="2"/>
        <item x="165"/>
        <item x="44"/>
        <item x="21"/>
        <item x="95"/>
        <item x="28"/>
        <item x="92"/>
        <item x="19"/>
        <item x="151"/>
        <item x="149"/>
        <item x="91"/>
        <item x="27"/>
        <item x="125"/>
        <item x="61"/>
        <item x="131"/>
        <item x="72"/>
        <item x="135"/>
        <item x="89"/>
        <item x="66"/>
        <item x="12"/>
        <item x="85"/>
        <item x="88"/>
        <item x="112"/>
        <item x="128"/>
        <item x="111"/>
        <item x="193"/>
        <item x="184"/>
        <item x="83"/>
        <item x="136"/>
        <item x="143"/>
        <item x="26"/>
        <item x="41"/>
        <item x="71"/>
        <item x="185"/>
        <item x="49"/>
        <item x="15"/>
        <item x="102"/>
        <item x="16"/>
        <item x="58"/>
        <item x="161"/>
        <item x="63"/>
        <item x="153"/>
        <item x="107"/>
        <item x="97"/>
        <item x="186"/>
        <item x="59"/>
        <item x="77"/>
        <item x="68"/>
        <item x="43"/>
        <item x="45"/>
        <item x="8"/>
        <item x="0"/>
        <item x="3"/>
        <item x="160"/>
        <item x="90"/>
        <item x="176"/>
        <item x="147"/>
        <item x="37"/>
        <item x="139"/>
        <item x="101"/>
        <item x="171"/>
        <item x="134"/>
        <item x="29"/>
        <item x="31"/>
        <item x="145"/>
        <item x="183"/>
        <item x="172"/>
        <item x="116"/>
        <item x="79"/>
        <item x="36"/>
        <item x="62"/>
        <item x="25"/>
        <item x="87"/>
        <item x="157"/>
        <item x="105"/>
        <item x="18"/>
        <item x="4"/>
        <item x="182"/>
        <item x="46"/>
        <item x="133"/>
        <item x="48"/>
        <item x="76"/>
        <item x="132"/>
        <item x="173"/>
        <item x="190"/>
        <item x="10"/>
        <item x="124"/>
        <item x="9"/>
        <item x="55"/>
        <item x="32"/>
        <item x="104"/>
        <item x="162"/>
        <item x="7"/>
        <item x="168"/>
        <item x="138"/>
        <item x="14"/>
        <item x="108"/>
        <item x="103"/>
        <item x="166"/>
        <item x="144"/>
        <item x="175"/>
        <item x="181"/>
        <item x="34"/>
        <item x="142"/>
        <item x="177"/>
        <item x="164"/>
        <item x="174"/>
        <item x="191"/>
        <item x="194"/>
        <item x="196"/>
        <item x="19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7" hier="-1"/>
  </pageFields>
  <dataFields count="1">
    <dataField name="Total patient count" fld="1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0E886-C0B5-4C6C-9D6C-2AFD96D0F344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 Show">
  <location ref="A7:C10" firstHeaderRow="0" firstDataRow="1" firstDataCol="1"/>
  <pivotFields count="22">
    <pivotField showAll="0"/>
    <pivotField showAll="0"/>
    <pivotField showAll="0"/>
    <pivotField showAll="0"/>
    <pivotField numFmtId="164" showAll="0"/>
    <pivotField showAll="0"/>
    <pivotField numFmtId="164" showAll="0">
      <items count="199">
        <item x="189"/>
        <item x="197"/>
        <item x="57"/>
        <item x="159"/>
        <item x="155"/>
        <item x="119"/>
        <item x="17"/>
        <item x="64"/>
        <item x="110"/>
        <item x="121"/>
        <item x="23"/>
        <item x="99"/>
        <item x="82"/>
        <item x="39"/>
        <item x="93"/>
        <item x="13"/>
        <item x="113"/>
        <item x="188"/>
        <item x="24"/>
        <item x="114"/>
        <item x="1"/>
        <item x="192"/>
        <item x="86"/>
        <item x="122"/>
        <item x="118"/>
        <item x="152"/>
        <item x="180"/>
        <item x="169"/>
        <item x="67"/>
        <item x="78"/>
        <item x="129"/>
        <item x="140"/>
        <item x="127"/>
        <item x="80"/>
        <item x="170"/>
        <item x="73"/>
        <item x="156"/>
        <item x="30"/>
        <item x="148"/>
        <item x="158"/>
        <item x="22"/>
        <item x="70"/>
        <item x="38"/>
        <item x="50"/>
        <item x="84"/>
        <item x="6"/>
        <item x="123"/>
        <item x="75"/>
        <item x="109"/>
        <item x="130"/>
        <item x="60"/>
        <item x="51"/>
        <item x="98"/>
        <item x="179"/>
        <item x="100"/>
        <item x="11"/>
        <item x="94"/>
        <item x="117"/>
        <item x="65"/>
        <item x="150"/>
        <item x="35"/>
        <item x="141"/>
        <item x="5"/>
        <item x="54"/>
        <item x="106"/>
        <item x="137"/>
        <item x="187"/>
        <item x="81"/>
        <item x="96"/>
        <item x="74"/>
        <item x="146"/>
        <item x="42"/>
        <item x="126"/>
        <item x="120"/>
        <item x="33"/>
        <item x="20"/>
        <item x="52"/>
        <item x="47"/>
        <item x="154"/>
        <item x="167"/>
        <item x="69"/>
        <item x="40"/>
        <item x="163"/>
        <item x="53"/>
        <item x="178"/>
        <item x="115"/>
        <item x="56"/>
        <item x="2"/>
        <item x="165"/>
        <item x="44"/>
        <item x="21"/>
        <item x="95"/>
        <item x="28"/>
        <item x="92"/>
        <item x="19"/>
        <item x="151"/>
        <item x="149"/>
        <item x="91"/>
        <item x="27"/>
        <item x="125"/>
        <item x="61"/>
        <item x="131"/>
        <item x="72"/>
        <item x="135"/>
        <item x="89"/>
        <item x="66"/>
        <item x="12"/>
        <item x="85"/>
        <item x="88"/>
        <item x="112"/>
        <item x="128"/>
        <item x="111"/>
        <item x="193"/>
        <item x="184"/>
        <item x="83"/>
        <item x="136"/>
        <item x="143"/>
        <item x="26"/>
        <item x="41"/>
        <item x="71"/>
        <item x="185"/>
        <item x="49"/>
        <item x="15"/>
        <item x="102"/>
        <item x="16"/>
        <item x="58"/>
        <item x="161"/>
        <item x="63"/>
        <item x="153"/>
        <item x="107"/>
        <item x="97"/>
        <item x="186"/>
        <item x="59"/>
        <item x="77"/>
        <item x="68"/>
        <item x="43"/>
        <item x="45"/>
        <item x="8"/>
        <item x="0"/>
        <item x="3"/>
        <item x="160"/>
        <item x="90"/>
        <item x="176"/>
        <item x="147"/>
        <item x="37"/>
        <item x="139"/>
        <item x="101"/>
        <item x="171"/>
        <item x="134"/>
        <item x="29"/>
        <item x="31"/>
        <item x="145"/>
        <item x="183"/>
        <item x="172"/>
        <item x="116"/>
        <item x="79"/>
        <item x="36"/>
        <item x="62"/>
        <item x="25"/>
        <item x="87"/>
        <item x="157"/>
        <item x="105"/>
        <item x="18"/>
        <item x="4"/>
        <item x="182"/>
        <item x="46"/>
        <item x="133"/>
        <item x="48"/>
        <item x="76"/>
        <item x="132"/>
        <item x="173"/>
        <item x="190"/>
        <item x="10"/>
        <item x="124"/>
        <item x="9"/>
        <item x="55"/>
        <item x="32"/>
        <item x="104"/>
        <item x="162"/>
        <item x="7"/>
        <item x="168"/>
        <item x="138"/>
        <item x="14"/>
        <item x="108"/>
        <item x="103"/>
        <item x="166"/>
        <item x="144"/>
        <item x="175"/>
        <item x="181"/>
        <item x="34"/>
        <item x="142"/>
        <item x="177"/>
        <item x="164"/>
        <item x="174"/>
        <item x="191"/>
        <item x="194"/>
        <item x="196"/>
        <item x="19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o_Show" fld="17" subtotal="count" baseField="15" baseItem="0"/>
    <dataField name="Count of No_Show2" fld="17" subtotal="count" showDataAs="percentOfTotal" baseField="15" baseItem="0" numFmtId="10"/>
  </dataFields>
  <formats count="1">
    <format dxfId="9">
      <pivotArea collapsedLevelsAreSubtotals="1" fieldPosition="0">
        <references count="2">
          <reference field="4294967294" count="1" selected="0">
            <x v="1"/>
          </reference>
          <reference field="17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942885-08CA-419B-A83A-D434F85D53DB}" name="Table1" displayName="Table1" ref="A37:D45" totalsRowShown="0" headerRowDxfId="7">
  <autoFilter ref="A37:D45" xr:uid="{B0942885-08CA-419B-A83A-D434F85D53DB}"/>
  <sortState xmlns:xlrd2="http://schemas.microsoft.com/office/spreadsheetml/2017/richdata2" ref="A38:D45">
    <sortCondition ref="D37:D45"/>
  </sortState>
  <tableColumns count="4">
    <tableColumn id="1" xr3:uid="{5176A09B-BE32-46D0-8838-535EE6D50EA0}" name="Department"/>
    <tableColumn id="2" xr3:uid="{AE019AE2-B8EF-4B50-B000-19FF47D3F723}" name="Total patient count"/>
    <tableColumn id="3" xr3:uid="{8C0C5D95-318E-46CE-A8E5-95747FE1AAAE}" name="No Show Count"/>
    <tableColumn id="4" xr3:uid="{76E7E161-112B-42AA-AF2D-C45DCBA49D80}" name="No Show %" dataDxfId="8" dataCellStyle="Percent">
      <calculatedColumnFormula>C38/B38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12F83E-8A54-44E5-957A-18E19D72B5F7}" name="Table3" displayName="Table3" ref="A70:D74" totalsRowShown="0">
  <autoFilter ref="A70:D74" xr:uid="{EE12F83E-8A54-44E5-957A-18E19D72B5F7}"/>
  <tableColumns count="4">
    <tableColumn id="1" xr3:uid="{2FF85A9A-F168-4807-B4E1-9651E50DBCB8}" name="Age Group"/>
    <tableColumn id="2" xr3:uid="{DBE64742-E0B0-4C76-A9A7-F7E6D7EC7EBD}" name="Total patient count"/>
    <tableColumn id="3" xr3:uid="{5E816A06-CB16-4AAB-956E-FF7F0A74813C}" name="No Show count"/>
    <tableColumn id="4" xr3:uid="{0F7A8723-D7A2-4537-BB05-6ADDE3C2B698}" name="No Show %" dataDxfId="6" dataCellStyle="Percent">
      <calculatedColumnFormula>C71/B71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20B7BD-A468-4B10-815D-01F115E43A10}" name="Table5" displayName="Table5" ref="A101:D108" totalsRowShown="0">
  <autoFilter ref="A101:D108" xr:uid="{3B20B7BD-A468-4B10-815D-01F115E43A10}"/>
  <sortState xmlns:xlrd2="http://schemas.microsoft.com/office/spreadsheetml/2017/richdata2" ref="A102:D108">
    <sortCondition descending="1" ref="D101:D108"/>
  </sortState>
  <tableColumns count="4">
    <tableColumn id="1" xr3:uid="{058509F8-A8B5-47D9-984F-1ACDB982AB67}" name="weekday"/>
    <tableColumn id="2" xr3:uid="{BFD4A457-EF0C-4457-96CE-C4ADF7F0A3FC}" name="total patient count"/>
    <tableColumn id="3" xr3:uid="{7E870AFC-9AE0-4A3D-AC69-1D4BE95017C4}" name="no show count"/>
    <tableColumn id="4" xr3:uid="{D361B924-A003-4F94-9757-979D0622F9E1}" name="No Show %" dataDxfId="5" dataCellStyle="Percent">
      <calculatedColumnFormula>C102/B102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974949-312D-4C3C-A341-5B2850502D42}" name="Table6" displayName="Table6" ref="A131:D133" totalsRowShown="0">
  <autoFilter ref="A131:D133" xr:uid="{A2974949-312D-4C3C-A341-5B2850502D42}"/>
  <tableColumns count="4">
    <tableColumn id="1" xr3:uid="{38DE0462-5E77-4A90-8451-96F8C918C9F9}" name="Gender"/>
    <tableColumn id="2" xr3:uid="{25956047-28A3-4B15-B3B8-44432EB0CE16}" name="Total patient"/>
    <tableColumn id="3" xr3:uid="{5212BF3A-F873-4735-B081-4D707B25E554}" name="no show count"/>
    <tableColumn id="4" xr3:uid="{2C075F24-D67F-4622-931D-678A86696A72}" name="no show %" dataDxfId="4" dataCellStyle="Percent">
      <calculatedColumnFormula>C132/B132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6C0B8A9-25D7-46FE-A387-5D1F5CAA0C70}" name="Table7" displayName="Table7" ref="A150:D152" totalsRowShown="0">
  <autoFilter ref="A150:D152" xr:uid="{06C0B8A9-25D7-46FE-A387-5D1F5CAA0C70}"/>
  <tableColumns count="4">
    <tableColumn id="1" xr3:uid="{B00A3311-E5D8-4674-972E-300403AD9655}" name="Chronic Condition"/>
    <tableColumn id="2" xr3:uid="{F230B600-FDF7-44E1-B8AC-43998CB3EFCC}" name="Patient count"/>
    <tableColumn id="3" xr3:uid="{CA3DEFDF-C971-444F-80A2-7D4DCABECCB9}" name="No show count"/>
    <tableColumn id="4" xr3:uid="{9A8DD38D-39E8-46EE-9BE1-24233A5E69DA}" name="No show rate" dataDxfId="3" dataCellStyle="Percent">
      <calculatedColumnFormula>C151/B151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3933A9D-509E-4BD2-BF33-4F66DFD06C8E}" name="Table8" displayName="Table8" ref="A177:D185" totalsRowShown="0">
  <autoFilter ref="A177:D185" xr:uid="{93933A9D-509E-4BD2-BF33-4F66DFD06C8E}"/>
  <sortState xmlns:xlrd2="http://schemas.microsoft.com/office/spreadsheetml/2017/richdata2" ref="A178:D185">
    <sortCondition descending="1" ref="D177:D185"/>
  </sortState>
  <tableColumns count="4">
    <tableColumn id="1" xr3:uid="{FCD6F8F3-AC2F-485E-9FF8-0C05E616B812}" name="Months"/>
    <tableColumn id="2" xr3:uid="{52306D69-D259-4BC4-B554-C9B25E7CA0F9}" name="Patient count"/>
    <tableColumn id="3" xr3:uid="{9F8C6224-9ED4-433A-A0FF-1A2E11DFA7BF}" name="No Show Count"/>
    <tableColumn id="4" xr3:uid="{1A844655-84C9-412C-89C8-6C647895DE28}" name="No Show rate %" dataDxfId="2" dataCellStyle="Percent">
      <calculatedColumnFormula>C178/B178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FFD7DE0-A6DD-46DD-BF18-E33EB9667DE6}" name="Table9" displayName="Table9" ref="A213:D223" totalsRowShown="0">
  <autoFilter ref="A213:D223" xr:uid="{CFFD7DE0-A6DD-46DD-BF18-E33EB9667DE6}">
    <filterColumn colId="3">
      <customFilters>
        <customFilter operator="greaterThan" val="0.20399999999999999"/>
      </customFilters>
    </filterColumn>
  </autoFilter>
  <sortState xmlns:xlrd2="http://schemas.microsoft.com/office/spreadsheetml/2017/richdata2" ref="A214:D223">
    <sortCondition descending="1" ref="D213:D223"/>
  </sortState>
  <tableColumns count="4">
    <tableColumn id="1" xr3:uid="{099F3522-ED7C-48E1-BA39-6350F065B5E6}" name="Neighbourhood"/>
    <tableColumn id="2" xr3:uid="{E544B134-C553-4FC3-BEE0-F982108E18BF}" name="patient count"/>
    <tableColumn id="3" xr3:uid="{FAC5EA0D-C357-4874-84B7-520F0BA714BB}" name="no show count" dataDxfId="1"/>
    <tableColumn id="4" xr3:uid="{556AD0F7-609A-408F-820A-5D94CEA4D064}" name="no show %" dataDxfId="0" dataCellStyle="Percent">
      <calculatedColumnFormula>C214/B214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21" Type="http://schemas.openxmlformats.org/officeDocument/2006/relationships/table" Target="../tables/table6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6" Type="http://schemas.openxmlformats.org/officeDocument/2006/relationships/table" Target="../tables/table1.xml"/><Relationship Id="rId20" Type="http://schemas.openxmlformats.org/officeDocument/2006/relationships/table" Target="../tables/table5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table" Target="../tables/table4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269E-D291-4588-A9CC-73435240486B}">
  <dimension ref="A1:S1501"/>
  <sheetViews>
    <sheetView topLeftCell="E1" workbookViewId="0">
      <selection activeCell="U5" sqref="U5"/>
    </sheetView>
  </sheetViews>
  <sheetFormatPr defaultRowHeight="14.4" x14ac:dyDescent="0.3"/>
  <cols>
    <col min="1" max="1" width="14.109375" bestFit="1" customWidth="1"/>
    <col min="2" max="2" width="9.77734375" bestFit="1" customWidth="1"/>
    <col min="3" max="3" width="7.109375" bestFit="1" customWidth="1"/>
    <col min="4" max="4" width="15.21875" bestFit="1" customWidth="1"/>
    <col min="5" max="5" width="13.6640625" bestFit="1" customWidth="1"/>
    <col min="6" max="6" width="13.88671875" bestFit="1" customWidth="1"/>
    <col min="7" max="7" width="17.33203125" bestFit="1" customWidth="1"/>
    <col min="8" max="8" width="17.33203125" customWidth="1"/>
    <col min="9" max="9" width="4.21875" bestFit="1" customWidth="1"/>
    <col min="10" max="10" width="14.44140625" bestFit="1" customWidth="1"/>
    <col min="11" max="11" width="10.6640625" bestFit="1" customWidth="1"/>
    <col min="12" max="12" width="12.21875" bestFit="1" customWidth="1"/>
    <col min="13" max="13" width="8.21875" bestFit="1" customWidth="1"/>
    <col min="14" max="14" width="10.21875" bestFit="1" customWidth="1"/>
    <col min="16" max="16" width="16.33203125" bestFit="1" customWidth="1"/>
    <col min="17" max="17" width="13.44140625" bestFit="1" customWidth="1"/>
    <col min="18" max="18" width="9.109375" bestFit="1" customWidth="1"/>
    <col min="19" max="19" width="10.44140625" bestFit="1" customWidth="1"/>
  </cols>
  <sheetData>
    <row r="1" spans="1:19" x14ac:dyDescent="0.3">
      <c r="A1" s="2" t="s">
        <v>985</v>
      </c>
      <c r="B1" s="2" t="s">
        <v>984</v>
      </c>
      <c r="C1" s="2" t="s">
        <v>983</v>
      </c>
      <c r="D1" s="2" t="s">
        <v>982</v>
      </c>
      <c r="E1" s="2" t="s">
        <v>981</v>
      </c>
      <c r="F1" s="2" t="s">
        <v>980</v>
      </c>
      <c r="G1" s="2" t="s">
        <v>979</v>
      </c>
      <c r="H1" s="12" t="s">
        <v>1010</v>
      </c>
      <c r="I1" s="2" t="s">
        <v>978</v>
      </c>
      <c r="J1" s="2" t="s">
        <v>977</v>
      </c>
      <c r="K1" s="2" t="s">
        <v>976</v>
      </c>
      <c r="L1" s="2" t="s">
        <v>975</v>
      </c>
      <c r="M1" s="2" t="s">
        <v>974</v>
      </c>
      <c r="N1" s="2" t="s">
        <v>973</v>
      </c>
      <c r="O1" s="2" t="s">
        <v>972</v>
      </c>
      <c r="P1" s="12" t="s">
        <v>1023</v>
      </c>
      <c r="Q1" s="12" t="s">
        <v>971</v>
      </c>
      <c r="R1" s="2" t="s">
        <v>970</v>
      </c>
      <c r="S1" s="2" t="s">
        <v>969</v>
      </c>
    </row>
    <row r="2" spans="1:19" x14ac:dyDescent="0.3">
      <c r="A2">
        <v>500001</v>
      </c>
      <c r="B2">
        <v>93810</v>
      </c>
      <c r="C2" t="s">
        <v>4</v>
      </c>
      <c r="D2" t="s">
        <v>36</v>
      </c>
      <c r="E2" s="1">
        <v>46101</v>
      </c>
      <c r="F2" t="s">
        <v>887</v>
      </c>
      <c r="G2" s="1">
        <v>46121</v>
      </c>
      <c r="H2" s="1" t="str">
        <f>TEXT(G2,"dddd")</f>
        <v>Thursday</v>
      </c>
      <c r="I2">
        <v>47</v>
      </c>
      <c r="J2" t="s">
        <v>5</v>
      </c>
      <c r="K2">
        <v>0</v>
      </c>
      <c r="L2">
        <v>1</v>
      </c>
      <c r="M2">
        <v>0</v>
      </c>
      <c r="N2">
        <v>0</v>
      </c>
      <c r="O2">
        <v>0</v>
      </c>
      <c r="P2" t="str">
        <f>IF(OR(L2=1,M2=1),"Chronic","Non Chronic")</f>
        <v>Chronic</v>
      </c>
      <c r="Q2">
        <v>1</v>
      </c>
      <c r="R2">
        <v>0</v>
      </c>
      <c r="S2" t="s">
        <v>0</v>
      </c>
    </row>
    <row r="3" spans="1:19" x14ac:dyDescent="0.3">
      <c r="A3">
        <v>500002</v>
      </c>
      <c r="B3">
        <v>13905</v>
      </c>
      <c r="C3" t="s">
        <v>4</v>
      </c>
      <c r="D3" t="s">
        <v>14</v>
      </c>
      <c r="E3" s="1">
        <v>45993</v>
      </c>
      <c r="F3" t="s">
        <v>462</v>
      </c>
      <c r="G3" s="1">
        <v>46003</v>
      </c>
      <c r="H3" s="1" t="str">
        <f t="shared" ref="H3:H66" si="0">TEXT(G3,"dddd")</f>
        <v>Friday</v>
      </c>
      <c r="I3">
        <v>35</v>
      </c>
      <c r="J3" t="s">
        <v>45</v>
      </c>
      <c r="K3">
        <v>0</v>
      </c>
      <c r="L3">
        <v>0</v>
      </c>
      <c r="M3">
        <v>0</v>
      </c>
      <c r="N3">
        <v>0</v>
      </c>
      <c r="O3">
        <v>0</v>
      </c>
      <c r="P3" t="str">
        <f t="shared" ref="P3:P66" si="1">IF(OR(L3=1,M3=1),"Chronic","Non Chronic")</f>
        <v>Non Chronic</v>
      </c>
      <c r="Q3">
        <v>1</v>
      </c>
      <c r="R3">
        <v>0</v>
      </c>
      <c r="S3" t="s">
        <v>22</v>
      </c>
    </row>
    <row r="4" spans="1:19" x14ac:dyDescent="0.3">
      <c r="A4">
        <v>500003</v>
      </c>
      <c r="B4">
        <v>68878</v>
      </c>
      <c r="C4" t="s">
        <v>8</v>
      </c>
      <c r="D4" t="s">
        <v>36</v>
      </c>
      <c r="E4" s="1">
        <v>46067</v>
      </c>
      <c r="F4" t="s">
        <v>787</v>
      </c>
      <c r="G4" s="1">
        <v>46070</v>
      </c>
      <c r="H4" s="1" t="str">
        <f t="shared" si="0"/>
        <v>Tuesday</v>
      </c>
      <c r="I4">
        <v>50</v>
      </c>
      <c r="J4" t="s">
        <v>31</v>
      </c>
      <c r="K4">
        <v>1</v>
      </c>
      <c r="L4">
        <v>1</v>
      </c>
      <c r="M4">
        <v>1</v>
      </c>
      <c r="N4">
        <v>0</v>
      </c>
      <c r="O4">
        <v>0</v>
      </c>
      <c r="P4" t="str">
        <f t="shared" si="1"/>
        <v>Chronic</v>
      </c>
      <c r="Q4">
        <v>1</v>
      </c>
      <c r="R4">
        <v>1</v>
      </c>
      <c r="S4" t="s">
        <v>0</v>
      </c>
    </row>
    <row r="5" spans="1:19" x14ac:dyDescent="0.3">
      <c r="A5">
        <v>500004</v>
      </c>
      <c r="B5">
        <v>55082</v>
      </c>
      <c r="C5" t="s">
        <v>8</v>
      </c>
      <c r="D5" t="s">
        <v>36</v>
      </c>
      <c r="E5" s="1">
        <v>46115</v>
      </c>
      <c r="F5" t="s">
        <v>968</v>
      </c>
      <c r="G5" s="1">
        <v>46122</v>
      </c>
      <c r="H5" s="1" t="str">
        <f t="shared" si="0"/>
        <v>Friday</v>
      </c>
      <c r="I5">
        <v>68</v>
      </c>
      <c r="J5" t="s">
        <v>10</v>
      </c>
      <c r="K5">
        <v>0</v>
      </c>
      <c r="L5">
        <v>0</v>
      </c>
      <c r="M5">
        <v>0</v>
      </c>
      <c r="N5">
        <v>0</v>
      </c>
      <c r="O5">
        <v>0</v>
      </c>
      <c r="P5" t="str">
        <f t="shared" si="1"/>
        <v>Non Chronic</v>
      </c>
      <c r="Q5">
        <v>0</v>
      </c>
      <c r="R5">
        <v>0</v>
      </c>
      <c r="S5" t="s">
        <v>9</v>
      </c>
    </row>
    <row r="6" spans="1:19" x14ac:dyDescent="0.3">
      <c r="A6">
        <v>500005</v>
      </c>
      <c r="B6">
        <v>19116</v>
      </c>
      <c r="C6" t="s">
        <v>4</v>
      </c>
      <c r="D6" t="s">
        <v>14</v>
      </c>
      <c r="E6" s="1">
        <v>46126</v>
      </c>
      <c r="F6" t="s">
        <v>571</v>
      </c>
      <c r="G6" s="1">
        <v>46146</v>
      </c>
      <c r="H6" s="1" t="str">
        <f t="shared" si="0"/>
        <v>Monday</v>
      </c>
      <c r="I6">
        <v>33</v>
      </c>
      <c r="J6" t="s">
        <v>5</v>
      </c>
      <c r="K6">
        <v>0</v>
      </c>
      <c r="L6">
        <v>0</v>
      </c>
      <c r="M6">
        <v>0</v>
      </c>
      <c r="N6">
        <v>0</v>
      </c>
      <c r="O6">
        <v>0</v>
      </c>
      <c r="P6" t="str">
        <f t="shared" si="1"/>
        <v>Non Chronic</v>
      </c>
      <c r="Q6">
        <v>1</v>
      </c>
      <c r="R6">
        <v>0</v>
      </c>
      <c r="S6" t="s">
        <v>22</v>
      </c>
    </row>
    <row r="7" spans="1:19" x14ac:dyDescent="0.3">
      <c r="A7">
        <v>500006</v>
      </c>
      <c r="B7">
        <v>57819</v>
      </c>
      <c r="C7" t="s">
        <v>4</v>
      </c>
      <c r="D7" t="s">
        <v>19</v>
      </c>
      <c r="E7" s="1">
        <v>46035</v>
      </c>
      <c r="F7" t="s">
        <v>864</v>
      </c>
      <c r="G7" s="1">
        <v>46045</v>
      </c>
      <c r="H7" s="1" t="str">
        <f t="shared" si="0"/>
        <v>Friday</v>
      </c>
      <c r="I7">
        <v>33</v>
      </c>
      <c r="J7" t="s">
        <v>20</v>
      </c>
      <c r="K7">
        <v>0</v>
      </c>
      <c r="L7">
        <v>0</v>
      </c>
      <c r="M7">
        <v>0</v>
      </c>
      <c r="N7">
        <v>0</v>
      </c>
      <c r="O7">
        <v>0</v>
      </c>
      <c r="P7" t="str">
        <f t="shared" si="1"/>
        <v>Non Chronic</v>
      </c>
      <c r="Q7">
        <v>1</v>
      </c>
      <c r="R7">
        <v>1</v>
      </c>
      <c r="S7" t="s">
        <v>22</v>
      </c>
    </row>
    <row r="8" spans="1:19" x14ac:dyDescent="0.3">
      <c r="A8">
        <v>500007</v>
      </c>
      <c r="B8">
        <v>93227</v>
      </c>
      <c r="C8" t="s">
        <v>4</v>
      </c>
      <c r="D8" t="s">
        <v>14</v>
      </c>
      <c r="E8" s="1">
        <v>46018</v>
      </c>
      <c r="F8" t="s">
        <v>967</v>
      </c>
      <c r="G8" s="1">
        <v>46028</v>
      </c>
      <c r="H8" s="1" t="str">
        <f t="shared" si="0"/>
        <v>Tuesday</v>
      </c>
      <c r="I8">
        <v>69</v>
      </c>
      <c r="J8" t="s">
        <v>31</v>
      </c>
      <c r="K8">
        <v>1</v>
      </c>
      <c r="L8">
        <v>0</v>
      </c>
      <c r="M8">
        <v>0</v>
      </c>
      <c r="N8">
        <v>0</v>
      </c>
      <c r="O8">
        <v>0</v>
      </c>
      <c r="P8" t="str">
        <f t="shared" si="1"/>
        <v>Non Chronic</v>
      </c>
      <c r="Q8">
        <v>0</v>
      </c>
      <c r="R8">
        <v>0</v>
      </c>
      <c r="S8" t="s">
        <v>9</v>
      </c>
    </row>
    <row r="9" spans="1:19" x14ac:dyDescent="0.3">
      <c r="A9">
        <v>500008</v>
      </c>
      <c r="B9">
        <v>40021</v>
      </c>
      <c r="C9" t="s">
        <v>4</v>
      </c>
      <c r="D9" t="s">
        <v>19</v>
      </c>
      <c r="E9" s="1">
        <v>46152</v>
      </c>
      <c r="F9" t="s">
        <v>966</v>
      </c>
      <c r="G9" s="1">
        <v>46162</v>
      </c>
      <c r="H9" s="1" t="str">
        <f t="shared" si="0"/>
        <v>Wednesday</v>
      </c>
      <c r="I9">
        <v>53</v>
      </c>
      <c r="J9" t="s">
        <v>23</v>
      </c>
      <c r="K9">
        <v>1</v>
      </c>
      <c r="L9">
        <v>1</v>
      </c>
      <c r="M9">
        <v>0</v>
      </c>
      <c r="N9">
        <v>0</v>
      </c>
      <c r="O9">
        <v>0</v>
      </c>
      <c r="P9" t="str">
        <f t="shared" si="1"/>
        <v>Chronic</v>
      </c>
      <c r="Q9">
        <v>1</v>
      </c>
      <c r="R9">
        <v>0</v>
      </c>
      <c r="S9" t="s">
        <v>0</v>
      </c>
    </row>
    <row r="10" spans="1:19" x14ac:dyDescent="0.3">
      <c r="A10">
        <v>500009</v>
      </c>
      <c r="B10">
        <v>94259</v>
      </c>
      <c r="C10" t="s">
        <v>8</v>
      </c>
      <c r="D10" t="s">
        <v>28</v>
      </c>
      <c r="E10" s="1">
        <v>46113</v>
      </c>
      <c r="F10" t="s">
        <v>965</v>
      </c>
      <c r="G10" s="1">
        <v>46120</v>
      </c>
      <c r="H10" s="1" t="str">
        <f t="shared" si="0"/>
        <v>Wednesday</v>
      </c>
      <c r="I10">
        <v>28</v>
      </c>
      <c r="J10" t="s">
        <v>5</v>
      </c>
      <c r="K10">
        <v>0</v>
      </c>
      <c r="L10">
        <v>0</v>
      </c>
      <c r="M10">
        <v>0</v>
      </c>
      <c r="N10">
        <v>0</v>
      </c>
      <c r="O10">
        <v>0</v>
      </c>
      <c r="P10" t="str">
        <f t="shared" si="1"/>
        <v>Non Chronic</v>
      </c>
      <c r="Q10">
        <v>1</v>
      </c>
      <c r="R10">
        <v>0</v>
      </c>
      <c r="S10" t="s">
        <v>22</v>
      </c>
    </row>
    <row r="11" spans="1:19" x14ac:dyDescent="0.3">
      <c r="A11">
        <v>500010</v>
      </c>
      <c r="B11">
        <v>86484</v>
      </c>
      <c r="C11" t="s">
        <v>8</v>
      </c>
      <c r="D11" t="s">
        <v>19</v>
      </c>
      <c r="E11" s="1">
        <v>46156</v>
      </c>
      <c r="F11" t="s">
        <v>940</v>
      </c>
      <c r="G11" s="1">
        <v>46157</v>
      </c>
      <c r="H11" s="1" t="str">
        <f t="shared" si="0"/>
        <v>Friday</v>
      </c>
      <c r="I11">
        <v>48</v>
      </c>
      <c r="J11" t="s">
        <v>45</v>
      </c>
      <c r="K11">
        <v>0</v>
      </c>
      <c r="L11">
        <v>0</v>
      </c>
      <c r="M11">
        <v>1</v>
      </c>
      <c r="N11">
        <v>1</v>
      </c>
      <c r="O11">
        <v>0</v>
      </c>
      <c r="P11" t="str">
        <f t="shared" si="1"/>
        <v>Chronic</v>
      </c>
      <c r="Q11">
        <v>1</v>
      </c>
      <c r="R11">
        <v>0</v>
      </c>
      <c r="S11" t="s">
        <v>0</v>
      </c>
    </row>
    <row r="12" spans="1:19" x14ac:dyDescent="0.3">
      <c r="A12">
        <v>500011</v>
      </c>
      <c r="B12">
        <v>65333</v>
      </c>
      <c r="C12" t="s">
        <v>4</v>
      </c>
      <c r="D12" t="s">
        <v>3</v>
      </c>
      <c r="E12" s="1">
        <v>46125</v>
      </c>
      <c r="F12" t="s">
        <v>331</v>
      </c>
      <c r="G12" s="1">
        <v>46155</v>
      </c>
      <c r="H12" s="1" t="str">
        <f t="shared" si="0"/>
        <v>Wednesday</v>
      </c>
      <c r="I12">
        <v>28</v>
      </c>
      <c r="J12" t="s">
        <v>23</v>
      </c>
      <c r="K12">
        <v>1</v>
      </c>
      <c r="L12">
        <v>0</v>
      </c>
      <c r="M12">
        <v>0</v>
      </c>
      <c r="N12">
        <v>0</v>
      </c>
      <c r="O12">
        <v>0</v>
      </c>
      <c r="P12" t="str">
        <f t="shared" si="1"/>
        <v>Non Chronic</v>
      </c>
      <c r="Q12">
        <v>0</v>
      </c>
      <c r="R12">
        <v>1</v>
      </c>
      <c r="S12" t="s">
        <v>22</v>
      </c>
    </row>
    <row r="13" spans="1:19" x14ac:dyDescent="0.3">
      <c r="A13">
        <v>500012</v>
      </c>
      <c r="B13">
        <v>25014</v>
      </c>
      <c r="C13" t="s">
        <v>8</v>
      </c>
      <c r="D13" t="s">
        <v>19</v>
      </c>
      <c r="E13" s="1">
        <v>46033</v>
      </c>
      <c r="F13" t="s">
        <v>964</v>
      </c>
      <c r="G13" s="1">
        <v>46038</v>
      </c>
      <c r="H13" s="1" t="str">
        <f t="shared" si="0"/>
        <v>Friday</v>
      </c>
      <c r="I13">
        <v>28</v>
      </c>
      <c r="J13" t="s">
        <v>15</v>
      </c>
      <c r="K13">
        <v>1</v>
      </c>
      <c r="L13">
        <v>0</v>
      </c>
      <c r="M13">
        <v>0</v>
      </c>
      <c r="N13">
        <v>0</v>
      </c>
      <c r="O13">
        <v>0</v>
      </c>
      <c r="P13" t="str">
        <f t="shared" si="1"/>
        <v>Non Chronic</v>
      </c>
      <c r="Q13">
        <v>0</v>
      </c>
      <c r="R13">
        <v>0</v>
      </c>
      <c r="S13" t="s">
        <v>22</v>
      </c>
    </row>
    <row r="14" spans="1:19" x14ac:dyDescent="0.3">
      <c r="A14">
        <v>500013</v>
      </c>
      <c r="B14">
        <v>44522</v>
      </c>
      <c r="C14" t="s">
        <v>4</v>
      </c>
      <c r="D14" t="s">
        <v>58</v>
      </c>
      <c r="E14" s="1">
        <v>46084</v>
      </c>
      <c r="F14" t="s">
        <v>699</v>
      </c>
      <c r="G14" s="1">
        <v>46089</v>
      </c>
      <c r="H14" s="1" t="str">
        <f t="shared" si="0"/>
        <v>Sunday</v>
      </c>
      <c r="I14">
        <v>42</v>
      </c>
      <c r="J14" t="s">
        <v>5</v>
      </c>
      <c r="K14">
        <v>0</v>
      </c>
      <c r="L14">
        <v>0</v>
      </c>
      <c r="M14">
        <v>1</v>
      </c>
      <c r="N14">
        <v>0</v>
      </c>
      <c r="O14">
        <v>0</v>
      </c>
      <c r="P14" t="str">
        <f t="shared" si="1"/>
        <v>Chronic</v>
      </c>
      <c r="Q14">
        <v>0</v>
      </c>
      <c r="R14">
        <v>0</v>
      </c>
      <c r="S14" t="s">
        <v>0</v>
      </c>
    </row>
    <row r="15" spans="1:19" x14ac:dyDescent="0.3">
      <c r="A15">
        <v>500014</v>
      </c>
      <c r="B15">
        <v>10074</v>
      </c>
      <c r="C15" t="s">
        <v>8</v>
      </c>
      <c r="D15" t="s">
        <v>7</v>
      </c>
      <c r="E15" s="1">
        <v>45997</v>
      </c>
      <c r="F15" t="s">
        <v>489</v>
      </c>
      <c r="G15" s="1">
        <v>45998</v>
      </c>
      <c r="H15" s="1" t="str">
        <f t="shared" si="0"/>
        <v>Sunday</v>
      </c>
      <c r="I15">
        <v>0</v>
      </c>
      <c r="J15" t="s">
        <v>17</v>
      </c>
      <c r="K15">
        <v>0</v>
      </c>
      <c r="L15">
        <v>0</v>
      </c>
      <c r="M15">
        <v>0</v>
      </c>
      <c r="N15">
        <v>0</v>
      </c>
      <c r="O15">
        <v>0</v>
      </c>
      <c r="P15" t="str">
        <f t="shared" si="1"/>
        <v>Non Chronic</v>
      </c>
      <c r="Q15">
        <v>1</v>
      </c>
      <c r="R15">
        <v>0</v>
      </c>
      <c r="S15" t="s">
        <v>30</v>
      </c>
    </row>
    <row r="16" spans="1:19" x14ac:dyDescent="0.3">
      <c r="A16">
        <v>500015</v>
      </c>
      <c r="B16">
        <v>50306</v>
      </c>
      <c r="C16" t="s">
        <v>4</v>
      </c>
      <c r="D16" t="s">
        <v>36</v>
      </c>
      <c r="E16" s="1">
        <v>46145</v>
      </c>
      <c r="F16" t="s">
        <v>963</v>
      </c>
      <c r="G16" s="1">
        <v>46165</v>
      </c>
      <c r="H16" s="1" t="str">
        <f t="shared" si="0"/>
        <v>Saturday</v>
      </c>
      <c r="I16">
        <v>3</v>
      </c>
      <c r="J16" t="s">
        <v>45</v>
      </c>
      <c r="K16">
        <v>0</v>
      </c>
      <c r="L16">
        <v>0</v>
      </c>
      <c r="M16">
        <v>0</v>
      </c>
      <c r="N16">
        <v>0</v>
      </c>
      <c r="O16">
        <v>0</v>
      </c>
      <c r="P16" t="str">
        <f t="shared" si="1"/>
        <v>Non Chronic</v>
      </c>
      <c r="Q16">
        <v>0</v>
      </c>
      <c r="R16">
        <v>1</v>
      </c>
      <c r="S16" t="s">
        <v>30</v>
      </c>
    </row>
    <row r="17" spans="1:19" x14ac:dyDescent="0.3">
      <c r="A17">
        <v>500016</v>
      </c>
      <c r="B17">
        <v>73699</v>
      </c>
      <c r="C17" t="s">
        <v>4</v>
      </c>
      <c r="D17" t="s">
        <v>28</v>
      </c>
      <c r="E17" s="1">
        <v>46104</v>
      </c>
      <c r="F17" t="s">
        <v>726</v>
      </c>
      <c r="G17" s="1">
        <v>46105</v>
      </c>
      <c r="H17" s="1" t="str">
        <f t="shared" si="0"/>
        <v>Tuesday</v>
      </c>
      <c r="I17">
        <v>26</v>
      </c>
      <c r="J17" t="s">
        <v>31</v>
      </c>
      <c r="K17">
        <v>1</v>
      </c>
      <c r="L17">
        <v>0</v>
      </c>
      <c r="M17">
        <v>0</v>
      </c>
      <c r="N17">
        <v>0</v>
      </c>
      <c r="O17">
        <v>0</v>
      </c>
      <c r="P17" t="str">
        <f t="shared" si="1"/>
        <v>Non Chronic</v>
      </c>
      <c r="Q17">
        <v>1</v>
      </c>
      <c r="R17">
        <v>0</v>
      </c>
      <c r="S17" t="s">
        <v>22</v>
      </c>
    </row>
    <row r="18" spans="1:19" x14ac:dyDescent="0.3">
      <c r="A18">
        <v>500017</v>
      </c>
      <c r="B18">
        <v>37760</v>
      </c>
      <c r="C18" t="s">
        <v>4</v>
      </c>
      <c r="D18" t="s">
        <v>25</v>
      </c>
      <c r="E18" s="1">
        <v>46077</v>
      </c>
      <c r="F18" t="s">
        <v>962</v>
      </c>
      <c r="G18" s="1">
        <v>46107</v>
      </c>
      <c r="H18" s="1" t="str">
        <f t="shared" si="0"/>
        <v>Thursday</v>
      </c>
      <c r="I18">
        <v>17</v>
      </c>
      <c r="J18" t="s">
        <v>23</v>
      </c>
      <c r="K18">
        <v>0</v>
      </c>
      <c r="L18">
        <v>0</v>
      </c>
      <c r="M18">
        <v>0</v>
      </c>
      <c r="N18">
        <v>0</v>
      </c>
      <c r="O18">
        <v>0</v>
      </c>
      <c r="P18" t="str">
        <f t="shared" si="1"/>
        <v>Non Chronic</v>
      </c>
      <c r="Q18">
        <v>1</v>
      </c>
      <c r="R18">
        <v>0</v>
      </c>
      <c r="S18" t="s">
        <v>30</v>
      </c>
    </row>
    <row r="19" spans="1:19" x14ac:dyDescent="0.3">
      <c r="A19">
        <v>500018</v>
      </c>
      <c r="B19">
        <v>77839</v>
      </c>
      <c r="C19" t="s">
        <v>8</v>
      </c>
      <c r="D19" t="s">
        <v>58</v>
      </c>
      <c r="E19" s="1">
        <v>45983</v>
      </c>
      <c r="F19" t="s">
        <v>961</v>
      </c>
      <c r="G19" s="1">
        <v>45988</v>
      </c>
      <c r="H19" s="1" t="str">
        <f t="shared" si="0"/>
        <v>Thursday</v>
      </c>
      <c r="I19">
        <v>44</v>
      </c>
      <c r="J19" t="s">
        <v>45</v>
      </c>
      <c r="K19">
        <v>0</v>
      </c>
      <c r="L19">
        <v>0</v>
      </c>
      <c r="M19">
        <v>1</v>
      </c>
      <c r="N19">
        <v>1</v>
      </c>
      <c r="O19">
        <v>0</v>
      </c>
      <c r="P19" t="str">
        <f t="shared" si="1"/>
        <v>Chronic</v>
      </c>
      <c r="Q19">
        <v>1</v>
      </c>
      <c r="R19">
        <v>1</v>
      </c>
      <c r="S19" t="s">
        <v>0</v>
      </c>
    </row>
    <row r="20" spans="1:19" x14ac:dyDescent="0.3">
      <c r="A20">
        <v>500019</v>
      </c>
      <c r="B20">
        <v>92719</v>
      </c>
      <c r="C20" t="s">
        <v>4</v>
      </c>
      <c r="D20" t="s">
        <v>14</v>
      </c>
      <c r="E20" s="1">
        <v>46055</v>
      </c>
      <c r="F20" t="s">
        <v>203</v>
      </c>
      <c r="G20" s="1">
        <v>46070</v>
      </c>
      <c r="H20" s="1" t="str">
        <f t="shared" si="0"/>
        <v>Tuesday</v>
      </c>
      <c r="I20">
        <v>19</v>
      </c>
      <c r="J20" t="s">
        <v>15</v>
      </c>
      <c r="K20">
        <v>0</v>
      </c>
      <c r="L20">
        <v>0</v>
      </c>
      <c r="M20">
        <v>0</v>
      </c>
      <c r="N20">
        <v>0</v>
      </c>
      <c r="O20">
        <v>0</v>
      </c>
      <c r="P20" t="str">
        <f t="shared" si="1"/>
        <v>Non Chronic</v>
      </c>
      <c r="Q20">
        <v>1</v>
      </c>
      <c r="R20">
        <v>1</v>
      </c>
      <c r="S20" t="s">
        <v>22</v>
      </c>
    </row>
    <row r="21" spans="1:19" x14ac:dyDescent="0.3">
      <c r="A21">
        <v>500020</v>
      </c>
      <c r="B21">
        <v>97684</v>
      </c>
      <c r="C21" t="s">
        <v>8</v>
      </c>
      <c r="D21" t="s">
        <v>14</v>
      </c>
      <c r="E21" s="1">
        <v>46044</v>
      </c>
      <c r="F21" t="s">
        <v>367</v>
      </c>
      <c r="G21" s="1">
        <v>46045</v>
      </c>
      <c r="H21" s="1" t="str">
        <f t="shared" si="0"/>
        <v>Friday</v>
      </c>
      <c r="I21">
        <v>9</v>
      </c>
      <c r="J21" t="s">
        <v>12</v>
      </c>
      <c r="K21">
        <v>0</v>
      </c>
      <c r="L21">
        <v>0</v>
      </c>
      <c r="M21">
        <v>0</v>
      </c>
      <c r="N21">
        <v>0</v>
      </c>
      <c r="O21">
        <v>0</v>
      </c>
      <c r="P21" t="str">
        <f t="shared" si="1"/>
        <v>Non Chronic</v>
      </c>
      <c r="Q21">
        <v>0</v>
      </c>
      <c r="R21">
        <v>0</v>
      </c>
      <c r="S21" t="s">
        <v>30</v>
      </c>
    </row>
    <row r="22" spans="1:19" x14ac:dyDescent="0.3">
      <c r="A22">
        <v>500021</v>
      </c>
      <c r="B22">
        <v>71953</v>
      </c>
      <c r="C22" t="s">
        <v>4</v>
      </c>
      <c r="D22" t="s">
        <v>7</v>
      </c>
      <c r="E22" s="1">
        <v>46125</v>
      </c>
      <c r="F22" t="s">
        <v>321</v>
      </c>
      <c r="G22" s="1">
        <v>46145</v>
      </c>
      <c r="H22" s="1" t="str">
        <f t="shared" si="0"/>
        <v>Sunday</v>
      </c>
      <c r="I22">
        <v>67</v>
      </c>
      <c r="J22" t="s">
        <v>23</v>
      </c>
      <c r="K22">
        <v>0</v>
      </c>
      <c r="L22">
        <v>1</v>
      </c>
      <c r="M22">
        <v>0</v>
      </c>
      <c r="N22">
        <v>0</v>
      </c>
      <c r="O22">
        <v>0</v>
      </c>
      <c r="P22" t="str">
        <f t="shared" si="1"/>
        <v>Chronic</v>
      </c>
      <c r="Q22">
        <v>1</v>
      </c>
      <c r="R22">
        <v>0</v>
      </c>
      <c r="S22" t="s">
        <v>9</v>
      </c>
    </row>
    <row r="23" spans="1:19" x14ac:dyDescent="0.3">
      <c r="A23">
        <v>500022</v>
      </c>
      <c r="B23">
        <v>94696</v>
      </c>
      <c r="C23" t="s">
        <v>4</v>
      </c>
      <c r="D23" t="s">
        <v>36</v>
      </c>
      <c r="E23" s="1">
        <v>46076</v>
      </c>
      <c r="F23" t="s">
        <v>524</v>
      </c>
      <c r="G23" s="1">
        <v>46077</v>
      </c>
      <c r="H23" s="1" t="str">
        <f t="shared" si="0"/>
        <v>Tuesday</v>
      </c>
      <c r="I23">
        <v>33</v>
      </c>
      <c r="J23" t="s">
        <v>23</v>
      </c>
      <c r="K23">
        <v>1</v>
      </c>
      <c r="L23">
        <v>0</v>
      </c>
      <c r="M23">
        <v>0</v>
      </c>
      <c r="N23">
        <v>0</v>
      </c>
      <c r="O23">
        <v>0</v>
      </c>
      <c r="P23" t="str">
        <f t="shared" si="1"/>
        <v>Non Chronic</v>
      </c>
      <c r="Q23">
        <v>1</v>
      </c>
      <c r="R23">
        <v>0</v>
      </c>
      <c r="S23" t="s">
        <v>22</v>
      </c>
    </row>
    <row r="24" spans="1:19" x14ac:dyDescent="0.3">
      <c r="A24">
        <v>500023</v>
      </c>
      <c r="B24">
        <v>28373</v>
      </c>
      <c r="C24" t="s">
        <v>8</v>
      </c>
      <c r="D24" t="s">
        <v>28</v>
      </c>
      <c r="E24" s="1">
        <v>46038</v>
      </c>
      <c r="F24" t="s">
        <v>960</v>
      </c>
      <c r="G24" s="1">
        <v>46058</v>
      </c>
      <c r="H24" s="1" t="str">
        <f t="shared" si="0"/>
        <v>Thursday</v>
      </c>
      <c r="I24">
        <v>39</v>
      </c>
      <c r="J24" t="s">
        <v>5</v>
      </c>
      <c r="K24">
        <v>1</v>
      </c>
      <c r="L24">
        <v>0</v>
      </c>
      <c r="M24">
        <v>0</v>
      </c>
      <c r="N24">
        <v>0</v>
      </c>
      <c r="O24">
        <v>0</v>
      </c>
      <c r="P24" t="str">
        <f t="shared" si="1"/>
        <v>Non Chronic</v>
      </c>
      <c r="Q24">
        <v>1</v>
      </c>
      <c r="R24">
        <v>0</v>
      </c>
      <c r="S24" t="s">
        <v>22</v>
      </c>
    </row>
    <row r="25" spans="1:19" x14ac:dyDescent="0.3">
      <c r="A25">
        <v>500024</v>
      </c>
      <c r="B25">
        <v>82132</v>
      </c>
      <c r="C25" t="s">
        <v>4</v>
      </c>
      <c r="D25" t="s">
        <v>36</v>
      </c>
      <c r="E25" s="1">
        <v>46058</v>
      </c>
      <c r="F25" t="s">
        <v>299</v>
      </c>
      <c r="G25" s="1">
        <v>46073</v>
      </c>
      <c r="H25" s="1" t="str">
        <f t="shared" si="0"/>
        <v>Friday</v>
      </c>
      <c r="I25">
        <v>9</v>
      </c>
      <c r="J25" t="s">
        <v>12</v>
      </c>
      <c r="K25">
        <v>0</v>
      </c>
      <c r="L25">
        <v>0</v>
      </c>
      <c r="M25">
        <v>0</v>
      </c>
      <c r="N25">
        <v>0</v>
      </c>
      <c r="O25">
        <v>0</v>
      </c>
      <c r="P25" t="str">
        <f t="shared" si="1"/>
        <v>Non Chronic</v>
      </c>
      <c r="Q25">
        <v>0</v>
      </c>
      <c r="R25">
        <v>0</v>
      </c>
      <c r="S25" t="s">
        <v>30</v>
      </c>
    </row>
    <row r="26" spans="1:19" x14ac:dyDescent="0.3">
      <c r="A26">
        <v>500025</v>
      </c>
      <c r="B26">
        <v>40982</v>
      </c>
      <c r="C26" t="s">
        <v>4</v>
      </c>
      <c r="D26" t="s">
        <v>3</v>
      </c>
      <c r="E26" s="1">
        <v>46020</v>
      </c>
      <c r="F26" t="s">
        <v>959</v>
      </c>
      <c r="G26" s="1">
        <v>46023</v>
      </c>
      <c r="H26" s="1" t="str">
        <f t="shared" si="0"/>
        <v>Thursday</v>
      </c>
      <c r="I26">
        <v>27</v>
      </c>
      <c r="J26" t="s">
        <v>10</v>
      </c>
      <c r="K26">
        <v>1</v>
      </c>
      <c r="L26">
        <v>0</v>
      </c>
      <c r="M26">
        <v>0</v>
      </c>
      <c r="N26">
        <v>0</v>
      </c>
      <c r="O26">
        <v>0</v>
      </c>
      <c r="P26" t="str">
        <f t="shared" si="1"/>
        <v>Non Chronic</v>
      </c>
      <c r="Q26">
        <v>1</v>
      </c>
      <c r="R26">
        <v>0</v>
      </c>
      <c r="S26" t="s">
        <v>22</v>
      </c>
    </row>
    <row r="27" spans="1:19" x14ac:dyDescent="0.3">
      <c r="A27">
        <v>500026</v>
      </c>
      <c r="B27">
        <v>61173</v>
      </c>
      <c r="C27" t="s">
        <v>8</v>
      </c>
      <c r="D27" t="s">
        <v>7</v>
      </c>
      <c r="E27" s="1">
        <v>45983</v>
      </c>
      <c r="F27" t="s">
        <v>701</v>
      </c>
      <c r="G27" s="1">
        <v>45993</v>
      </c>
      <c r="H27" s="1" t="str">
        <f t="shared" si="0"/>
        <v>Tuesday</v>
      </c>
      <c r="I27">
        <v>40</v>
      </c>
      <c r="J27" t="s">
        <v>5</v>
      </c>
      <c r="K27">
        <v>1</v>
      </c>
      <c r="L27">
        <v>0</v>
      </c>
      <c r="M27">
        <v>0</v>
      </c>
      <c r="N27">
        <v>0</v>
      </c>
      <c r="O27">
        <v>0</v>
      </c>
      <c r="P27" t="str">
        <f t="shared" si="1"/>
        <v>Non Chronic</v>
      </c>
      <c r="Q27">
        <v>0</v>
      </c>
      <c r="R27">
        <v>0</v>
      </c>
      <c r="S27" t="s">
        <v>22</v>
      </c>
    </row>
    <row r="28" spans="1:19" x14ac:dyDescent="0.3">
      <c r="A28">
        <v>500027</v>
      </c>
      <c r="B28">
        <v>73788</v>
      </c>
      <c r="C28" t="s">
        <v>4</v>
      </c>
      <c r="D28" t="s">
        <v>14</v>
      </c>
      <c r="E28" s="1">
        <v>45999</v>
      </c>
      <c r="F28" t="s">
        <v>958</v>
      </c>
      <c r="G28" s="1">
        <v>46001</v>
      </c>
      <c r="H28" s="1" t="str">
        <f t="shared" si="0"/>
        <v>Wednesday</v>
      </c>
      <c r="I28">
        <v>14</v>
      </c>
      <c r="J28" t="s">
        <v>5</v>
      </c>
      <c r="K28">
        <v>0</v>
      </c>
      <c r="L28">
        <v>0</v>
      </c>
      <c r="M28">
        <v>0</v>
      </c>
      <c r="N28">
        <v>0</v>
      </c>
      <c r="O28">
        <v>0</v>
      </c>
      <c r="P28" t="str">
        <f t="shared" si="1"/>
        <v>Non Chronic</v>
      </c>
      <c r="Q28">
        <v>1</v>
      </c>
      <c r="R28">
        <v>0</v>
      </c>
      <c r="S28" t="s">
        <v>30</v>
      </c>
    </row>
    <row r="29" spans="1:19" x14ac:dyDescent="0.3">
      <c r="A29">
        <v>500028</v>
      </c>
      <c r="B29">
        <v>17989</v>
      </c>
      <c r="C29" t="s">
        <v>8</v>
      </c>
      <c r="D29" t="s">
        <v>36</v>
      </c>
      <c r="E29" s="1">
        <v>46140</v>
      </c>
      <c r="F29" t="s">
        <v>957</v>
      </c>
      <c r="G29" s="1">
        <v>46141</v>
      </c>
      <c r="H29" s="1" t="str">
        <f t="shared" si="0"/>
        <v>Wednesday</v>
      </c>
      <c r="I29">
        <v>45</v>
      </c>
      <c r="J29" t="s">
        <v>17</v>
      </c>
      <c r="K29">
        <v>1</v>
      </c>
      <c r="L29">
        <v>0</v>
      </c>
      <c r="M29">
        <v>0</v>
      </c>
      <c r="N29">
        <v>0</v>
      </c>
      <c r="O29">
        <v>0</v>
      </c>
      <c r="P29" t="str">
        <f t="shared" si="1"/>
        <v>Non Chronic</v>
      </c>
      <c r="Q29">
        <v>0</v>
      </c>
      <c r="R29">
        <v>1</v>
      </c>
      <c r="S29" t="s">
        <v>0</v>
      </c>
    </row>
    <row r="30" spans="1:19" x14ac:dyDescent="0.3">
      <c r="A30">
        <v>500029</v>
      </c>
      <c r="B30">
        <v>34356</v>
      </c>
      <c r="C30" t="s">
        <v>4</v>
      </c>
      <c r="D30" t="s">
        <v>58</v>
      </c>
      <c r="E30" s="1">
        <v>46080</v>
      </c>
      <c r="F30" t="s">
        <v>956</v>
      </c>
      <c r="G30" s="1">
        <v>46100</v>
      </c>
      <c r="H30" s="1" t="str">
        <f t="shared" si="0"/>
        <v>Thursday</v>
      </c>
      <c r="I30">
        <v>25</v>
      </c>
      <c r="J30" t="s">
        <v>45</v>
      </c>
      <c r="K30">
        <v>1</v>
      </c>
      <c r="L30">
        <v>0</v>
      </c>
      <c r="M30">
        <v>0</v>
      </c>
      <c r="N30">
        <v>0</v>
      </c>
      <c r="O30">
        <v>0</v>
      </c>
      <c r="P30" t="str">
        <f t="shared" si="1"/>
        <v>Non Chronic</v>
      </c>
      <c r="Q30">
        <v>1</v>
      </c>
      <c r="R30">
        <v>0</v>
      </c>
      <c r="S30" t="s">
        <v>22</v>
      </c>
    </row>
    <row r="31" spans="1:19" x14ac:dyDescent="0.3">
      <c r="A31">
        <v>500030</v>
      </c>
      <c r="B31">
        <v>91183</v>
      </c>
      <c r="C31" t="s">
        <v>4</v>
      </c>
      <c r="D31" t="s">
        <v>3</v>
      </c>
      <c r="E31" s="1">
        <v>46079</v>
      </c>
      <c r="F31" t="s">
        <v>216</v>
      </c>
      <c r="G31" s="1">
        <v>46081</v>
      </c>
      <c r="H31" s="1" t="str">
        <f t="shared" si="0"/>
        <v>Saturday</v>
      </c>
      <c r="I31">
        <v>32</v>
      </c>
      <c r="J31" t="s">
        <v>1</v>
      </c>
      <c r="K31">
        <v>1</v>
      </c>
      <c r="L31">
        <v>0</v>
      </c>
      <c r="M31">
        <v>0</v>
      </c>
      <c r="N31">
        <v>0</v>
      </c>
      <c r="O31">
        <v>0</v>
      </c>
      <c r="P31" t="str">
        <f t="shared" si="1"/>
        <v>Non Chronic</v>
      </c>
      <c r="Q31">
        <v>1</v>
      </c>
      <c r="R31">
        <v>0</v>
      </c>
      <c r="S31" t="s">
        <v>22</v>
      </c>
    </row>
    <row r="32" spans="1:19" x14ac:dyDescent="0.3">
      <c r="A32">
        <v>500031</v>
      </c>
      <c r="B32">
        <v>61876</v>
      </c>
      <c r="C32" t="s">
        <v>4</v>
      </c>
      <c r="D32" t="s">
        <v>25</v>
      </c>
      <c r="E32" s="1">
        <v>46055</v>
      </c>
      <c r="F32" t="s">
        <v>476</v>
      </c>
      <c r="G32" s="1">
        <v>46075</v>
      </c>
      <c r="H32" s="1" t="str">
        <f t="shared" si="0"/>
        <v>Sunday</v>
      </c>
      <c r="I32">
        <v>25</v>
      </c>
      <c r="J32" t="s">
        <v>10</v>
      </c>
      <c r="K32">
        <v>1</v>
      </c>
      <c r="L32">
        <v>0</v>
      </c>
      <c r="M32">
        <v>0</v>
      </c>
      <c r="N32">
        <v>0</v>
      </c>
      <c r="O32">
        <v>0</v>
      </c>
      <c r="P32" t="str">
        <f t="shared" si="1"/>
        <v>Non Chronic</v>
      </c>
      <c r="Q32">
        <v>1</v>
      </c>
      <c r="R32">
        <v>0</v>
      </c>
      <c r="S32" t="s">
        <v>22</v>
      </c>
    </row>
    <row r="33" spans="1:19" x14ac:dyDescent="0.3">
      <c r="A33">
        <v>500032</v>
      </c>
      <c r="B33">
        <v>83792</v>
      </c>
      <c r="C33" t="s">
        <v>4</v>
      </c>
      <c r="D33" t="s">
        <v>58</v>
      </c>
      <c r="E33" s="1">
        <v>46130</v>
      </c>
      <c r="F33" t="s">
        <v>955</v>
      </c>
      <c r="G33" s="1">
        <v>46132</v>
      </c>
      <c r="H33" s="1" t="str">
        <f t="shared" si="0"/>
        <v>Monday</v>
      </c>
      <c r="I33">
        <v>75</v>
      </c>
      <c r="J33" t="s">
        <v>12</v>
      </c>
      <c r="K33">
        <v>0</v>
      </c>
      <c r="L33">
        <v>0</v>
      </c>
      <c r="M33">
        <v>1</v>
      </c>
      <c r="N33">
        <v>0</v>
      </c>
      <c r="O33">
        <v>0</v>
      </c>
      <c r="P33" t="str">
        <f t="shared" si="1"/>
        <v>Chronic</v>
      </c>
      <c r="Q33">
        <v>1</v>
      </c>
      <c r="R33">
        <v>0</v>
      </c>
      <c r="S33" t="s">
        <v>9</v>
      </c>
    </row>
    <row r="34" spans="1:19" x14ac:dyDescent="0.3">
      <c r="A34">
        <v>500033</v>
      </c>
      <c r="B34">
        <v>81200</v>
      </c>
      <c r="C34" t="s">
        <v>8</v>
      </c>
      <c r="D34" t="s">
        <v>36</v>
      </c>
      <c r="E34" s="1">
        <v>46019</v>
      </c>
      <c r="F34" t="s">
        <v>954</v>
      </c>
      <c r="G34" s="1">
        <v>46020</v>
      </c>
      <c r="H34" s="1" t="str">
        <f t="shared" si="0"/>
        <v>Monday</v>
      </c>
      <c r="I34">
        <v>37</v>
      </c>
      <c r="J34" t="s">
        <v>12</v>
      </c>
      <c r="K34">
        <v>1</v>
      </c>
      <c r="L34">
        <v>0</v>
      </c>
      <c r="M34">
        <v>0</v>
      </c>
      <c r="N34">
        <v>0</v>
      </c>
      <c r="O34">
        <v>0</v>
      </c>
      <c r="P34" t="str">
        <f t="shared" si="1"/>
        <v>Non Chronic</v>
      </c>
      <c r="Q34">
        <v>0</v>
      </c>
      <c r="R34">
        <v>1</v>
      </c>
      <c r="S34" t="s">
        <v>22</v>
      </c>
    </row>
    <row r="35" spans="1:19" x14ac:dyDescent="0.3">
      <c r="A35">
        <v>500034</v>
      </c>
      <c r="B35">
        <v>24029</v>
      </c>
      <c r="C35" t="s">
        <v>4</v>
      </c>
      <c r="D35" t="s">
        <v>25</v>
      </c>
      <c r="E35" s="1">
        <v>46126</v>
      </c>
      <c r="F35" t="s">
        <v>192</v>
      </c>
      <c r="G35" s="1">
        <v>46133</v>
      </c>
      <c r="H35" s="1" t="str">
        <f t="shared" si="0"/>
        <v>Tuesday</v>
      </c>
      <c r="I35">
        <v>16</v>
      </c>
      <c r="J35" t="s">
        <v>5</v>
      </c>
      <c r="K35">
        <v>0</v>
      </c>
      <c r="L35">
        <v>0</v>
      </c>
      <c r="M35">
        <v>0</v>
      </c>
      <c r="N35">
        <v>0</v>
      </c>
      <c r="O35">
        <v>0</v>
      </c>
      <c r="P35" t="str">
        <f t="shared" si="1"/>
        <v>Non Chronic</v>
      </c>
      <c r="Q35">
        <v>1</v>
      </c>
      <c r="R35">
        <v>0</v>
      </c>
      <c r="S35" t="s">
        <v>30</v>
      </c>
    </row>
    <row r="36" spans="1:19" x14ac:dyDescent="0.3">
      <c r="A36">
        <v>500035</v>
      </c>
      <c r="B36">
        <v>93130</v>
      </c>
      <c r="C36" t="s">
        <v>8</v>
      </c>
      <c r="D36" t="s">
        <v>7</v>
      </c>
      <c r="E36" s="1">
        <v>46159</v>
      </c>
      <c r="F36" t="s">
        <v>615</v>
      </c>
      <c r="G36" s="1">
        <v>46159</v>
      </c>
      <c r="H36" s="1" t="str">
        <f t="shared" si="0"/>
        <v>Sunday</v>
      </c>
      <c r="I36">
        <v>54</v>
      </c>
      <c r="J36" t="s">
        <v>5</v>
      </c>
      <c r="K36">
        <v>0</v>
      </c>
      <c r="L36">
        <v>1</v>
      </c>
      <c r="M36">
        <v>0</v>
      </c>
      <c r="N36">
        <v>0</v>
      </c>
      <c r="O36">
        <v>0</v>
      </c>
      <c r="P36" t="str">
        <f t="shared" si="1"/>
        <v>Chronic</v>
      </c>
      <c r="Q36">
        <v>0</v>
      </c>
      <c r="R36">
        <v>0</v>
      </c>
      <c r="S36" t="s">
        <v>0</v>
      </c>
    </row>
    <row r="37" spans="1:19" x14ac:dyDescent="0.3">
      <c r="A37">
        <v>500036</v>
      </c>
      <c r="B37">
        <v>44335</v>
      </c>
      <c r="C37" t="s">
        <v>4</v>
      </c>
      <c r="D37" t="s">
        <v>7</v>
      </c>
      <c r="E37" s="1">
        <v>46047</v>
      </c>
      <c r="F37" t="s">
        <v>953</v>
      </c>
      <c r="G37" s="1">
        <v>46057</v>
      </c>
      <c r="H37" s="1" t="str">
        <f t="shared" si="0"/>
        <v>Wednesday</v>
      </c>
      <c r="I37">
        <v>13</v>
      </c>
      <c r="J37" t="s">
        <v>12</v>
      </c>
      <c r="K37">
        <v>0</v>
      </c>
      <c r="L37">
        <v>0</v>
      </c>
      <c r="M37">
        <v>0</v>
      </c>
      <c r="N37">
        <v>0</v>
      </c>
      <c r="O37">
        <v>0</v>
      </c>
      <c r="P37" t="str">
        <f t="shared" si="1"/>
        <v>Non Chronic</v>
      </c>
      <c r="Q37">
        <v>1</v>
      </c>
      <c r="R37">
        <v>1</v>
      </c>
      <c r="S37" t="s">
        <v>30</v>
      </c>
    </row>
    <row r="38" spans="1:19" x14ac:dyDescent="0.3">
      <c r="A38">
        <v>500037</v>
      </c>
      <c r="B38">
        <v>29536</v>
      </c>
      <c r="C38" t="s">
        <v>4</v>
      </c>
      <c r="D38" t="s">
        <v>19</v>
      </c>
      <c r="E38" s="1">
        <v>46042</v>
      </c>
      <c r="F38" t="s">
        <v>830</v>
      </c>
      <c r="G38" s="1">
        <v>46045</v>
      </c>
      <c r="H38" s="1" t="str">
        <f t="shared" si="0"/>
        <v>Friday</v>
      </c>
      <c r="I38">
        <v>42</v>
      </c>
      <c r="J38" t="s">
        <v>1</v>
      </c>
      <c r="K38">
        <v>0</v>
      </c>
      <c r="L38">
        <v>0</v>
      </c>
      <c r="M38">
        <v>0</v>
      </c>
      <c r="N38">
        <v>1</v>
      </c>
      <c r="O38">
        <v>0</v>
      </c>
      <c r="P38" t="str">
        <f t="shared" si="1"/>
        <v>Non Chronic</v>
      </c>
      <c r="Q38">
        <v>0</v>
      </c>
      <c r="R38">
        <v>0</v>
      </c>
      <c r="S38" t="s">
        <v>0</v>
      </c>
    </row>
    <row r="39" spans="1:19" x14ac:dyDescent="0.3">
      <c r="A39">
        <v>500038</v>
      </c>
      <c r="B39">
        <v>15229</v>
      </c>
      <c r="C39" t="s">
        <v>8</v>
      </c>
      <c r="D39" t="s">
        <v>14</v>
      </c>
      <c r="E39" s="1">
        <v>46162</v>
      </c>
      <c r="F39" t="s">
        <v>730</v>
      </c>
      <c r="G39" s="1">
        <v>46172</v>
      </c>
      <c r="H39" s="1" t="str">
        <f t="shared" si="0"/>
        <v>Saturday</v>
      </c>
      <c r="I39">
        <v>0</v>
      </c>
      <c r="J39" t="s">
        <v>45</v>
      </c>
      <c r="K39">
        <v>0</v>
      </c>
      <c r="L39">
        <v>0</v>
      </c>
      <c r="M39">
        <v>0</v>
      </c>
      <c r="N39">
        <v>0</v>
      </c>
      <c r="O39">
        <v>0</v>
      </c>
      <c r="P39" t="str">
        <f t="shared" si="1"/>
        <v>Non Chronic</v>
      </c>
      <c r="Q39">
        <v>1</v>
      </c>
      <c r="R39">
        <v>0</v>
      </c>
      <c r="S39" t="s">
        <v>30</v>
      </c>
    </row>
    <row r="40" spans="1:19" x14ac:dyDescent="0.3">
      <c r="A40">
        <v>500039</v>
      </c>
      <c r="B40">
        <v>63264</v>
      </c>
      <c r="C40" t="s">
        <v>4</v>
      </c>
      <c r="D40" t="s">
        <v>14</v>
      </c>
      <c r="E40" s="1">
        <v>46013</v>
      </c>
      <c r="F40" t="s">
        <v>94</v>
      </c>
      <c r="G40" s="1">
        <v>46043</v>
      </c>
      <c r="H40" s="1" t="str">
        <f t="shared" si="0"/>
        <v>Wednesday</v>
      </c>
      <c r="I40">
        <v>11</v>
      </c>
      <c r="J40" t="s">
        <v>31</v>
      </c>
      <c r="K40">
        <v>0</v>
      </c>
      <c r="L40">
        <v>0</v>
      </c>
      <c r="M40">
        <v>0</v>
      </c>
      <c r="N40">
        <v>0</v>
      </c>
      <c r="O40">
        <v>0</v>
      </c>
      <c r="P40" t="str">
        <f t="shared" si="1"/>
        <v>Non Chronic</v>
      </c>
      <c r="Q40">
        <v>0</v>
      </c>
      <c r="R40">
        <v>0</v>
      </c>
      <c r="S40" t="s">
        <v>30</v>
      </c>
    </row>
    <row r="41" spans="1:19" x14ac:dyDescent="0.3">
      <c r="A41">
        <v>500040</v>
      </c>
      <c r="B41">
        <v>13248</v>
      </c>
      <c r="C41" t="s">
        <v>4</v>
      </c>
      <c r="D41" t="s">
        <v>19</v>
      </c>
      <c r="E41" s="1">
        <v>46138</v>
      </c>
      <c r="F41" t="s">
        <v>482</v>
      </c>
      <c r="G41" s="1">
        <v>46139</v>
      </c>
      <c r="H41" s="1" t="str">
        <f t="shared" si="0"/>
        <v>Monday</v>
      </c>
      <c r="I41">
        <v>41</v>
      </c>
      <c r="J41" t="s">
        <v>23</v>
      </c>
      <c r="K41">
        <v>0</v>
      </c>
      <c r="L41">
        <v>0</v>
      </c>
      <c r="M41">
        <v>0</v>
      </c>
      <c r="N41">
        <v>0</v>
      </c>
      <c r="O41">
        <v>0</v>
      </c>
      <c r="P41" t="str">
        <f t="shared" si="1"/>
        <v>Non Chronic</v>
      </c>
      <c r="Q41">
        <v>0</v>
      </c>
      <c r="R41">
        <v>0</v>
      </c>
      <c r="S41" t="s">
        <v>0</v>
      </c>
    </row>
    <row r="42" spans="1:19" x14ac:dyDescent="0.3">
      <c r="A42">
        <v>500041</v>
      </c>
      <c r="B42">
        <v>39154</v>
      </c>
      <c r="C42" t="s">
        <v>4</v>
      </c>
      <c r="D42" t="s">
        <v>7</v>
      </c>
      <c r="E42" s="1">
        <v>46120</v>
      </c>
      <c r="F42" t="s">
        <v>545</v>
      </c>
      <c r="G42" s="1">
        <v>46127</v>
      </c>
      <c r="H42" s="1" t="str">
        <f t="shared" si="0"/>
        <v>Wednesday</v>
      </c>
      <c r="I42">
        <v>52</v>
      </c>
      <c r="J42" t="s">
        <v>20</v>
      </c>
      <c r="K42">
        <v>1</v>
      </c>
      <c r="L42">
        <v>0</v>
      </c>
      <c r="M42">
        <v>0</v>
      </c>
      <c r="N42">
        <v>0</v>
      </c>
      <c r="O42">
        <v>0</v>
      </c>
      <c r="P42" t="str">
        <f t="shared" si="1"/>
        <v>Non Chronic</v>
      </c>
      <c r="Q42">
        <v>1</v>
      </c>
      <c r="R42">
        <v>0</v>
      </c>
      <c r="S42" t="s">
        <v>0</v>
      </c>
    </row>
    <row r="43" spans="1:19" x14ac:dyDescent="0.3">
      <c r="A43">
        <v>500042</v>
      </c>
      <c r="B43">
        <v>19099</v>
      </c>
      <c r="C43" t="s">
        <v>8</v>
      </c>
      <c r="D43" t="s">
        <v>19</v>
      </c>
      <c r="E43" s="1">
        <v>46022</v>
      </c>
      <c r="F43" t="s">
        <v>275</v>
      </c>
      <c r="G43" s="1">
        <v>46025</v>
      </c>
      <c r="H43" s="1" t="str">
        <f t="shared" si="0"/>
        <v>Saturday</v>
      </c>
      <c r="I43">
        <v>41</v>
      </c>
      <c r="J43" t="s">
        <v>12</v>
      </c>
      <c r="K43">
        <v>1</v>
      </c>
      <c r="L43">
        <v>0</v>
      </c>
      <c r="M43">
        <v>0</v>
      </c>
      <c r="N43">
        <v>0</v>
      </c>
      <c r="O43">
        <v>0</v>
      </c>
      <c r="P43" t="str">
        <f t="shared" si="1"/>
        <v>Non Chronic</v>
      </c>
      <c r="Q43">
        <v>1</v>
      </c>
      <c r="R43">
        <v>0</v>
      </c>
      <c r="S43" t="s">
        <v>0</v>
      </c>
    </row>
    <row r="44" spans="1:19" x14ac:dyDescent="0.3">
      <c r="A44">
        <v>500043</v>
      </c>
      <c r="B44">
        <v>44237</v>
      </c>
      <c r="C44" t="s">
        <v>4</v>
      </c>
      <c r="D44" t="s">
        <v>25</v>
      </c>
      <c r="E44" s="1">
        <v>46159</v>
      </c>
      <c r="F44" t="s">
        <v>759</v>
      </c>
      <c r="G44" s="1">
        <v>46162</v>
      </c>
      <c r="H44" s="1" t="str">
        <f t="shared" si="0"/>
        <v>Wednesday</v>
      </c>
      <c r="I44">
        <v>35</v>
      </c>
      <c r="J44" t="s">
        <v>17</v>
      </c>
      <c r="K44">
        <v>0</v>
      </c>
      <c r="L44">
        <v>0</v>
      </c>
      <c r="M44">
        <v>0</v>
      </c>
      <c r="N44">
        <v>0</v>
      </c>
      <c r="O44">
        <v>0</v>
      </c>
      <c r="P44" t="str">
        <f t="shared" si="1"/>
        <v>Non Chronic</v>
      </c>
      <c r="Q44">
        <v>0</v>
      </c>
      <c r="R44">
        <v>0</v>
      </c>
      <c r="S44" t="s">
        <v>22</v>
      </c>
    </row>
    <row r="45" spans="1:19" x14ac:dyDescent="0.3">
      <c r="A45">
        <v>500044</v>
      </c>
      <c r="B45">
        <v>77033</v>
      </c>
      <c r="C45" t="s">
        <v>4</v>
      </c>
      <c r="D45" t="s">
        <v>3</v>
      </c>
      <c r="E45" s="1">
        <v>45986</v>
      </c>
      <c r="F45" t="s">
        <v>952</v>
      </c>
      <c r="G45" s="1">
        <v>45996</v>
      </c>
      <c r="H45" s="1" t="str">
        <f t="shared" si="0"/>
        <v>Friday</v>
      </c>
      <c r="I45">
        <v>31</v>
      </c>
      <c r="J45" t="s">
        <v>1</v>
      </c>
      <c r="K45">
        <v>0</v>
      </c>
      <c r="L45">
        <v>0</v>
      </c>
      <c r="M45">
        <v>0</v>
      </c>
      <c r="N45">
        <v>0</v>
      </c>
      <c r="O45">
        <v>0</v>
      </c>
      <c r="P45" t="str">
        <f t="shared" si="1"/>
        <v>Non Chronic</v>
      </c>
      <c r="Q45">
        <v>1</v>
      </c>
      <c r="R45">
        <v>0</v>
      </c>
      <c r="S45" t="s">
        <v>22</v>
      </c>
    </row>
    <row r="46" spans="1:19" x14ac:dyDescent="0.3">
      <c r="A46">
        <v>500045</v>
      </c>
      <c r="B46">
        <v>80575</v>
      </c>
      <c r="C46" t="s">
        <v>4</v>
      </c>
      <c r="D46" t="s">
        <v>19</v>
      </c>
      <c r="E46" s="1">
        <v>46064</v>
      </c>
      <c r="F46" t="s">
        <v>593</v>
      </c>
      <c r="G46" s="1">
        <v>46064</v>
      </c>
      <c r="H46" s="1" t="str">
        <f t="shared" si="0"/>
        <v>Wednesday</v>
      </c>
      <c r="I46">
        <v>8</v>
      </c>
      <c r="J46" t="s">
        <v>23</v>
      </c>
      <c r="K46">
        <v>0</v>
      </c>
      <c r="L46">
        <v>0</v>
      </c>
      <c r="M46">
        <v>0</v>
      </c>
      <c r="N46">
        <v>0</v>
      </c>
      <c r="O46">
        <v>0</v>
      </c>
      <c r="P46" t="str">
        <f t="shared" si="1"/>
        <v>Non Chronic</v>
      </c>
      <c r="Q46">
        <v>1</v>
      </c>
      <c r="R46">
        <v>0</v>
      </c>
      <c r="S46" t="s">
        <v>30</v>
      </c>
    </row>
    <row r="47" spans="1:19" x14ac:dyDescent="0.3">
      <c r="A47">
        <v>500046</v>
      </c>
      <c r="B47">
        <v>51145</v>
      </c>
      <c r="C47" t="s">
        <v>4</v>
      </c>
      <c r="D47" t="s">
        <v>25</v>
      </c>
      <c r="E47" s="1">
        <v>46098</v>
      </c>
      <c r="F47" t="s">
        <v>780</v>
      </c>
      <c r="G47" s="1">
        <v>46101</v>
      </c>
      <c r="H47" s="1" t="str">
        <f t="shared" si="0"/>
        <v>Friday</v>
      </c>
      <c r="I47">
        <v>23</v>
      </c>
      <c r="J47" t="s">
        <v>12</v>
      </c>
      <c r="K47">
        <v>1</v>
      </c>
      <c r="L47">
        <v>0</v>
      </c>
      <c r="M47">
        <v>0</v>
      </c>
      <c r="N47">
        <v>0</v>
      </c>
      <c r="O47">
        <v>0</v>
      </c>
      <c r="P47" t="str">
        <f t="shared" si="1"/>
        <v>Non Chronic</v>
      </c>
      <c r="Q47">
        <v>1</v>
      </c>
      <c r="R47">
        <v>0</v>
      </c>
      <c r="S47" t="s">
        <v>22</v>
      </c>
    </row>
    <row r="48" spans="1:19" x14ac:dyDescent="0.3">
      <c r="A48">
        <v>500047</v>
      </c>
      <c r="B48">
        <v>35144</v>
      </c>
      <c r="C48" t="s">
        <v>8</v>
      </c>
      <c r="D48" t="s">
        <v>3</v>
      </c>
      <c r="E48" s="1">
        <v>46039</v>
      </c>
      <c r="F48" t="s">
        <v>951</v>
      </c>
      <c r="G48" s="1">
        <v>46054</v>
      </c>
      <c r="H48" s="1" t="str">
        <f t="shared" si="0"/>
        <v>Sunday</v>
      </c>
      <c r="I48">
        <v>28</v>
      </c>
      <c r="J48" t="s">
        <v>31</v>
      </c>
      <c r="K48">
        <v>1</v>
      </c>
      <c r="L48">
        <v>0</v>
      </c>
      <c r="M48">
        <v>0</v>
      </c>
      <c r="N48">
        <v>0</v>
      </c>
      <c r="O48">
        <v>0</v>
      </c>
      <c r="P48" t="str">
        <f t="shared" si="1"/>
        <v>Non Chronic</v>
      </c>
      <c r="Q48">
        <v>1</v>
      </c>
      <c r="R48">
        <v>1</v>
      </c>
      <c r="S48" t="s">
        <v>22</v>
      </c>
    </row>
    <row r="49" spans="1:19" x14ac:dyDescent="0.3">
      <c r="A49">
        <v>500048</v>
      </c>
      <c r="B49">
        <v>86019</v>
      </c>
      <c r="C49" t="s">
        <v>8</v>
      </c>
      <c r="D49" t="s">
        <v>7</v>
      </c>
      <c r="E49" s="1">
        <v>46108</v>
      </c>
      <c r="F49" t="s">
        <v>950</v>
      </c>
      <c r="G49" s="1">
        <v>46118</v>
      </c>
      <c r="H49" s="1" t="str">
        <f t="shared" si="0"/>
        <v>Monday</v>
      </c>
      <c r="I49">
        <v>59</v>
      </c>
      <c r="J49" t="s">
        <v>10</v>
      </c>
      <c r="K49">
        <v>1</v>
      </c>
      <c r="L49">
        <v>0</v>
      </c>
      <c r="M49">
        <v>0</v>
      </c>
      <c r="N49">
        <v>0</v>
      </c>
      <c r="O49">
        <v>0</v>
      </c>
      <c r="P49" t="str">
        <f t="shared" si="1"/>
        <v>Non Chronic</v>
      </c>
      <c r="Q49">
        <v>1</v>
      </c>
      <c r="R49">
        <v>0</v>
      </c>
      <c r="S49" t="s">
        <v>0</v>
      </c>
    </row>
    <row r="50" spans="1:19" x14ac:dyDescent="0.3">
      <c r="A50">
        <v>500049</v>
      </c>
      <c r="B50">
        <v>97012</v>
      </c>
      <c r="C50" t="s">
        <v>8</v>
      </c>
      <c r="D50" t="s">
        <v>58</v>
      </c>
      <c r="E50" s="1">
        <v>46072</v>
      </c>
      <c r="F50" t="s">
        <v>949</v>
      </c>
      <c r="G50" s="1">
        <v>46072</v>
      </c>
      <c r="H50" s="1" t="str">
        <f t="shared" si="0"/>
        <v>Thursday</v>
      </c>
      <c r="I50">
        <v>44</v>
      </c>
      <c r="J50" t="s">
        <v>45</v>
      </c>
      <c r="K50">
        <v>1</v>
      </c>
      <c r="L50">
        <v>0</v>
      </c>
      <c r="M50">
        <v>0</v>
      </c>
      <c r="N50">
        <v>0</v>
      </c>
      <c r="O50">
        <v>0</v>
      </c>
      <c r="P50" t="str">
        <f t="shared" si="1"/>
        <v>Non Chronic</v>
      </c>
      <c r="Q50">
        <v>1</v>
      </c>
      <c r="R50">
        <v>0</v>
      </c>
      <c r="S50" t="s">
        <v>0</v>
      </c>
    </row>
    <row r="51" spans="1:19" x14ac:dyDescent="0.3">
      <c r="A51">
        <v>500050</v>
      </c>
      <c r="B51">
        <v>19545</v>
      </c>
      <c r="C51" t="s">
        <v>8</v>
      </c>
      <c r="D51" t="s">
        <v>3</v>
      </c>
      <c r="E51" s="1">
        <v>46117</v>
      </c>
      <c r="F51" t="s">
        <v>409</v>
      </c>
      <c r="G51" s="1">
        <v>46119</v>
      </c>
      <c r="H51" s="1" t="str">
        <f t="shared" si="0"/>
        <v>Tuesday</v>
      </c>
      <c r="I51">
        <v>2</v>
      </c>
      <c r="J51" t="s">
        <v>1</v>
      </c>
      <c r="K51">
        <v>0</v>
      </c>
      <c r="L51">
        <v>0</v>
      </c>
      <c r="M51">
        <v>0</v>
      </c>
      <c r="N51">
        <v>0</v>
      </c>
      <c r="O51">
        <v>0</v>
      </c>
      <c r="P51" t="str">
        <f t="shared" si="1"/>
        <v>Non Chronic</v>
      </c>
      <c r="Q51">
        <v>1</v>
      </c>
      <c r="R51">
        <v>0</v>
      </c>
      <c r="S51" t="s">
        <v>30</v>
      </c>
    </row>
    <row r="52" spans="1:19" x14ac:dyDescent="0.3">
      <c r="A52">
        <v>500051</v>
      </c>
      <c r="B52">
        <v>41979</v>
      </c>
      <c r="C52" t="s">
        <v>4</v>
      </c>
      <c r="D52" t="s">
        <v>36</v>
      </c>
      <c r="E52" s="1">
        <v>46071</v>
      </c>
      <c r="F52" t="s">
        <v>403</v>
      </c>
      <c r="G52" s="1">
        <v>46081</v>
      </c>
      <c r="H52" s="1" t="str">
        <f t="shared" si="0"/>
        <v>Saturday</v>
      </c>
      <c r="I52">
        <v>44</v>
      </c>
      <c r="J52" t="s">
        <v>15</v>
      </c>
      <c r="K52">
        <v>1</v>
      </c>
      <c r="L52">
        <v>0</v>
      </c>
      <c r="M52">
        <v>1</v>
      </c>
      <c r="N52">
        <v>0</v>
      </c>
      <c r="O52">
        <v>0</v>
      </c>
      <c r="P52" t="str">
        <f t="shared" si="1"/>
        <v>Chronic</v>
      </c>
      <c r="Q52">
        <v>1</v>
      </c>
      <c r="R52">
        <v>0</v>
      </c>
      <c r="S52" t="s">
        <v>0</v>
      </c>
    </row>
    <row r="53" spans="1:19" x14ac:dyDescent="0.3">
      <c r="A53">
        <v>500052</v>
      </c>
      <c r="B53">
        <v>25906</v>
      </c>
      <c r="C53" t="s">
        <v>8</v>
      </c>
      <c r="D53" t="s">
        <v>28</v>
      </c>
      <c r="E53" s="1">
        <v>46128</v>
      </c>
      <c r="F53" t="s">
        <v>948</v>
      </c>
      <c r="G53" s="1">
        <v>46148</v>
      </c>
      <c r="H53" s="1" t="str">
        <f t="shared" si="0"/>
        <v>Wednesday</v>
      </c>
      <c r="I53">
        <v>30</v>
      </c>
      <c r="J53" t="s">
        <v>10</v>
      </c>
      <c r="K53">
        <v>1</v>
      </c>
      <c r="L53">
        <v>0</v>
      </c>
      <c r="M53">
        <v>0</v>
      </c>
      <c r="N53">
        <v>0</v>
      </c>
      <c r="O53">
        <v>0</v>
      </c>
      <c r="P53" t="str">
        <f t="shared" si="1"/>
        <v>Non Chronic</v>
      </c>
      <c r="Q53">
        <v>1</v>
      </c>
      <c r="R53">
        <v>0</v>
      </c>
      <c r="S53" t="s">
        <v>22</v>
      </c>
    </row>
    <row r="54" spans="1:19" x14ac:dyDescent="0.3">
      <c r="A54">
        <v>500053</v>
      </c>
      <c r="B54">
        <v>76162</v>
      </c>
      <c r="C54" t="s">
        <v>8</v>
      </c>
      <c r="D54" t="s">
        <v>7</v>
      </c>
      <c r="E54" s="1">
        <v>46050</v>
      </c>
      <c r="F54" t="s">
        <v>624</v>
      </c>
      <c r="G54" s="1">
        <v>46060</v>
      </c>
      <c r="H54" s="1" t="str">
        <f t="shared" si="0"/>
        <v>Saturday</v>
      </c>
      <c r="I54">
        <v>24</v>
      </c>
      <c r="J54" t="s">
        <v>31</v>
      </c>
      <c r="K54">
        <v>1</v>
      </c>
      <c r="L54">
        <v>0</v>
      </c>
      <c r="M54">
        <v>0</v>
      </c>
      <c r="N54">
        <v>0</v>
      </c>
      <c r="O54">
        <v>0</v>
      </c>
      <c r="P54" t="str">
        <f t="shared" si="1"/>
        <v>Non Chronic</v>
      </c>
      <c r="Q54">
        <v>0</v>
      </c>
      <c r="R54">
        <v>1</v>
      </c>
      <c r="S54" t="s">
        <v>22</v>
      </c>
    </row>
    <row r="55" spans="1:19" x14ac:dyDescent="0.3">
      <c r="A55">
        <v>500054</v>
      </c>
      <c r="B55">
        <v>78327</v>
      </c>
      <c r="C55" t="s">
        <v>8</v>
      </c>
      <c r="D55" t="s">
        <v>14</v>
      </c>
      <c r="E55" s="1">
        <v>46147</v>
      </c>
      <c r="F55" t="s">
        <v>947</v>
      </c>
      <c r="G55" s="1">
        <v>46150</v>
      </c>
      <c r="H55" s="1" t="str">
        <f t="shared" si="0"/>
        <v>Friday</v>
      </c>
      <c r="I55">
        <v>50</v>
      </c>
      <c r="J55" t="s">
        <v>5</v>
      </c>
      <c r="K55">
        <v>1</v>
      </c>
      <c r="L55">
        <v>1</v>
      </c>
      <c r="M55">
        <v>0</v>
      </c>
      <c r="N55">
        <v>0</v>
      </c>
      <c r="O55">
        <v>0</v>
      </c>
      <c r="P55" t="str">
        <f t="shared" si="1"/>
        <v>Chronic</v>
      </c>
      <c r="Q55">
        <v>1</v>
      </c>
      <c r="R55">
        <v>1</v>
      </c>
      <c r="S55" t="s">
        <v>0</v>
      </c>
    </row>
    <row r="56" spans="1:19" x14ac:dyDescent="0.3">
      <c r="A56">
        <v>500055</v>
      </c>
      <c r="B56">
        <v>40311</v>
      </c>
      <c r="C56" t="s">
        <v>8</v>
      </c>
      <c r="D56" t="s">
        <v>28</v>
      </c>
      <c r="E56" s="1">
        <v>46089</v>
      </c>
      <c r="F56" t="s">
        <v>946</v>
      </c>
      <c r="G56" s="1">
        <v>46104</v>
      </c>
      <c r="H56" s="1" t="str">
        <f t="shared" si="0"/>
        <v>Monday</v>
      </c>
      <c r="I56">
        <v>58</v>
      </c>
      <c r="J56" t="s">
        <v>45</v>
      </c>
      <c r="K56">
        <v>0</v>
      </c>
      <c r="L56">
        <v>0</v>
      </c>
      <c r="M56">
        <v>0</v>
      </c>
      <c r="N56">
        <v>0</v>
      </c>
      <c r="O56">
        <v>0</v>
      </c>
      <c r="P56" t="str">
        <f t="shared" si="1"/>
        <v>Non Chronic</v>
      </c>
      <c r="Q56">
        <v>1</v>
      </c>
      <c r="R56">
        <v>0</v>
      </c>
      <c r="S56" t="s">
        <v>0</v>
      </c>
    </row>
    <row r="57" spans="1:19" x14ac:dyDescent="0.3">
      <c r="A57">
        <v>500056</v>
      </c>
      <c r="B57">
        <v>12560</v>
      </c>
      <c r="C57" t="s">
        <v>8</v>
      </c>
      <c r="D57" t="s">
        <v>7</v>
      </c>
      <c r="E57" s="1">
        <v>46021</v>
      </c>
      <c r="F57" t="s">
        <v>945</v>
      </c>
      <c r="G57" s="1">
        <v>46026</v>
      </c>
      <c r="H57" s="1" t="str">
        <f t="shared" si="0"/>
        <v>Sunday</v>
      </c>
      <c r="I57">
        <v>56</v>
      </c>
      <c r="J57" t="s">
        <v>17</v>
      </c>
      <c r="K57">
        <v>1</v>
      </c>
      <c r="L57">
        <v>1</v>
      </c>
      <c r="M57">
        <v>0</v>
      </c>
      <c r="N57">
        <v>0</v>
      </c>
      <c r="O57">
        <v>0</v>
      </c>
      <c r="P57" t="str">
        <f t="shared" si="1"/>
        <v>Chronic</v>
      </c>
      <c r="Q57">
        <v>0</v>
      </c>
      <c r="R57">
        <v>0</v>
      </c>
      <c r="S57" t="s">
        <v>0</v>
      </c>
    </row>
    <row r="58" spans="1:19" x14ac:dyDescent="0.3">
      <c r="A58">
        <v>500057</v>
      </c>
      <c r="B58">
        <v>38906</v>
      </c>
      <c r="C58" t="s">
        <v>8</v>
      </c>
      <c r="D58" t="s">
        <v>14</v>
      </c>
      <c r="E58" s="1">
        <v>46031</v>
      </c>
      <c r="F58" t="s">
        <v>944</v>
      </c>
      <c r="G58" s="1">
        <v>46034</v>
      </c>
      <c r="H58" s="1" t="str">
        <f t="shared" si="0"/>
        <v>Monday</v>
      </c>
      <c r="I58">
        <v>21</v>
      </c>
      <c r="J58" t="s">
        <v>5</v>
      </c>
      <c r="K58">
        <v>1</v>
      </c>
      <c r="L58">
        <v>0</v>
      </c>
      <c r="M58">
        <v>0</v>
      </c>
      <c r="N58">
        <v>0</v>
      </c>
      <c r="O58">
        <v>0</v>
      </c>
      <c r="P58" t="str">
        <f t="shared" si="1"/>
        <v>Non Chronic</v>
      </c>
      <c r="Q58">
        <v>1</v>
      </c>
      <c r="R58">
        <v>0</v>
      </c>
      <c r="S58" t="s">
        <v>22</v>
      </c>
    </row>
    <row r="59" spans="1:19" x14ac:dyDescent="0.3">
      <c r="A59">
        <v>500058</v>
      </c>
      <c r="B59">
        <v>31632</v>
      </c>
      <c r="C59" t="s">
        <v>8</v>
      </c>
      <c r="D59" t="s">
        <v>28</v>
      </c>
      <c r="E59" s="1">
        <v>46052</v>
      </c>
      <c r="F59" t="s">
        <v>387</v>
      </c>
      <c r="G59" s="1">
        <v>46059</v>
      </c>
      <c r="H59" s="1" t="str">
        <f t="shared" si="0"/>
        <v>Friday</v>
      </c>
      <c r="I59">
        <v>31</v>
      </c>
      <c r="J59" t="s">
        <v>1</v>
      </c>
      <c r="K59">
        <v>0</v>
      </c>
      <c r="L59">
        <v>0</v>
      </c>
      <c r="M59">
        <v>0</v>
      </c>
      <c r="N59">
        <v>0</v>
      </c>
      <c r="O59">
        <v>0</v>
      </c>
      <c r="P59" t="str">
        <f t="shared" si="1"/>
        <v>Non Chronic</v>
      </c>
      <c r="Q59">
        <v>1</v>
      </c>
      <c r="R59">
        <v>1</v>
      </c>
      <c r="S59" t="s">
        <v>22</v>
      </c>
    </row>
    <row r="60" spans="1:19" x14ac:dyDescent="0.3">
      <c r="A60">
        <v>500059</v>
      </c>
      <c r="B60">
        <v>66179</v>
      </c>
      <c r="C60" t="s">
        <v>4</v>
      </c>
      <c r="D60" t="s">
        <v>7</v>
      </c>
      <c r="E60" s="1">
        <v>46096</v>
      </c>
      <c r="F60" t="s">
        <v>581</v>
      </c>
      <c r="G60" s="1">
        <v>46101</v>
      </c>
      <c r="H60" s="1" t="str">
        <f t="shared" si="0"/>
        <v>Friday</v>
      </c>
      <c r="I60">
        <v>44</v>
      </c>
      <c r="J60" t="s">
        <v>31</v>
      </c>
      <c r="K60">
        <v>0</v>
      </c>
      <c r="L60">
        <v>0</v>
      </c>
      <c r="M60">
        <v>0</v>
      </c>
      <c r="N60">
        <v>0</v>
      </c>
      <c r="O60">
        <v>0</v>
      </c>
      <c r="P60" t="str">
        <f t="shared" si="1"/>
        <v>Non Chronic</v>
      </c>
      <c r="Q60">
        <v>1</v>
      </c>
      <c r="R60">
        <v>0</v>
      </c>
      <c r="S60" t="s">
        <v>0</v>
      </c>
    </row>
    <row r="61" spans="1:19" x14ac:dyDescent="0.3">
      <c r="A61">
        <v>500060</v>
      </c>
      <c r="B61">
        <v>46471</v>
      </c>
      <c r="C61" t="s">
        <v>8</v>
      </c>
      <c r="D61" t="s">
        <v>25</v>
      </c>
      <c r="E61" s="1">
        <v>46059</v>
      </c>
      <c r="F61" t="s">
        <v>282</v>
      </c>
      <c r="G61" s="1">
        <v>46066</v>
      </c>
      <c r="H61" s="1" t="str">
        <f t="shared" si="0"/>
        <v>Friday</v>
      </c>
      <c r="I61">
        <v>57</v>
      </c>
      <c r="J61" t="s">
        <v>15</v>
      </c>
      <c r="K61">
        <v>1</v>
      </c>
      <c r="L61">
        <v>1</v>
      </c>
      <c r="M61">
        <v>0</v>
      </c>
      <c r="N61">
        <v>0</v>
      </c>
      <c r="O61">
        <v>0</v>
      </c>
      <c r="P61" t="str">
        <f t="shared" si="1"/>
        <v>Chronic</v>
      </c>
      <c r="Q61">
        <v>0</v>
      </c>
      <c r="R61">
        <v>0</v>
      </c>
      <c r="S61" t="s">
        <v>0</v>
      </c>
    </row>
    <row r="62" spans="1:19" x14ac:dyDescent="0.3">
      <c r="A62">
        <v>500061</v>
      </c>
      <c r="B62">
        <v>14067</v>
      </c>
      <c r="C62" t="s">
        <v>4</v>
      </c>
      <c r="D62" t="s">
        <v>14</v>
      </c>
      <c r="E62" s="1">
        <v>46041</v>
      </c>
      <c r="F62" t="s">
        <v>943</v>
      </c>
      <c r="G62" s="1">
        <v>46046</v>
      </c>
      <c r="H62" s="1" t="str">
        <f t="shared" si="0"/>
        <v>Saturday</v>
      </c>
      <c r="I62">
        <v>28</v>
      </c>
      <c r="J62" t="s">
        <v>17</v>
      </c>
      <c r="K62">
        <v>0</v>
      </c>
      <c r="L62">
        <v>0</v>
      </c>
      <c r="M62">
        <v>0</v>
      </c>
      <c r="N62">
        <v>0</v>
      </c>
      <c r="O62">
        <v>0</v>
      </c>
      <c r="P62" t="str">
        <f t="shared" si="1"/>
        <v>Non Chronic</v>
      </c>
      <c r="Q62">
        <v>1</v>
      </c>
      <c r="R62">
        <v>0</v>
      </c>
      <c r="S62" t="s">
        <v>22</v>
      </c>
    </row>
    <row r="63" spans="1:19" x14ac:dyDescent="0.3">
      <c r="A63">
        <v>500062</v>
      </c>
      <c r="B63">
        <v>70952</v>
      </c>
      <c r="C63" t="s">
        <v>8</v>
      </c>
      <c r="D63" t="s">
        <v>19</v>
      </c>
      <c r="E63" s="1">
        <v>46057</v>
      </c>
      <c r="F63" t="s">
        <v>880</v>
      </c>
      <c r="G63" s="1">
        <v>46058</v>
      </c>
      <c r="H63" s="1" t="str">
        <f t="shared" si="0"/>
        <v>Thursday</v>
      </c>
      <c r="I63">
        <v>34</v>
      </c>
      <c r="J63" t="s">
        <v>31</v>
      </c>
      <c r="K63">
        <v>0</v>
      </c>
      <c r="L63">
        <v>0</v>
      </c>
      <c r="M63">
        <v>0</v>
      </c>
      <c r="N63">
        <v>0</v>
      </c>
      <c r="O63">
        <v>0</v>
      </c>
      <c r="P63" t="str">
        <f t="shared" si="1"/>
        <v>Non Chronic</v>
      </c>
      <c r="Q63">
        <v>1</v>
      </c>
      <c r="R63">
        <v>0</v>
      </c>
      <c r="S63" t="s">
        <v>22</v>
      </c>
    </row>
    <row r="64" spans="1:19" x14ac:dyDescent="0.3">
      <c r="A64">
        <v>500063</v>
      </c>
      <c r="B64">
        <v>50888</v>
      </c>
      <c r="C64" t="s">
        <v>8</v>
      </c>
      <c r="D64" t="s">
        <v>3</v>
      </c>
      <c r="E64" s="1">
        <v>46158</v>
      </c>
      <c r="F64" t="s">
        <v>889</v>
      </c>
      <c r="G64" s="1">
        <v>46158</v>
      </c>
      <c r="H64" s="1" t="str">
        <f t="shared" si="0"/>
        <v>Saturday</v>
      </c>
      <c r="I64">
        <v>15</v>
      </c>
      <c r="J64" t="s">
        <v>45</v>
      </c>
      <c r="K64">
        <v>0</v>
      </c>
      <c r="L64">
        <v>0</v>
      </c>
      <c r="M64">
        <v>0</v>
      </c>
      <c r="N64">
        <v>0</v>
      </c>
      <c r="O64">
        <v>0</v>
      </c>
      <c r="P64" t="str">
        <f t="shared" si="1"/>
        <v>Non Chronic</v>
      </c>
      <c r="Q64">
        <v>1</v>
      </c>
      <c r="R64">
        <v>0</v>
      </c>
      <c r="S64" t="s">
        <v>30</v>
      </c>
    </row>
    <row r="65" spans="1:19" x14ac:dyDescent="0.3">
      <c r="A65">
        <v>500064</v>
      </c>
      <c r="B65">
        <v>23356</v>
      </c>
      <c r="C65" t="s">
        <v>8</v>
      </c>
      <c r="D65" t="s">
        <v>58</v>
      </c>
      <c r="E65" s="1">
        <v>46126</v>
      </c>
      <c r="F65" t="s">
        <v>173</v>
      </c>
      <c r="G65" s="1">
        <v>46141</v>
      </c>
      <c r="H65" s="1" t="str">
        <f t="shared" si="0"/>
        <v>Wednesday</v>
      </c>
      <c r="I65">
        <v>14</v>
      </c>
      <c r="J65" t="s">
        <v>1</v>
      </c>
      <c r="K65">
        <v>0</v>
      </c>
      <c r="L65">
        <v>0</v>
      </c>
      <c r="M65">
        <v>0</v>
      </c>
      <c r="N65">
        <v>0</v>
      </c>
      <c r="O65">
        <v>0</v>
      </c>
      <c r="P65" t="str">
        <f t="shared" si="1"/>
        <v>Non Chronic</v>
      </c>
      <c r="Q65">
        <v>1</v>
      </c>
      <c r="R65">
        <v>0</v>
      </c>
      <c r="S65" t="s">
        <v>30</v>
      </c>
    </row>
    <row r="66" spans="1:19" x14ac:dyDescent="0.3">
      <c r="A66">
        <v>500065</v>
      </c>
      <c r="B66">
        <v>58571</v>
      </c>
      <c r="C66" t="s">
        <v>4</v>
      </c>
      <c r="D66" t="s">
        <v>19</v>
      </c>
      <c r="E66" s="1">
        <v>46062</v>
      </c>
      <c r="F66" t="s">
        <v>917</v>
      </c>
      <c r="G66" s="1">
        <v>46069</v>
      </c>
      <c r="H66" s="1" t="str">
        <f t="shared" si="0"/>
        <v>Monday</v>
      </c>
      <c r="I66">
        <v>54</v>
      </c>
      <c r="J66" t="s">
        <v>17</v>
      </c>
      <c r="K66">
        <v>1</v>
      </c>
      <c r="L66">
        <v>0</v>
      </c>
      <c r="M66">
        <v>1</v>
      </c>
      <c r="N66">
        <v>0</v>
      </c>
      <c r="O66">
        <v>0</v>
      </c>
      <c r="P66" t="str">
        <f t="shared" si="1"/>
        <v>Chronic</v>
      </c>
      <c r="Q66">
        <v>0</v>
      </c>
      <c r="R66">
        <v>0</v>
      </c>
      <c r="S66" t="s">
        <v>0</v>
      </c>
    </row>
    <row r="67" spans="1:19" x14ac:dyDescent="0.3">
      <c r="A67">
        <v>500066</v>
      </c>
      <c r="B67">
        <v>67080</v>
      </c>
      <c r="C67" t="s">
        <v>4</v>
      </c>
      <c r="D67" t="s">
        <v>25</v>
      </c>
      <c r="E67" s="1">
        <v>45982</v>
      </c>
      <c r="F67" t="s">
        <v>843</v>
      </c>
      <c r="G67" s="1">
        <v>45984</v>
      </c>
      <c r="H67" s="1" t="str">
        <f t="shared" ref="H67:H130" si="2">TEXT(G67,"dddd")</f>
        <v>Sunday</v>
      </c>
      <c r="I67">
        <v>65</v>
      </c>
      <c r="J67" t="s">
        <v>1</v>
      </c>
      <c r="K67">
        <v>1</v>
      </c>
      <c r="L67">
        <v>0</v>
      </c>
      <c r="M67">
        <v>0</v>
      </c>
      <c r="N67">
        <v>0</v>
      </c>
      <c r="O67">
        <v>0</v>
      </c>
      <c r="P67" t="str">
        <f t="shared" ref="P67:P130" si="3">IF(OR(L67=1,M67=1),"Chronic","Non Chronic")</f>
        <v>Non Chronic</v>
      </c>
      <c r="Q67">
        <v>0</v>
      </c>
      <c r="R67">
        <v>0</v>
      </c>
      <c r="S67" t="s">
        <v>9</v>
      </c>
    </row>
    <row r="68" spans="1:19" x14ac:dyDescent="0.3">
      <c r="A68">
        <v>500067</v>
      </c>
      <c r="B68">
        <v>69087</v>
      </c>
      <c r="C68" t="s">
        <v>4</v>
      </c>
      <c r="D68" t="s">
        <v>7</v>
      </c>
      <c r="E68" s="1">
        <v>46103</v>
      </c>
      <c r="F68" t="s">
        <v>942</v>
      </c>
      <c r="G68" s="1">
        <v>46108</v>
      </c>
      <c r="H68" s="1" t="str">
        <f t="shared" si="2"/>
        <v>Friday</v>
      </c>
      <c r="I68">
        <v>36</v>
      </c>
      <c r="J68" t="s">
        <v>1</v>
      </c>
      <c r="K68">
        <v>1</v>
      </c>
      <c r="L68">
        <v>0</v>
      </c>
      <c r="M68">
        <v>0</v>
      </c>
      <c r="N68">
        <v>0</v>
      </c>
      <c r="O68">
        <v>0</v>
      </c>
      <c r="P68" t="str">
        <f t="shared" si="3"/>
        <v>Non Chronic</v>
      </c>
      <c r="Q68">
        <v>1</v>
      </c>
      <c r="R68">
        <v>0</v>
      </c>
      <c r="S68" t="s">
        <v>22</v>
      </c>
    </row>
    <row r="69" spans="1:19" x14ac:dyDescent="0.3">
      <c r="A69">
        <v>500068</v>
      </c>
      <c r="B69">
        <v>56507</v>
      </c>
      <c r="C69" t="s">
        <v>8</v>
      </c>
      <c r="D69" t="s">
        <v>19</v>
      </c>
      <c r="E69" s="1">
        <v>46156</v>
      </c>
      <c r="F69" t="s">
        <v>385</v>
      </c>
      <c r="G69" s="1">
        <v>46159</v>
      </c>
      <c r="H69" s="1" t="str">
        <f t="shared" si="2"/>
        <v>Sunday</v>
      </c>
      <c r="I69">
        <v>58</v>
      </c>
      <c r="J69" t="s">
        <v>5</v>
      </c>
      <c r="K69">
        <v>1</v>
      </c>
      <c r="L69">
        <v>0</v>
      </c>
      <c r="M69">
        <v>0</v>
      </c>
      <c r="N69">
        <v>0</v>
      </c>
      <c r="O69">
        <v>0</v>
      </c>
      <c r="P69" t="str">
        <f t="shared" si="3"/>
        <v>Non Chronic</v>
      </c>
      <c r="Q69">
        <v>1</v>
      </c>
      <c r="R69">
        <v>0</v>
      </c>
      <c r="S69" t="s">
        <v>0</v>
      </c>
    </row>
    <row r="70" spans="1:19" x14ac:dyDescent="0.3">
      <c r="A70">
        <v>500069</v>
      </c>
      <c r="B70">
        <v>72402</v>
      </c>
      <c r="C70" t="s">
        <v>8</v>
      </c>
      <c r="D70" t="s">
        <v>7</v>
      </c>
      <c r="E70" s="1">
        <v>46113</v>
      </c>
      <c r="F70" t="s">
        <v>537</v>
      </c>
      <c r="G70" s="1">
        <v>46115</v>
      </c>
      <c r="H70" s="1" t="str">
        <f t="shared" si="2"/>
        <v>Friday</v>
      </c>
      <c r="I70">
        <v>45</v>
      </c>
      <c r="J70" t="s">
        <v>17</v>
      </c>
      <c r="K70">
        <v>0</v>
      </c>
      <c r="L70">
        <v>0</v>
      </c>
      <c r="M70">
        <v>0</v>
      </c>
      <c r="N70">
        <v>0</v>
      </c>
      <c r="O70">
        <v>0</v>
      </c>
      <c r="P70" t="str">
        <f t="shared" si="3"/>
        <v>Non Chronic</v>
      </c>
      <c r="Q70">
        <v>1</v>
      </c>
      <c r="R70">
        <v>0</v>
      </c>
      <c r="S70" t="s">
        <v>0</v>
      </c>
    </row>
    <row r="71" spans="1:19" x14ac:dyDescent="0.3">
      <c r="A71">
        <v>500070</v>
      </c>
      <c r="B71">
        <v>82544</v>
      </c>
      <c r="C71" t="s">
        <v>8</v>
      </c>
      <c r="D71" t="s">
        <v>3</v>
      </c>
      <c r="E71" s="1">
        <v>46096</v>
      </c>
      <c r="F71" t="s">
        <v>738</v>
      </c>
      <c r="G71" s="1">
        <v>46101</v>
      </c>
      <c r="H71" s="1" t="str">
        <f t="shared" si="2"/>
        <v>Friday</v>
      </c>
      <c r="I71">
        <v>25</v>
      </c>
      <c r="J71" t="s">
        <v>12</v>
      </c>
      <c r="K71">
        <v>1</v>
      </c>
      <c r="L71">
        <v>0</v>
      </c>
      <c r="M71">
        <v>0</v>
      </c>
      <c r="N71">
        <v>0</v>
      </c>
      <c r="O71">
        <v>0</v>
      </c>
      <c r="P71" t="str">
        <f t="shared" si="3"/>
        <v>Non Chronic</v>
      </c>
      <c r="Q71">
        <v>1</v>
      </c>
      <c r="R71">
        <v>0</v>
      </c>
      <c r="S71" t="s">
        <v>22</v>
      </c>
    </row>
    <row r="72" spans="1:19" x14ac:dyDescent="0.3">
      <c r="A72">
        <v>500071</v>
      </c>
      <c r="B72">
        <v>35242</v>
      </c>
      <c r="C72" t="s">
        <v>8</v>
      </c>
      <c r="D72" t="s">
        <v>58</v>
      </c>
      <c r="E72" s="1">
        <v>46031</v>
      </c>
      <c r="F72" t="s">
        <v>941</v>
      </c>
      <c r="G72" s="1">
        <v>46033</v>
      </c>
      <c r="H72" s="1" t="str">
        <f t="shared" si="2"/>
        <v>Sunday</v>
      </c>
      <c r="I72">
        <v>45</v>
      </c>
      <c r="J72" t="s">
        <v>12</v>
      </c>
      <c r="K72">
        <v>0</v>
      </c>
      <c r="L72">
        <v>0</v>
      </c>
      <c r="M72">
        <v>1</v>
      </c>
      <c r="N72">
        <v>0</v>
      </c>
      <c r="O72">
        <v>0</v>
      </c>
      <c r="P72" t="str">
        <f t="shared" si="3"/>
        <v>Chronic</v>
      </c>
      <c r="Q72">
        <v>1</v>
      </c>
      <c r="R72">
        <v>0</v>
      </c>
      <c r="S72" t="s">
        <v>0</v>
      </c>
    </row>
    <row r="73" spans="1:19" x14ac:dyDescent="0.3">
      <c r="A73">
        <v>500072</v>
      </c>
      <c r="B73">
        <v>88222</v>
      </c>
      <c r="C73" t="s">
        <v>8</v>
      </c>
      <c r="D73" t="s">
        <v>58</v>
      </c>
      <c r="E73" s="1">
        <v>46160</v>
      </c>
      <c r="F73" t="s">
        <v>806</v>
      </c>
      <c r="G73" s="1">
        <v>46162</v>
      </c>
      <c r="H73" s="1" t="str">
        <f t="shared" si="2"/>
        <v>Wednesday</v>
      </c>
      <c r="I73">
        <v>68</v>
      </c>
      <c r="J73" t="s">
        <v>45</v>
      </c>
      <c r="K73">
        <v>1</v>
      </c>
      <c r="L73">
        <v>1</v>
      </c>
      <c r="M73">
        <v>1</v>
      </c>
      <c r="N73">
        <v>1</v>
      </c>
      <c r="O73">
        <v>0</v>
      </c>
      <c r="P73" t="str">
        <f t="shared" si="3"/>
        <v>Chronic</v>
      </c>
      <c r="Q73">
        <v>0</v>
      </c>
      <c r="R73">
        <v>0</v>
      </c>
      <c r="S73" t="s">
        <v>9</v>
      </c>
    </row>
    <row r="74" spans="1:19" x14ac:dyDescent="0.3">
      <c r="A74">
        <v>500073</v>
      </c>
      <c r="B74">
        <v>26551</v>
      </c>
      <c r="C74" t="s">
        <v>8</v>
      </c>
      <c r="D74" t="s">
        <v>58</v>
      </c>
      <c r="E74" s="1">
        <v>46030</v>
      </c>
      <c r="F74" t="s">
        <v>147</v>
      </c>
      <c r="G74" s="1">
        <v>46033</v>
      </c>
      <c r="H74" s="1" t="str">
        <f t="shared" si="2"/>
        <v>Sunday</v>
      </c>
      <c r="I74">
        <v>37</v>
      </c>
      <c r="J74" t="s">
        <v>17</v>
      </c>
      <c r="K74">
        <v>1</v>
      </c>
      <c r="L74">
        <v>0</v>
      </c>
      <c r="M74">
        <v>0</v>
      </c>
      <c r="N74">
        <v>0</v>
      </c>
      <c r="O74">
        <v>0</v>
      </c>
      <c r="P74" t="str">
        <f t="shared" si="3"/>
        <v>Non Chronic</v>
      </c>
      <c r="Q74">
        <v>1</v>
      </c>
      <c r="R74">
        <v>1</v>
      </c>
      <c r="S74" t="s">
        <v>22</v>
      </c>
    </row>
    <row r="75" spans="1:19" x14ac:dyDescent="0.3">
      <c r="A75">
        <v>500074</v>
      </c>
      <c r="B75">
        <v>72616</v>
      </c>
      <c r="C75" t="s">
        <v>4</v>
      </c>
      <c r="D75" t="s">
        <v>58</v>
      </c>
      <c r="E75" s="1">
        <v>46076</v>
      </c>
      <c r="F75" t="s">
        <v>940</v>
      </c>
      <c r="G75" s="1">
        <v>46083</v>
      </c>
      <c r="H75" s="1" t="str">
        <f t="shared" si="2"/>
        <v>Monday</v>
      </c>
      <c r="I75">
        <v>69</v>
      </c>
      <c r="J75" t="s">
        <v>23</v>
      </c>
      <c r="K75">
        <v>1</v>
      </c>
      <c r="L75">
        <v>1</v>
      </c>
      <c r="M75">
        <v>0</v>
      </c>
      <c r="N75">
        <v>1</v>
      </c>
      <c r="O75">
        <v>0</v>
      </c>
      <c r="P75" t="str">
        <f t="shared" si="3"/>
        <v>Chronic</v>
      </c>
      <c r="Q75">
        <v>1</v>
      </c>
      <c r="R75">
        <v>0</v>
      </c>
      <c r="S75" t="s">
        <v>9</v>
      </c>
    </row>
    <row r="76" spans="1:19" x14ac:dyDescent="0.3">
      <c r="A76">
        <v>500075</v>
      </c>
      <c r="B76">
        <v>25525</v>
      </c>
      <c r="C76" t="s">
        <v>8</v>
      </c>
      <c r="D76" t="s">
        <v>14</v>
      </c>
      <c r="E76" s="1">
        <v>46137</v>
      </c>
      <c r="F76" t="s">
        <v>939</v>
      </c>
      <c r="G76" s="1">
        <v>46140</v>
      </c>
      <c r="H76" s="1" t="str">
        <f t="shared" si="2"/>
        <v>Tuesday</v>
      </c>
      <c r="I76">
        <v>0</v>
      </c>
      <c r="J76" t="s">
        <v>12</v>
      </c>
      <c r="K76">
        <v>0</v>
      </c>
      <c r="L76">
        <v>0</v>
      </c>
      <c r="M76">
        <v>0</v>
      </c>
      <c r="N76">
        <v>0</v>
      </c>
      <c r="O76">
        <v>0</v>
      </c>
      <c r="P76" t="str">
        <f t="shared" si="3"/>
        <v>Non Chronic</v>
      </c>
      <c r="Q76">
        <v>0</v>
      </c>
      <c r="R76">
        <v>1</v>
      </c>
      <c r="S76" t="s">
        <v>30</v>
      </c>
    </row>
    <row r="77" spans="1:19" x14ac:dyDescent="0.3">
      <c r="A77">
        <v>500076</v>
      </c>
      <c r="B77">
        <v>87139</v>
      </c>
      <c r="C77" t="s">
        <v>8</v>
      </c>
      <c r="D77" t="s">
        <v>25</v>
      </c>
      <c r="E77" s="1">
        <v>46143</v>
      </c>
      <c r="F77" t="s">
        <v>641</v>
      </c>
      <c r="G77" s="1">
        <v>46145</v>
      </c>
      <c r="H77" s="1" t="str">
        <f t="shared" si="2"/>
        <v>Sunday</v>
      </c>
      <c r="I77">
        <v>54</v>
      </c>
      <c r="J77" t="s">
        <v>1</v>
      </c>
      <c r="K77">
        <v>0</v>
      </c>
      <c r="L77">
        <v>0</v>
      </c>
      <c r="M77">
        <v>0</v>
      </c>
      <c r="N77">
        <v>0</v>
      </c>
      <c r="O77">
        <v>0</v>
      </c>
      <c r="P77" t="str">
        <f t="shared" si="3"/>
        <v>Non Chronic</v>
      </c>
      <c r="Q77">
        <v>1</v>
      </c>
      <c r="R77">
        <v>0</v>
      </c>
      <c r="S77" t="s">
        <v>0</v>
      </c>
    </row>
    <row r="78" spans="1:19" x14ac:dyDescent="0.3">
      <c r="A78">
        <v>500077</v>
      </c>
      <c r="B78">
        <v>30585</v>
      </c>
      <c r="C78" t="s">
        <v>4</v>
      </c>
      <c r="D78" t="s">
        <v>28</v>
      </c>
      <c r="E78" s="1">
        <v>46107</v>
      </c>
      <c r="F78" t="s">
        <v>938</v>
      </c>
      <c r="G78" s="1">
        <v>46110</v>
      </c>
      <c r="H78" s="1" t="str">
        <f t="shared" si="2"/>
        <v>Sunday</v>
      </c>
      <c r="I78">
        <v>39</v>
      </c>
      <c r="J78" t="s">
        <v>12</v>
      </c>
      <c r="K78">
        <v>0</v>
      </c>
      <c r="L78">
        <v>0</v>
      </c>
      <c r="M78">
        <v>0</v>
      </c>
      <c r="N78">
        <v>0</v>
      </c>
      <c r="O78">
        <v>0</v>
      </c>
      <c r="P78" t="str">
        <f t="shared" si="3"/>
        <v>Non Chronic</v>
      </c>
      <c r="Q78">
        <v>1</v>
      </c>
      <c r="R78">
        <v>0</v>
      </c>
      <c r="S78" t="s">
        <v>22</v>
      </c>
    </row>
    <row r="79" spans="1:19" x14ac:dyDescent="0.3">
      <c r="A79">
        <v>500078</v>
      </c>
      <c r="B79">
        <v>14278</v>
      </c>
      <c r="C79" t="s">
        <v>4</v>
      </c>
      <c r="D79" t="s">
        <v>25</v>
      </c>
      <c r="E79" s="1">
        <v>46057</v>
      </c>
      <c r="F79" t="s">
        <v>937</v>
      </c>
      <c r="G79" s="1">
        <v>46059</v>
      </c>
      <c r="H79" s="1" t="str">
        <f t="shared" si="2"/>
        <v>Friday</v>
      </c>
      <c r="I79">
        <v>32</v>
      </c>
      <c r="J79" t="s">
        <v>5</v>
      </c>
      <c r="K79">
        <v>1</v>
      </c>
      <c r="L79">
        <v>0</v>
      </c>
      <c r="M79">
        <v>0</v>
      </c>
      <c r="N79">
        <v>1</v>
      </c>
      <c r="O79">
        <v>0</v>
      </c>
      <c r="P79" t="str">
        <f t="shared" si="3"/>
        <v>Non Chronic</v>
      </c>
      <c r="Q79">
        <v>1</v>
      </c>
      <c r="R79">
        <v>0</v>
      </c>
      <c r="S79" t="s">
        <v>22</v>
      </c>
    </row>
    <row r="80" spans="1:19" x14ac:dyDescent="0.3">
      <c r="A80">
        <v>500079</v>
      </c>
      <c r="B80">
        <v>87304</v>
      </c>
      <c r="C80" t="s">
        <v>4</v>
      </c>
      <c r="D80" t="s">
        <v>3</v>
      </c>
      <c r="E80" s="1">
        <v>45983</v>
      </c>
      <c r="F80" t="s">
        <v>936</v>
      </c>
      <c r="G80" s="1">
        <v>46003</v>
      </c>
      <c r="H80" s="1" t="str">
        <f t="shared" si="2"/>
        <v>Friday</v>
      </c>
      <c r="I80">
        <v>39</v>
      </c>
      <c r="J80" t="s">
        <v>15</v>
      </c>
      <c r="K80">
        <v>0</v>
      </c>
      <c r="L80">
        <v>0</v>
      </c>
      <c r="M80">
        <v>0</v>
      </c>
      <c r="N80">
        <v>0</v>
      </c>
      <c r="O80">
        <v>0</v>
      </c>
      <c r="P80" t="str">
        <f t="shared" si="3"/>
        <v>Non Chronic</v>
      </c>
      <c r="Q80">
        <v>0</v>
      </c>
      <c r="R80">
        <v>1</v>
      </c>
      <c r="S80" t="s">
        <v>22</v>
      </c>
    </row>
    <row r="81" spans="1:19" x14ac:dyDescent="0.3">
      <c r="A81">
        <v>500080</v>
      </c>
      <c r="B81">
        <v>31747</v>
      </c>
      <c r="C81" t="s">
        <v>8</v>
      </c>
      <c r="D81" t="s">
        <v>25</v>
      </c>
      <c r="E81" s="1">
        <v>45988</v>
      </c>
      <c r="F81" t="s">
        <v>300</v>
      </c>
      <c r="G81" s="1">
        <v>45989</v>
      </c>
      <c r="H81" s="1" t="str">
        <f t="shared" si="2"/>
        <v>Friday</v>
      </c>
      <c r="I81">
        <v>0</v>
      </c>
      <c r="J81" t="s">
        <v>10</v>
      </c>
      <c r="K81">
        <v>0</v>
      </c>
      <c r="L81">
        <v>0</v>
      </c>
      <c r="M81">
        <v>0</v>
      </c>
      <c r="N81">
        <v>0</v>
      </c>
      <c r="O81">
        <v>0</v>
      </c>
      <c r="P81" t="str">
        <f t="shared" si="3"/>
        <v>Non Chronic</v>
      </c>
      <c r="Q81">
        <v>1</v>
      </c>
      <c r="R81">
        <v>0</v>
      </c>
      <c r="S81" t="s">
        <v>30</v>
      </c>
    </row>
    <row r="82" spans="1:19" x14ac:dyDescent="0.3">
      <c r="A82">
        <v>500081</v>
      </c>
      <c r="B82">
        <v>45683</v>
      </c>
      <c r="C82" t="s">
        <v>8</v>
      </c>
      <c r="D82" t="s">
        <v>7</v>
      </c>
      <c r="E82" s="1">
        <v>46031</v>
      </c>
      <c r="F82" t="s">
        <v>218</v>
      </c>
      <c r="G82" s="1">
        <v>46041</v>
      </c>
      <c r="H82" s="1" t="str">
        <f t="shared" si="2"/>
        <v>Monday</v>
      </c>
      <c r="I82">
        <v>33</v>
      </c>
      <c r="J82" t="s">
        <v>15</v>
      </c>
      <c r="K82">
        <v>0</v>
      </c>
      <c r="L82">
        <v>0</v>
      </c>
      <c r="M82">
        <v>0</v>
      </c>
      <c r="N82">
        <v>0</v>
      </c>
      <c r="O82">
        <v>0</v>
      </c>
      <c r="P82" t="str">
        <f t="shared" si="3"/>
        <v>Non Chronic</v>
      </c>
      <c r="Q82">
        <v>1</v>
      </c>
      <c r="R82">
        <v>1</v>
      </c>
      <c r="S82" t="s">
        <v>22</v>
      </c>
    </row>
    <row r="83" spans="1:19" x14ac:dyDescent="0.3">
      <c r="A83">
        <v>500082</v>
      </c>
      <c r="B83">
        <v>40005</v>
      </c>
      <c r="C83" t="s">
        <v>4</v>
      </c>
      <c r="D83" t="s">
        <v>25</v>
      </c>
      <c r="E83" s="1">
        <v>46083</v>
      </c>
      <c r="F83" t="s">
        <v>52</v>
      </c>
      <c r="G83" s="1">
        <v>46088</v>
      </c>
      <c r="H83" s="1" t="str">
        <f t="shared" si="2"/>
        <v>Saturday</v>
      </c>
      <c r="I83">
        <v>45</v>
      </c>
      <c r="J83" t="s">
        <v>1</v>
      </c>
      <c r="K83">
        <v>0</v>
      </c>
      <c r="L83">
        <v>0</v>
      </c>
      <c r="M83">
        <v>0</v>
      </c>
      <c r="N83">
        <v>0</v>
      </c>
      <c r="O83">
        <v>0</v>
      </c>
      <c r="P83" t="str">
        <f t="shared" si="3"/>
        <v>Non Chronic</v>
      </c>
      <c r="Q83">
        <v>1</v>
      </c>
      <c r="R83">
        <v>0</v>
      </c>
      <c r="S83" t="s">
        <v>0</v>
      </c>
    </row>
    <row r="84" spans="1:19" x14ac:dyDescent="0.3">
      <c r="A84">
        <v>500083</v>
      </c>
      <c r="B84">
        <v>86720</v>
      </c>
      <c r="C84" t="s">
        <v>8</v>
      </c>
      <c r="D84" t="s">
        <v>7</v>
      </c>
      <c r="E84" s="1">
        <v>46008</v>
      </c>
      <c r="F84" t="s">
        <v>935</v>
      </c>
      <c r="G84" s="1">
        <v>46011</v>
      </c>
      <c r="H84" s="1" t="str">
        <f t="shared" si="2"/>
        <v>Saturday</v>
      </c>
      <c r="I84">
        <v>67</v>
      </c>
      <c r="J84" t="s">
        <v>15</v>
      </c>
      <c r="K84">
        <v>1</v>
      </c>
      <c r="L84">
        <v>1</v>
      </c>
      <c r="M84">
        <v>0</v>
      </c>
      <c r="N84">
        <v>0</v>
      </c>
      <c r="O84">
        <v>0</v>
      </c>
      <c r="P84" t="str">
        <f t="shared" si="3"/>
        <v>Chronic</v>
      </c>
      <c r="Q84">
        <v>1</v>
      </c>
      <c r="R84">
        <v>0</v>
      </c>
      <c r="S84" t="s">
        <v>9</v>
      </c>
    </row>
    <row r="85" spans="1:19" x14ac:dyDescent="0.3">
      <c r="A85">
        <v>500084</v>
      </c>
      <c r="B85">
        <v>62488</v>
      </c>
      <c r="C85" t="s">
        <v>4</v>
      </c>
      <c r="D85" t="s">
        <v>7</v>
      </c>
      <c r="E85" s="1">
        <v>46116</v>
      </c>
      <c r="F85" t="s">
        <v>717</v>
      </c>
      <c r="G85" s="1">
        <v>46117</v>
      </c>
      <c r="H85" s="1" t="str">
        <f t="shared" si="2"/>
        <v>Sunday</v>
      </c>
      <c r="I85">
        <v>27</v>
      </c>
      <c r="J85" t="s">
        <v>15</v>
      </c>
      <c r="K85">
        <v>1</v>
      </c>
      <c r="L85">
        <v>0</v>
      </c>
      <c r="M85">
        <v>0</v>
      </c>
      <c r="N85">
        <v>0</v>
      </c>
      <c r="O85">
        <v>0</v>
      </c>
      <c r="P85" t="str">
        <f t="shared" si="3"/>
        <v>Non Chronic</v>
      </c>
      <c r="Q85">
        <v>0</v>
      </c>
      <c r="R85">
        <v>0</v>
      </c>
      <c r="S85" t="s">
        <v>22</v>
      </c>
    </row>
    <row r="86" spans="1:19" x14ac:dyDescent="0.3">
      <c r="A86">
        <v>500085</v>
      </c>
      <c r="B86">
        <v>10150</v>
      </c>
      <c r="C86" t="s">
        <v>8</v>
      </c>
      <c r="D86" t="s">
        <v>3</v>
      </c>
      <c r="E86" s="1">
        <v>46038</v>
      </c>
      <c r="F86" t="s">
        <v>719</v>
      </c>
      <c r="G86" s="1">
        <v>46045</v>
      </c>
      <c r="H86" s="1" t="str">
        <f t="shared" si="2"/>
        <v>Friday</v>
      </c>
      <c r="I86">
        <v>21</v>
      </c>
      <c r="J86" t="s">
        <v>17</v>
      </c>
      <c r="K86">
        <v>0</v>
      </c>
      <c r="L86">
        <v>0</v>
      </c>
      <c r="M86">
        <v>0</v>
      </c>
      <c r="N86">
        <v>0</v>
      </c>
      <c r="O86">
        <v>0</v>
      </c>
      <c r="P86" t="str">
        <f t="shared" si="3"/>
        <v>Non Chronic</v>
      </c>
      <c r="Q86">
        <v>1</v>
      </c>
      <c r="R86">
        <v>0</v>
      </c>
      <c r="S86" t="s">
        <v>22</v>
      </c>
    </row>
    <row r="87" spans="1:19" x14ac:dyDescent="0.3">
      <c r="A87">
        <v>500086</v>
      </c>
      <c r="B87">
        <v>16764</v>
      </c>
      <c r="C87" t="s">
        <v>4</v>
      </c>
      <c r="D87" t="s">
        <v>25</v>
      </c>
      <c r="E87" s="1">
        <v>46042</v>
      </c>
      <c r="F87" t="s">
        <v>469</v>
      </c>
      <c r="G87" s="1">
        <v>46045</v>
      </c>
      <c r="H87" s="1" t="str">
        <f t="shared" si="2"/>
        <v>Friday</v>
      </c>
      <c r="I87">
        <v>27</v>
      </c>
      <c r="J87" t="s">
        <v>12</v>
      </c>
      <c r="K87">
        <v>0</v>
      </c>
      <c r="L87">
        <v>0</v>
      </c>
      <c r="M87">
        <v>0</v>
      </c>
      <c r="N87">
        <v>0</v>
      </c>
      <c r="O87">
        <v>0</v>
      </c>
      <c r="P87" t="str">
        <f t="shared" si="3"/>
        <v>Non Chronic</v>
      </c>
      <c r="Q87">
        <v>1</v>
      </c>
      <c r="R87">
        <v>1</v>
      </c>
      <c r="S87" t="s">
        <v>22</v>
      </c>
    </row>
    <row r="88" spans="1:19" x14ac:dyDescent="0.3">
      <c r="A88">
        <v>500087</v>
      </c>
      <c r="B88">
        <v>92578</v>
      </c>
      <c r="C88" t="s">
        <v>4</v>
      </c>
      <c r="D88" t="s">
        <v>28</v>
      </c>
      <c r="E88" s="1">
        <v>46058</v>
      </c>
      <c r="F88" t="s">
        <v>236</v>
      </c>
      <c r="G88" s="1">
        <v>46063</v>
      </c>
      <c r="H88" s="1" t="str">
        <f t="shared" si="2"/>
        <v>Tuesday</v>
      </c>
      <c r="I88">
        <v>56</v>
      </c>
      <c r="J88" t="s">
        <v>5</v>
      </c>
      <c r="K88">
        <v>0</v>
      </c>
      <c r="L88">
        <v>0</v>
      </c>
      <c r="M88">
        <v>1</v>
      </c>
      <c r="N88">
        <v>0</v>
      </c>
      <c r="O88">
        <v>0</v>
      </c>
      <c r="P88" t="str">
        <f t="shared" si="3"/>
        <v>Chronic</v>
      </c>
      <c r="Q88">
        <v>1</v>
      </c>
      <c r="R88">
        <v>0</v>
      </c>
      <c r="S88" t="s">
        <v>0</v>
      </c>
    </row>
    <row r="89" spans="1:19" x14ac:dyDescent="0.3">
      <c r="A89">
        <v>500088</v>
      </c>
      <c r="B89">
        <v>75323</v>
      </c>
      <c r="C89" t="s">
        <v>8</v>
      </c>
      <c r="D89" t="s">
        <v>25</v>
      </c>
      <c r="E89" s="1">
        <v>46019</v>
      </c>
      <c r="F89" t="s">
        <v>931</v>
      </c>
      <c r="G89" s="1">
        <v>46024</v>
      </c>
      <c r="H89" s="1" t="str">
        <f t="shared" si="2"/>
        <v>Friday</v>
      </c>
      <c r="I89">
        <v>44</v>
      </c>
      <c r="J89" t="s">
        <v>23</v>
      </c>
      <c r="K89">
        <v>1</v>
      </c>
      <c r="L89">
        <v>0</v>
      </c>
      <c r="M89">
        <v>0</v>
      </c>
      <c r="N89">
        <v>0</v>
      </c>
      <c r="O89">
        <v>0</v>
      </c>
      <c r="P89" t="str">
        <f t="shared" si="3"/>
        <v>Non Chronic</v>
      </c>
      <c r="Q89">
        <v>1</v>
      </c>
      <c r="R89">
        <v>0</v>
      </c>
      <c r="S89" t="s">
        <v>0</v>
      </c>
    </row>
    <row r="90" spans="1:19" x14ac:dyDescent="0.3">
      <c r="A90">
        <v>500089</v>
      </c>
      <c r="B90">
        <v>76616</v>
      </c>
      <c r="C90" t="s">
        <v>4</v>
      </c>
      <c r="D90" t="s">
        <v>58</v>
      </c>
      <c r="E90" s="1">
        <v>46087</v>
      </c>
      <c r="F90" t="s">
        <v>123</v>
      </c>
      <c r="G90" s="1">
        <v>46102</v>
      </c>
      <c r="H90" s="1" t="str">
        <f t="shared" si="2"/>
        <v>Saturday</v>
      </c>
      <c r="I90">
        <v>27</v>
      </c>
      <c r="J90" t="s">
        <v>5</v>
      </c>
      <c r="K90">
        <v>1</v>
      </c>
      <c r="L90">
        <v>0</v>
      </c>
      <c r="M90">
        <v>0</v>
      </c>
      <c r="N90">
        <v>0</v>
      </c>
      <c r="O90">
        <v>0</v>
      </c>
      <c r="P90" t="str">
        <f t="shared" si="3"/>
        <v>Non Chronic</v>
      </c>
      <c r="Q90">
        <v>1</v>
      </c>
      <c r="R90">
        <v>1</v>
      </c>
      <c r="S90" t="s">
        <v>22</v>
      </c>
    </row>
    <row r="91" spans="1:19" x14ac:dyDescent="0.3">
      <c r="A91">
        <v>500090</v>
      </c>
      <c r="B91">
        <v>49132</v>
      </c>
      <c r="C91" t="s">
        <v>8</v>
      </c>
      <c r="D91" t="s">
        <v>28</v>
      </c>
      <c r="E91" s="1">
        <v>46080</v>
      </c>
      <c r="F91" t="s">
        <v>101</v>
      </c>
      <c r="G91" s="1">
        <v>46085</v>
      </c>
      <c r="H91" s="1" t="str">
        <f t="shared" si="2"/>
        <v>Wednesday</v>
      </c>
      <c r="I91">
        <v>48</v>
      </c>
      <c r="J91" t="s">
        <v>10</v>
      </c>
      <c r="K91">
        <v>1</v>
      </c>
      <c r="L91">
        <v>1</v>
      </c>
      <c r="M91">
        <v>0</v>
      </c>
      <c r="N91">
        <v>0</v>
      </c>
      <c r="O91">
        <v>0</v>
      </c>
      <c r="P91" t="str">
        <f t="shared" si="3"/>
        <v>Chronic</v>
      </c>
      <c r="Q91">
        <v>1</v>
      </c>
      <c r="R91">
        <v>1</v>
      </c>
      <c r="S91" t="s">
        <v>0</v>
      </c>
    </row>
    <row r="92" spans="1:19" x14ac:dyDescent="0.3">
      <c r="A92">
        <v>500091</v>
      </c>
      <c r="B92">
        <v>41300</v>
      </c>
      <c r="C92" t="s">
        <v>8</v>
      </c>
      <c r="D92" t="s">
        <v>14</v>
      </c>
      <c r="E92" s="1">
        <v>46013</v>
      </c>
      <c r="F92" t="s">
        <v>624</v>
      </c>
      <c r="G92" s="1">
        <v>46018</v>
      </c>
      <c r="H92" s="1" t="str">
        <f t="shared" si="2"/>
        <v>Saturday</v>
      </c>
      <c r="I92">
        <v>39</v>
      </c>
      <c r="J92" t="s">
        <v>23</v>
      </c>
      <c r="K92">
        <v>0</v>
      </c>
      <c r="L92">
        <v>0</v>
      </c>
      <c r="M92">
        <v>0</v>
      </c>
      <c r="N92">
        <v>0</v>
      </c>
      <c r="O92">
        <v>0</v>
      </c>
      <c r="P92" t="str">
        <f t="shared" si="3"/>
        <v>Non Chronic</v>
      </c>
      <c r="Q92">
        <v>0</v>
      </c>
      <c r="R92">
        <v>0</v>
      </c>
      <c r="S92" t="s">
        <v>22</v>
      </c>
    </row>
    <row r="93" spans="1:19" x14ac:dyDescent="0.3">
      <c r="A93">
        <v>500092</v>
      </c>
      <c r="B93">
        <v>96991</v>
      </c>
      <c r="C93" t="s">
        <v>4</v>
      </c>
      <c r="D93" t="s">
        <v>7</v>
      </c>
      <c r="E93" s="1">
        <v>46049</v>
      </c>
      <c r="F93" t="s">
        <v>934</v>
      </c>
      <c r="G93" s="1">
        <v>46052</v>
      </c>
      <c r="H93" s="1" t="str">
        <f t="shared" si="2"/>
        <v>Friday</v>
      </c>
      <c r="I93">
        <v>57</v>
      </c>
      <c r="J93" t="s">
        <v>17</v>
      </c>
      <c r="K93">
        <v>0</v>
      </c>
      <c r="L93">
        <v>0</v>
      </c>
      <c r="M93">
        <v>0</v>
      </c>
      <c r="N93">
        <v>0</v>
      </c>
      <c r="O93">
        <v>0</v>
      </c>
      <c r="P93" t="str">
        <f t="shared" si="3"/>
        <v>Non Chronic</v>
      </c>
      <c r="Q93">
        <v>1</v>
      </c>
      <c r="R93">
        <v>0</v>
      </c>
      <c r="S93" t="s">
        <v>0</v>
      </c>
    </row>
    <row r="94" spans="1:19" x14ac:dyDescent="0.3">
      <c r="A94">
        <v>500093</v>
      </c>
      <c r="B94">
        <v>28894</v>
      </c>
      <c r="C94" t="s">
        <v>8</v>
      </c>
      <c r="D94" t="s">
        <v>28</v>
      </c>
      <c r="E94" s="1">
        <v>46028</v>
      </c>
      <c r="F94" t="s">
        <v>933</v>
      </c>
      <c r="G94" s="1">
        <v>46030</v>
      </c>
      <c r="H94" s="1" t="str">
        <f t="shared" si="2"/>
        <v>Thursday</v>
      </c>
      <c r="I94">
        <v>23</v>
      </c>
      <c r="J94" t="s">
        <v>15</v>
      </c>
      <c r="K94">
        <v>1</v>
      </c>
      <c r="L94">
        <v>0</v>
      </c>
      <c r="M94">
        <v>0</v>
      </c>
      <c r="N94">
        <v>0</v>
      </c>
      <c r="O94">
        <v>0</v>
      </c>
      <c r="P94" t="str">
        <f t="shared" si="3"/>
        <v>Non Chronic</v>
      </c>
      <c r="Q94">
        <v>1</v>
      </c>
      <c r="R94">
        <v>0</v>
      </c>
      <c r="S94" t="s">
        <v>22</v>
      </c>
    </row>
    <row r="95" spans="1:19" x14ac:dyDescent="0.3">
      <c r="A95">
        <v>500094</v>
      </c>
      <c r="B95">
        <v>20527</v>
      </c>
      <c r="C95" t="s">
        <v>8</v>
      </c>
      <c r="D95" t="s">
        <v>3</v>
      </c>
      <c r="E95" s="1">
        <v>46151</v>
      </c>
      <c r="F95" t="s">
        <v>932</v>
      </c>
      <c r="G95" s="1">
        <v>46151</v>
      </c>
      <c r="H95" s="1" t="str">
        <f t="shared" si="2"/>
        <v>Saturday</v>
      </c>
      <c r="I95">
        <v>31</v>
      </c>
      <c r="J95" t="s">
        <v>20</v>
      </c>
      <c r="K95">
        <v>1</v>
      </c>
      <c r="L95">
        <v>0</v>
      </c>
      <c r="M95">
        <v>0</v>
      </c>
      <c r="N95">
        <v>0</v>
      </c>
      <c r="O95">
        <v>0</v>
      </c>
      <c r="P95" t="str">
        <f t="shared" si="3"/>
        <v>Non Chronic</v>
      </c>
      <c r="Q95">
        <v>1</v>
      </c>
      <c r="R95">
        <v>0</v>
      </c>
      <c r="S95" t="s">
        <v>22</v>
      </c>
    </row>
    <row r="96" spans="1:19" x14ac:dyDescent="0.3">
      <c r="A96">
        <v>500095</v>
      </c>
      <c r="B96">
        <v>47667</v>
      </c>
      <c r="C96" t="s">
        <v>4</v>
      </c>
      <c r="D96" t="s">
        <v>58</v>
      </c>
      <c r="E96" s="1">
        <v>46106</v>
      </c>
      <c r="F96" t="s">
        <v>822</v>
      </c>
      <c r="G96" s="1">
        <v>46116</v>
      </c>
      <c r="H96" s="1" t="str">
        <f t="shared" si="2"/>
        <v>Saturday</v>
      </c>
      <c r="I96">
        <v>30</v>
      </c>
      <c r="J96" t="s">
        <v>23</v>
      </c>
      <c r="K96">
        <v>0</v>
      </c>
      <c r="L96">
        <v>0</v>
      </c>
      <c r="M96">
        <v>0</v>
      </c>
      <c r="N96">
        <v>0</v>
      </c>
      <c r="O96">
        <v>0</v>
      </c>
      <c r="P96" t="str">
        <f t="shared" si="3"/>
        <v>Non Chronic</v>
      </c>
      <c r="Q96">
        <v>1</v>
      </c>
      <c r="R96">
        <v>0</v>
      </c>
      <c r="S96" t="s">
        <v>22</v>
      </c>
    </row>
    <row r="97" spans="1:19" x14ac:dyDescent="0.3">
      <c r="A97">
        <v>500096</v>
      </c>
      <c r="B97">
        <v>49251</v>
      </c>
      <c r="C97" t="s">
        <v>4</v>
      </c>
      <c r="D97" t="s">
        <v>36</v>
      </c>
      <c r="E97" s="1">
        <v>45997</v>
      </c>
      <c r="F97" t="s">
        <v>931</v>
      </c>
      <c r="G97" s="1">
        <v>46012</v>
      </c>
      <c r="H97" s="1" t="str">
        <f t="shared" si="2"/>
        <v>Sunday</v>
      </c>
      <c r="I97">
        <v>8</v>
      </c>
      <c r="J97" t="s">
        <v>20</v>
      </c>
      <c r="K97">
        <v>0</v>
      </c>
      <c r="L97">
        <v>0</v>
      </c>
      <c r="M97">
        <v>0</v>
      </c>
      <c r="N97">
        <v>0</v>
      </c>
      <c r="O97">
        <v>0</v>
      </c>
      <c r="P97" t="str">
        <f t="shared" si="3"/>
        <v>Non Chronic</v>
      </c>
      <c r="Q97">
        <v>1</v>
      </c>
      <c r="R97">
        <v>1</v>
      </c>
      <c r="S97" t="s">
        <v>30</v>
      </c>
    </row>
    <row r="98" spans="1:19" x14ac:dyDescent="0.3">
      <c r="A98">
        <v>500097</v>
      </c>
      <c r="B98">
        <v>29080</v>
      </c>
      <c r="C98" t="s">
        <v>4</v>
      </c>
      <c r="D98" t="s">
        <v>3</v>
      </c>
      <c r="E98" s="1">
        <v>46118</v>
      </c>
      <c r="F98" t="s">
        <v>930</v>
      </c>
      <c r="G98" s="1">
        <v>46138</v>
      </c>
      <c r="H98" s="1" t="str">
        <f t="shared" si="2"/>
        <v>Sunday</v>
      </c>
      <c r="I98">
        <v>43</v>
      </c>
      <c r="J98" t="s">
        <v>1</v>
      </c>
      <c r="K98">
        <v>0</v>
      </c>
      <c r="L98">
        <v>0</v>
      </c>
      <c r="M98">
        <v>1</v>
      </c>
      <c r="N98">
        <v>1</v>
      </c>
      <c r="O98">
        <v>0</v>
      </c>
      <c r="P98" t="str">
        <f t="shared" si="3"/>
        <v>Chronic</v>
      </c>
      <c r="Q98">
        <v>1</v>
      </c>
      <c r="R98">
        <v>1</v>
      </c>
      <c r="S98" t="s">
        <v>0</v>
      </c>
    </row>
    <row r="99" spans="1:19" x14ac:dyDescent="0.3">
      <c r="A99">
        <v>500098</v>
      </c>
      <c r="B99">
        <v>86435</v>
      </c>
      <c r="C99" t="s">
        <v>4</v>
      </c>
      <c r="D99" t="s">
        <v>14</v>
      </c>
      <c r="E99" s="1">
        <v>46084</v>
      </c>
      <c r="F99" t="s">
        <v>754</v>
      </c>
      <c r="G99" s="1">
        <v>46104</v>
      </c>
      <c r="H99" s="1" t="str">
        <f t="shared" si="2"/>
        <v>Monday</v>
      </c>
      <c r="I99">
        <v>43</v>
      </c>
      <c r="J99" t="s">
        <v>10</v>
      </c>
      <c r="K99">
        <v>1</v>
      </c>
      <c r="L99">
        <v>0</v>
      </c>
      <c r="M99">
        <v>0</v>
      </c>
      <c r="N99">
        <v>0</v>
      </c>
      <c r="O99">
        <v>0</v>
      </c>
      <c r="P99" t="str">
        <f t="shared" si="3"/>
        <v>Non Chronic</v>
      </c>
      <c r="Q99">
        <v>1</v>
      </c>
      <c r="R99">
        <v>1</v>
      </c>
      <c r="S99" t="s">
        <v>0</v>
      </c>
    </row>
    <row r="100" spans="1:19" x14ac:dyDescent="0.3">
      <c r="A100">
        <v>500099</v>
      </c>
      <c r="B100">
        <v>81643</v>
      </c>
      <c r="C100" t="s">
        <v>4</v>
      </c>
      <c r="D100" t="s">
        <v>58</v>
      </c>
      <c r="E100" s="1">
        <v>46064</v>
      </c>
      <c r="F100" t="s">
        <v>815</v>
      </c>
      <c r="G100" s="1">
        <v>46066</v>
      </c>
      <c r="H100" s="1" t="str">
        <f t="shared" si="2"/>
        <v>Friday</v>
      </c>
      <c r="I100">
        <v>38</v>
      </c>
      <c r="J100" t="s">
        <v>10</v>
      </c>
      <c r="K100">
        <v>1</v>
      </c>
      <c r="L100">
        <v>0</v>
      </c>
      <c r="M100">
        <v>0</v>
      </c>
      <c r="N100">
        <v>0</v>
      </c>
      <c r="O100">
        <v>0</v>
      </c>
      <c r="P100" t="str">
        <f t="shared" si="3"/>
        <v>Non Chronic</v>
      </c>
      <c r="Q100">
        <v>0</v>
      </c>
      <c r="R100">
        <v>0</v>
      </c>
      <c r="S100" t="s">
        <v>22</v>
      </c>
    </row>
    <row r="101" spans="1:19" x14ac:dyDescent="0.3">
      <c r="A101">
        <v>500100</v>
      </c>
      <c r="B101">
        <v>69878</v>
      </c>
      <c r="C101" t="s">
        <v>8</v>
      </c>
      <c r="D101" t="s">
        <v>14</v>
      </c>
      <c r="E101" s="1">
        <v>46063</v>
      </c>
      <c r="F101" t="s">
        <v>929</v>
      </c>
      <c r="G101" s="1">
        <v>46066</v>
      </c>
      <c r="H101" s="1" t="str">
        <f t="shared" si="2"/>
        <v>Friday</v>
      </c>
      <c r="I101">
        <v>33</v>
      </c>
      <c r="J101" t="s">
        <v>23</v>
      </c>
      <c r="K101">
        <v>1</v>
      </c>
      <c r="L101">
        <v>0</v>
      </c>
      <c r="M101">
        <v>0</v>
      </c>
      <c r="N101">
        <v>0</v>
      </c>
      <c r="O101">
        <v>0</v>
      </c>
      <c r="P101" t="str">
        <f t="shared" si="3"/>
        <v>Non Chronic</v>
      </c>
      <c r="Q101">
        <v>1</v>
      </c>
      <c r="R101">
        <v>0</v>
      </c>
      <c r="S101" t="s">
        <v>22</v>
      </c>
    </row>
    <row r="102" spans="1:19" x14ac:dyDescent="0.3">
      <c r="A102">
        <v>500101</v>
      </c>
      <c r="B102">
        <v>48696</v>
      </c>
      <c r="C102" t="s">
        <v>4</v>
      </c>
      <c r="D102" t="s">
        <v>3</v>
      </c>
      <c r="E102" s="1">
        <v>46016</v>
      </c>
      <c r="F102" t="s">
        <v>755</v>
      </c>
      <c r="G102" s="1">
        <v>46016</v>
      </c>
      <c r="H102" s="1" t="str">
        <f t="shared" si="2"/>
        <v>Thursday</v>
      </c>
      <c r="I102">
        <v>9</v>
      </c>
      <c r="J102" t="s">
        <v>5</v>
      </c>
      <c r="K102">
        <v>0</v>
      </c>
      <c r="L102">
        <v>0</v>
      </c>
      <c r="M102">
        <v>0</v>
      </c>
      <c r="N102">
        <v>0</v>
      </c>
      <c r="O102">
        <v>0</v>
      </c>
      <c r="P102" t="str">
        <f t="shared" si="3"/>
        <v>Non Chronic</v>
      </c>
      <c r="Q102">
        <v>0</v>
      </c>
      <c r="R102">
        <v>0</v>
      </c>
      <c r="S102" t="s">
        <v>30</v>
      </c>
    </row>
    <row r="103" spans="1:19" x14ac:dyDescent="0.3">
      <c r="A103">
        <v>500102</v>
      </c>
      <c r="B103">
        <v>16428</v>
      </c>
      <c r="C103" t="s">
        <v>8</v>
      </c>
      <c r="D103" t="s">
        <v>25</v>
      </c>
      <c r="E103" s="1">
        <v>46048</v>
      </c>
      <c r="F103" t="s">
        <v>928</v>
      </c>
      <c r="G103" s="1">
        <v>46050</v>
      </c>
      <c r="H103" s="1" t="str">
        <f t="shared" si="2"/>
        <v>Wednesday</v>
      </c>
      <c r="I103">
        <v>29</v>
      </c>
      <c r="J103" t="s">
        <v>45</v>
      </c>
      <c r="K103">
        <v>1</v>
      </c>
      <c r="L103">
        <v>0</v>
      </c>
      <c r="M103">
        <v>0</v>
      </c>
      <c r="N103">
        <v>0</v>
      </c>
      <c r="O103">
        <v>0</v>
      </c>
      <c r="P103" t="str">
        <f t="shared" si="3"/>
        <v>Non Chronic</v>
      </c>
      <c r="Q103">
        <v>1</v>
      </c>
      <c r="R103">
        <v>0</v>
      </c>
      <c r="S103" t="s">
        <v>22</v>
      </c>
    </row>
    <row r="104" spans="1:19" x14ac:dyDescent="0.3">
      <c r="A104">
        <v>500103</v>
      </c>
      <c r="B104">
        <v>96400</v>
      </c>
      <c r="C104" t="s">
        <v>4</v>
      </c>
      <c r="D104" t="s">
        <v>58</v>
      </c>
      <c r="E104" s="1">
        <v>45995</v>
      </c>
      <c r="F104" t="s">
        <v>567</v>
      </c>
      <c r="G104" s="1">
        <v>45995</v>
      </c>
      <c r="H104" s="1" t="str">
        <f t="shared" si="2"/>
        <v>Thursday</v>
      </c>
      <c r="I104">
        <v>31</v>
      </c>
      <c r="J104" t="s">
        <v>17</v>
      </c>
      <c r="K104">
        <v>1</v>
      </c>
      <c r="L104">
        <v>0</v>
      </c>
      <c r="M104">
        <v>0</v>
      </c>
      <c r="N104">
        <v>0</v>
      </c>
      <c r="O104">
        <v>0</v>
      </c>
      <c r="P104" t="str">
        <f t="shared" si="3"/>
        <v>Non Chronic</v>
      </c>
      <c r="Q104">
        <v>1</v>
      </c>
      <c r="R104">
        <v>1</v>
      </c>
      <c r="S104" t="s">
        <v>22</v>
      </c>
    </row>
    <row r="105" spans="1:19" x14ac:dyDescent="0.3">
      <c r="A105">
        <v>500104</v>
      </c>
      <c r="B105">
        <v>48680</v>
      </c>
      <c r="C105" t="s">
        <v>8</v>
      </c>
      <c r="D105" t="s">
        <v>3</v>
      </c>
      <c r="E105" s="1">
        <v>46145</v>
      </c>
      <c r="F105" t="s">
        <v>927</v>
      </c>
      <c r="G105" s="1">
        <v>46150</v>
      </c>
      <c r="H105" s="1" t="str">
        <f t="shared" si="2"/>
        <v>Friday</v>
      </c>
      <c r="I105">
        <v>21</v>
      </c>
      <c r="J105" t="s">
        <v>31</v>
      </c>
      <c r="K105">
        <v>0</v>
      </c>
      <c r="L105">
        <v>0</v>
      </c>
      <c r="M105">
        <v>0</v>
      </c>
      <c r="N105">
        <v>0</v>
      </c>
      <c r="O105">
        <v>0</v>
      </c>
      <c r="P105" t="str">
        <f t="shared" si="3"/>
        <v>Non Chronic</v>
      </c>
      <c r="Q105">
        <v>0</v>
      </c>
      <c r="R105">
        <v>0</v>
      </c>
      <c r="S105" t="s">
        <v>22</v>
      </c>
    </row>
    <row r="106" spans="1:19" x14ac:dyDescent="0.3">
      <c r="A106">
        <v>500105</v>
      </c>
      <c r="B106">
        <v>45720</v>
      </c>
      <c r="C106" t="s">
        <v>4</v>
      </c>
      <c r="D106" t="s">
        <v>25</v>
      </c>
      <c r="E106" s="1">
        <v>46145</v>
      </c>
      <c r="F106" t="s">
        <v>488</v>
      </c>
      <c r="G106" s="1">
        <v>46148</v>
      </c>
      <c r="H106" s="1" t="str">
        <f t="shared" si="2"/>
        <v>Wednesday</v>
      </c>
      <c r="I106">
        <v>34</v>
      </c>
      <c r="J106" t="s">
        <v>10</v>
      </c>
      <c r="K106">
        <v>1</v>
      </c>
      <c r="L106">
        <v>0</v>
      </c>
      <c r="M106">
        <v>0</v>
      </c>
      <c r="N106">
        <v>0</v>
      </c>
      <c r="O106">
        <v>0</v>
      </c>
      <c r="P106" t="str">
        <f t="shared" si="3"/>
        <v>Non Chronic</v>
      </c>
      <c r="Q106">
        <v>1</v>
      </c>
      <c r="R106">
        <v>0</v>
      </c>
      <c r="S106" t="s">
        <v>22</v>
      </c>
    </row>
    <row r="107" spans="1:19" x14ac:dyDescent="0.3">
      <c r="A107">
        <v>500106</v>
      </c>
      <c r="B107">
        <v>28449</v>
      </c>
      <c r="C107" t="s">
        <v>4</v>
      </c>
      <c r="D107" t="s">
        <v>3</v>
      </c>
      <c r="E107" s="1">
        <v>46040</v>
      </c>
      <c r="F107" t="s">
        <v>926</v>
      </c>
      <c r="G107" s="1">
        <v>46041</v>
      </c>
      <c r="H107" s="1" t="str">
        <f t="shared" si="2"/>
        <v>Monday</v>
      </c>
      <c r="I107">
        <v>46</v>
      </c>
      <c r="J107" t="s">
        <v>12</v>
      </c>
      <c r="K107">
        <v>1</v>
      </c>
      <c r="L107">
        <v>1</v>
      </c>
      <c r="M107">
        <v>0</v>
      </c>
      <c r="N107">
        <v>0</v>
      </c>
      <c r="O107">
        <v>0</v>
      </c>
      <c r="P107" t="str">
        <f t="shared" si="3"/>
        <v>Chronic</v>
      </c>
      <c r="Q107">
        <v>1</v>
      </c>
      <c r="R107">
        <v>0</v>
      </c>
      <c r="S107" t="s">
        <v>0</v>
      </c>
    </row>
    <row r="108" spans="1:19" x14ac:dyDescent="0.3">
      <c r="A108">
        <v>500107</v>
      </c>
      <c r="B108">
        <v>44362</v>
      </c>
      <c r="C108" t="s">
        <v>8</v>
      </c>
      <c r="D108" t="s">
        <v>19</v>
      </c>
      <c r="E108" s="1">
        <v>46090</v>
      </c>
      <c r="F108" t="s">
        <v>362</v>
      </c>
      <c r="G108" s="1">
        <v>46097</v>
      </c>
      <c r="H108" s="1" t="str">
        <f t="shared" si="2"/>
        <v>Monday</v>
      </c>
      <c r="I108">
        <v>75</v>
      </c>
      <c r="J108" t="s">
        <v>15</v>
      </c>
      <c r="K108">
        <v>0</v>
      </c>
      <c r="L108">
        <v>0</v>
      </c>
      <c r="M108">
        <v>0</v>
      </c>
      <c r="N108">
        <v>0</v>
      </c>
      <c r="O108">
        <v>0</v>
      </c>
      <c r="P108" t="str">
        <f t="shared" si="3"/>
        <v>Non Chronic</v>
      </c>
      <c r="Q108">
        <v>1</v>
      </c>
      <c r="R108">
        <v>0</v>
      </c>
      <c r="S108" t="s">
        <v>9</v>
      </c>
    </row>
    <row r="109" spans="1:19" x14ac:dyDescent="0.3">
      <c r="A109">
        <v>500108</v>
      </c>
      <c r="B109">
        <v>70852</v>
      </c>
      <c r="C109" t="s">
        <v>8</v>
      </c>
      <c r="D109" t="s">
        <v>3</v>
      </c>
      <c r="E109" s="1">
        <v>45997</v>
      </c>
      <c r="F109" t="s">
        <v>925</v>
      </c>
      <c r="G109" s="1">
        <v>46027</v>
      </c>
      <c r="H109" s="1" t="str">
        <f t="shared" si="2"/>
        <v>Monday</v>
      </c>
      <c r="I109">
        <v>41</v>
      </c>
      <c r="J109" t="s">
        <v>15</v>
      </c>
      <c r="K109">
        <v>0</v>
      </c>
      <c r="L109">
        <v>0</v>
      </c>
      <c r="M109">
        <v>1</v>
      </c>
      <c r="N109">
        <v>1</v>
      </c>
      <c r="O109">
        <v>0</v>
      </c>
      <c r="P109" t="str">
        <f t="shared" si="3"/>
        <v>Chronic</v>
      </c>
      <c r="Q109">
        <v>1</v>
      </c>
      <c r="R109">
        <v>1</v>
      </c>
      <c r="S109" t="s">
        <v>0</v>
      </c>
    </row>
    <row r="110" spans="1:19" x14ac:dyDescent="0.3">
      <c r="A110">
        <v>500109</v>
      </c>
      <c r="B110">
        <v>80457</v>
      </c>
      <c r="C110" t="s">
        <v>4</v>
      </c>
      <c r="D110" t="s">
        <v>3</v>
      </c>
      <c r="E110" s="1">
        <v>46098</v>
      </c>
      <c r="F110" t="s">
        <v>77</v>
      </c>
      <c r="G110" s="1">
        <v>46118</v>
      </c>
      <c r="H110" s="1" t="str">
        <f t="shared" si="2"/>
        <v>Monday</v>
      </c>
      <c r="I110">
        <v>43</v>
      </c>
      <c r="J110" t="s">
        <v>10</v>
      </c>
      <c r="K110">
        <v>1</v>
      </c>
      <c r="L110">
        <v>0</v>
      </c>
      <c r="M110">
        <v>0</v>
      </c>
      <c r="N110">
        <v>0</v>
      </c>
      <c r="O110">
        <v>0</v>
      </c>
      <c r="P110" t="str">
        <f t="shared" si="3"/>
        <v>Non Chronic</v>
      </c>
      <c r="Q110">
        <v>1</v>
      </c>
      <c r="R110">
        <v>0</v>
      </c>
      <c r="S110" t="s">
        <v>0</v>
      </c>
    </row>
    <row r="111" spans="1:19" x14ac:dyDescent="0.3">
      <c r="A111">
        <v>500110</v>
      </c>
      <c r="B111">
        <v>30253</v>
      </c>
      <c r="C111" t="s">
        <v>8</v>
      </c>
      <c r="D111" t="s">
        <v>58</v>
      </c>
      <c r="E111" s="1">
        <v>46105</v>
      </c>
      <c r="F111" t="s">
        <v>853</v>
      </c>
      <c r="G111" s="1">
        <v>46107</v>
      </c>
      <c r="H111" s="1" t="str">
        <f t="shared" si="2"/>
        <v>Thursday</v>
      </c>
      <c r="I111">
        <v>36</v>
      </c>
      <c r="J111" t="s">
        <v>10</v>
      </c>
      <c r="K111">
        <v>1</v>
      </c>
      <c r="L111">
        <v>0</v>
      </c>
      <c r="M111">
        <v>0</v>
      </c>
      <c r="N111">
        <v>0</v>
      </c>
      <c r="O111">
        <v>0</v>
      </c>
      <c r="P111" t="str">
        <f t="shared" si="3"/>
        <v>Non Chronic</v>
      </c>
      <c r="Q111">
        <v>1</v>
      </c>
      <c r="R111">
        <v>0</v>
      </c>
      <c r="S111" t="s">
        <v>22</v>
      </c>
    </row>
    <row r="112" spans="1:19" x14ac:dyDescent="0.3">
      <c r="A112">
        <v>500111</v>
      </c>
      <c r="B112">
        <v>68287</v>
      </c>
      <c r="C112" t="s">
        <v>4</v>
      </c>
      <c r="D112" t="s">
        <v>19</v>
      </c>
      <c r="E112" s="1">
        <v>46060</v>
      </c>
      <c r="F112" t="s">
        <v>705</v>
      </c>
      <c r="G112" s="1">
        <v>46090</v>
      </c>
      <c r="H112" s="1" t="str">
        <f t="shared" si="2"/>
        <v>Monday</v>
      </c>
      <c r="I112">
        <v>0</v>
      </c>
      <c r="J112" t="s">
        <v>15</v>
      </c>
      <c r="K112">
        <v>0</v>
      </c>
      <c r="L112">
        <v>0</v>
      </c>
      <c r="M112">
        <v>0</v>
      </c>
      <c r="N112">
        <v>0</v>
      </c>
      <c r="O112">
        <v>0</v>
      </c>
      <c r="P112" t="str">
        <f t="shared" si="3"/>
        <v>Non Chronic</v>
      </c>
      <c r="Q112">
        <v>1</v>
      </c>
      <c r="R112">
        <v>0</v>
      </c>
      <c r="S112" t="s">
        <v>30</v>
      </c>
    </row>
    <row r="113" spans="1:19" x14ac:dyDescent="0.3">
      <c r="A113">
        <v>500112</v>
      </c>
      <c r="B113">
        <v>94518</v>
      </c>
      <c r="C113" t="s">
        <v>8</v>
      </c>
      <c r="D113" t="s">
        <v>36</v>
      </c>
      <c r="E113" s="1">
        <v>46004</v>
      </c>
      <c r="F113" t="s">
        <v>924</v>
      </c>
      <c r="G113" s="1">
        <v>46005</v>
      </c>
      <c r="H113" s="1" t="str">
        <f t="shared" si="2"/>
        <v>Sunday</v>
      </c>
      <c r="I113">
        <v>37</v>
      </c>
      <c r="J113" t="s">
        <v>23</v>
      </c>
      <c r="K113">
        <v>1</v>
      </c>
      <c r="L113">
        <v>0</v>
      </c>
      <c r="M113">
        <v>0</v>
      </c>
      <c r="N113">
        <v>0</v>
      </c>
      <c r="O113">
        <v>0</v>
      </c>
      <c r="P113" t="str">
        <f t="shared" si="3"/>
        <v>Non Chronic</v>
      </c>
      <c r="Q113">
        <v>0</v>
      </c>
      <c r="R113">
        <v>0</v>
      </c>
      <c r="S113" t="s">
        <v>22</v>
      </c>
    </row>
    <row r="114" spans="1:19" x14ac:dyDescent="0.3">
      <c r="A114">
        <v>500113</v>
      </c>
      <c r="B114">
        <v>96870</v>
      </c>
      <c r="C114" t="s">
        <v>4</v>
      </c>
      <c r="D114" t="s">
        <v>36</v>
      </c>
      <c r="E114" s="1">
        <v>46118</v>
      </c>
      <c r="F114" t="s">
        <v>266</v>
      </c>
      <c r="G114" s="1">
        <v>46119</v>
      </c>
      <c r="H114" s="1" t="str">
        <f t="shared" si="2"/>
        <v>Tuesday</v>
      </c>
      <c r="I114">
        <v>39</v>
      </c>
      <c r="J114" t="s">
        <v>17</v>
      </c>
      <c r="K114">
        <v>1</v>
      </c>
      <c r="L114">
        <v>0</v>
      </c>
      <c r="M114">
        <v>0</v>
      </c>
      <c r="N114">
        <v>0</v>
      </c>
      <c r="O114">
        <v>0</v>
      </c>
      <c r="P114" t="str">
        <f t="shared" si="3"/>
        <v>Non Chronic</v>
      </c>
      <c r="Q114">
        <v>1</v>
      </c>
      <c r="R114">
        <v>1</v>
      </c>
      <c r="S114" t="s">
        <v>22</v>
      </c>
    </row>
    <row r="115" spans="1:19" x14ac:dyDescent="0.3">
      <c r="A115">
        <v>500114</v>
      </c>
      <c r="B115">
        <v>82641</v>
      </c>
      <c r="C115" t="s">
        <v>4</v>
      </c>
      <c r="D115" t="s">
        <v>14</v>
      </c>
      <c r="E115" s="1">
        <v>46016</v>
      </c>
      <c r="F115" t="s">
        <v>923</v>
      </c>
      <c r="G115" s="1">
        <v>46046</v>
      </c>
      <c r="H115" s="1" t="str">
        <f t="shared" si="2"/>
        <v>Saturday</v>
      </c>
      <c r="I115">
        <v>87</v>
      </c>
      <c r="J115" t="s">
        <v>45</v>
      </c>
      <c r="K115">
        <v>1</v>
      </c>
      <c r="L115">
        <v>0</v>
      </c>
      <c r="M115">
        <v>0</v>
      </c>
      <c r="N115">
        <v>0</v>
      </c>
      <c r="O115">
        <v>0</v>
      </c>
      <c r="P115" t="str">
        <f t="shared" si="3"/>
        <v>Non Chronic</v>
      </c>
      <c r="Q115">
        <v>0</v>
      </c>
      <c r="R115">
        <v>0</v>
      </c>
      <c r="S115" t="s">
        <v>9</v>
      </c>
    </row>
    <row r="116" spans="1:19" x14ac:dyDescent="0.3">
      <c r="A116">
        <v>500115</v>
      </c>
      <c r="B116">
        <v>32871</v>
      </c>
      <c r="C116" t="s">
        <v>4</v>
      </c>
      <c r="D116" t="s">
        <v>36</v>
      </c>
      <c r="E116" s="1">
        <v>46127</v>
      </c>
      <c r="F116" t="s">
        <v>922</v>
      </c>
      <c r="G116" s="1">
        <v>46142</v>
      </c>
      <c r="H116" s="1" t="str">
        <f t="shared" si="2"/>
        <v>Thursday</v>
      </c>
      <c r="I116">
        <v>34</v>
      </c>
      <c r="J116" t="s">
        <v>31</v>
      </c>
      <c r="K116">
        <v>0</v>
      </c>
      <c r="L116">
        <v>0</v>
      </c>
      <c r="M116">
        <v>0</v>
      </c>
      <c r="N116">
        <v>0</v>
      </c>
      <c r="O116">
        <v>0</v>
      </c>
      <c r="P116" t="str">
        <f t="shared" si="3"/>
        <v>Non Chronic</v>
      </c>
      <c r="Q116">
        <v>1</v>
      </c>
      <c r="R116">
        <v>1</v>
      </c>
      <c r="S116" t="s">
        <v>22</v>
      </c>
    </row>
    <row r="117" spans="1:19" x14ac:dyDescent="0.3">
      <c r="A117">
        <v>500116</v>
      </c>
      <c r="B117">
        <v>44782</v>
      </c>
      <c r="C117" t="s">
        <v>4</v>
      </c>
      <c r="D117" t="s">
        <v>28</v>
      </c>
      <c r="E117" s="1">
        <v>46076</v>
      </c>
      <c r="F117" t="s">
        <v>509</v>
      </c>
      <c r="G117" s="1">
        <v>46091</v>
      </c>
      <c r="H117" s="1" t="str">
        <f t="shared" si="2"/>
        <v>Tuesday</v>
      </c>
      <c r="I117">
        <v>44</v>
      </c>
      <c r="J117" t="s">
        <v>23</v>
      </c>
      <c r="K117">
        <v>0</v>
      </c>
      <c r="L117">
        <v>0</v>
      </c>
      <c r="M117">
        <v>0</v>
      </c>
      <c r="N117">
        <v>0</v>
      </c>
      <c r="O117">
        <v>0</v>
      </c>
      <c r="P117" t="str">
        <f t="shared" si="3"/>
        <v>Non Chronic</v>
      </c>
      <c r="Q117">
        <v>1</v>
      </c>
      <c r="R117">
        <v>1</v>
      </c>
      <c r="S117" t="s">
        <v>0</v>
      </c>
    </row>
    <row r="118" spans="1:19" x14ac:dyDescent="0.3">
      <c r="A118">
        <v>500117</v>
      </c>
      <c r="B118">
        <v>76039</v>
      </c>
      <c r="C118" t="s">
        <v>4</v>
      </c>
      <c r="D118" t="s">
        <v>36</v>
      </c>
      <c r="E118" s="1">
        <v>46057</v>
      </c>
      <c r="F118" t="s">
        <v>921</v>
      </c>
      <c r="G118" s="1">
        <v>46087</v>
      </c>
      <c r="H118" s="1" t="str">
        <f t="shared" si="2"/>
        <v>Friday</v>
      </c>
      <c r="I118">
        <v>37</v>
      </c>
      <c r="J118" t="s">
        <v>12</v>
      </c>
      <c r="K118">
        <v>1</v>
      </c>
      <c r="L118">
        <v>0</v>
      </c>
      <c r="M118">
        <v>0</v>
      </c>
      <c r="N118">
        <v>0</v>
      </c>
      <c r="O118">
        <v>0</v>
      </c>
      <c r="P118" t="str">
        <f t="shared" si="3"/>
        <v>Non Chronic</v>
      </c>
      <c r="Q118">
        <v>1</v>
      </c>
      <c r="R118">
        <v>0</v>
      </c>
      <c r="S118" t="s">
        <v>22</v>
      </c>
    </row>
    <row r="119" spans="1:19" x14ac:dyDescent="0.3">
      <c r="A119">
        <v>500118</v>
      </c>
      <c r="B119">
        <v>62640</v>
      </c>
      <c r="C119" t="s">
        <v>8</v>
      </c>
      <c r="D119" t="s">
        <v>58</v>
      </c>
      <c r="E119" s="1">
        <v>46114</v>
      </c>
      <c r="F119" t="s">
        <v>920</v>
      </c>
      <c r="G119" s="1">
        <v>46124</v>
      </c>
      <c r="H119" s="1" t="str">
        <f t="shared" si="2"/>
        <v>Sunday</v>
      </c>
      <c r="I119">
        <v>14</v>
      </c>
      <c r="J119" t="s">
        <v>10</v>
      </c>
      <c r="K119">
        <v>0</v>
      </c>
      <c r="L119">
        <v>0</v>
      </c>
      <c r="M119">
        <v>0</v>
      </c>
      <c r="N119">
        <v>0</v>
      </c>
      <c r="O119">
        <v>0</v>
      </c>
      <c r="P119" t="str">
        <f t="shared" si="3"/>
        <v>Non Chronic</v>
      </c>
      <c r="Q119">
        <v>1</v>
      </c>
      <c r="R119">
        <v>0</v>
      </c>
      <c r="S119" t="s">
        <v>30</v>
      </c>
    </row>
    <row r="120" spans="1:19" x14ac:dyDescent="0.3">
      <c r="A120">
        <v>500119</v>
      </c>
      <c r="B120">
        <v>52219</v>
      </c>
      <c r="C120" t="s">
        <v>4</v>
      </c>
      <c r="D120" t="s">
        <v>58</v>
      </c>
      <c r="E120" s="1">
        <v>46073</v>
      </c>
      <c r="F120" t="s">
        <v>827</v>
      </c>
      <c r="G120" s="1">
        <v>46080</v>
      </c>
      <c r="H120" s="1" t="str">
        <f t="shared" si="2"/>
        <v>Friday</v>
      </c>
      <c r="I120">
        <v>60</v>
      </c>
      <c r="J120" t="s">
        <v>31</v>
      </c>
      <c r="K120">
        <v>1</v>
      </c>
      <c r="L120">
        <v>0</v>
      </c>
      <c r="M120">
        <v>0</v>
      </c>
      <c r="N120">
        <v>0</v>
      </c>
      <c r="O120">
        <v>0</v>
      </c>
      <c r="P120" t="str">
        <f t="shared" si="3"/>
        <v>Non Chronic</v>
      </c>
      <c r="Q120">
        <v>1</v>
      </c>
      <c r="R120">
        <v>0</v>
      </c>
      <c r="S120" t="s">
        <v>0</v>
      </c>
    </row>
    <row r="121" spans="1:19" x14ac:dyDescent="0.3">
      <c r="A121">
        <v>500120</v>
      </c>
      <c r="B121">
        <v>66387</v>
      </c>
      <c r="C121" t="s">
        <v>4</v>
      </c>
      <c r="D121" t="s">
        <v>58</v>
      </c>
      <c r="E121" s="1">
        <v>46061</v>
      </c>
      <c r="F121" t="s">
        <v>919</v>
      </c>
      <c r="G121" s="1">
        <v>46076</v>
      </c>
      <c r="H121" s="1" t="str">
        <f t="shared" si="2"/>
        <v>Monday</v>
      </c>
      <c r="I121">
        <v>53</v>
      </c>
      <c r="J121" t="s">
        <v>12</v>
      </c>
      <c r="K121">
        <v>0</v>
      </c>
      <c r="L121">
        <v>0</v>
      </c>
      <c r="M121">
        <v>0</v>
      </c>
      <c r="N121">
        <v>0</v>
      </c>
      <c r="O121">
        <v>0</v>
      </c>
      <c r="P121" t="str">
        <f t="shared" si="3"/>
        <v>Non Chronic</v>
      </c>
      <c r="Q121">
        <v>1</v>
      </c>
      <c r="R121">
        <v>0</v>
      </c>
      <c r="S121" t="s">
        <v>0</v>
      </c>
    </row>
    <row r="122" spans="1:19" x14ac:dyDescent="0.3">
      <c r="A122">
        <v>500121</v>
      </c>
      <c r="B122">
        <v>50966</v>
      </c>
      <c r="C122" t="s">
        <v>8</v>
      </c>
      <c r="D122" t="s">
        <v>19</v>
      </c>
      <c r="E122" s="1">
        <v>46002</v>
      </c>
      <c r="F122" t="s">
        <v>918</v>
      </c>
      <c r="G122" s="1">
        <v>46003</v>
      </c>
      <c r="H122" s="1" t="str">
        <f t="shared" si="2"/>
        <v>Friday</v>
      </c>
      <c r="I122">
        <v>53</v>
      </c>
      <c r="J122" t="s">
        <v>5</v>
      </c>
      <c r="K122">
        <v>1</v>
      </c>
      <c r="L122">
        <v>0</v>
      </c>
      <c r="M122">
        <v>0</v>
      </c>
      <c r="N122">
        <v>0</v>
      </c>
      <c r="O122">
        <v>0</v>
      </c>
      <c r="P122" t="str">
        <f t="shared" si="3"/>
        <v>Non Chronic</v>
      </c>
      <c r="Q122">
        <v>1</v>
      </c>
      <c r="R122">
        <v>0</v>
      </c>
      <c r="S122" t="s">
        <v>0</v>
      </c>
    </row>
    <row r="123" spans="1:19" x14ac:dyDescent="0.3">
      <c r="A123">
        <v>500122</v>
      </c>
      <c r="B123">
        <v>58843</v>
      </c>
      <c r="C123" t="s">
        <v>4</v>
      </c>
      <c r="D123" t="s">
        <v>36</v>
      </c>
      <c r="E123" s="1">
        <v>46079</v>
      </c>
      <c r="F123" t="s">
        <v>499</v>
      </c>
      <c r="G123" s="1">
        <v>46089</v>
      </c>
      <c r="H123" s="1" t="str">
        <f t="shared" si="2"/>
        <v>Sunday</v>
      </c>
      <c r="I123">
        <v>19</v>
      </c>
      <c r="J123" t="s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 t="str">
        <f t="shared" si="3"/>
        <v>Non Chronic</v>
      </c>
      <c r="Q123">
        <v>1</v>
      </c>
      <c r="R123">
        <v>0</v>
      </c>
      <c r="S123" t="s">
        <v>22</v>
      </c>
    </row>
    <row r="124" spans="1:19" x14ac:dyDescent="0.3">
      <c r="A124">
        <v>500123</v>
      </c>
      <c r="B124">
        <v>65435</v>
      </c>
      <c r="C124" t="s">
        <v>4</v>
      </c>
      <c r="D124" t="s">
        <v>25</v>
      </c>
      <c r="E124" s="1">
        <v>45986</v>
      </c>
      <c r="F124" t="s">
        <v>661</v>
      </c>
      <c r="G124" s="1">
        <v>45988</v>
      </c>
      <c r="H124" s="1" t="str">
        <f t="shared" si="2"/>
        <v>Thursday</v>
      </c>
      <c r="I124">
        <v>66</v>
      </c>
      <c r="J124" t="s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 t="str">
        <f t="shared" si="3"/>
        <v>Non Chronic</v>
      </c>
      <c r="Q124">
        <v>1</v>
      </c>
      <c r="R124">
        <v>0</v>
      </c>
      <c r="S124" t="s">
        <v>9</v>
      </c>
    </row>
    <row r="125" spans="1:19" x14ac:dyDescent="0.3">
      <c r="A125">
        <v>500124</v>
      </c>
      <c r="B125">
        <v>58176</v>
      </c>
      <c r="C125" t="s">
        <v>4</v>
      </c>
      <c r="D125" t="s">
        <v>25</v>
      </c>
      <c r="E125" s="1">
        <v>46075</v>
      </c>
      <c r="F125" t="s">
        <v>203</v>
      </c>
      <c r="G125" s="1">
        <v>46077</v>
      </c>
      <c r="H125" s="1" t="str">
        <f t="shared" si="2"/>
        <v>Tuesday</v>
      </c>
      <c r="I125">
        <v>9</v>
      </c>
      <c r="J125" t="s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 t="str">
        <f t="shared" si="3"/>
        <v>Non Chronic</v>
      </c>
      <c r="Q125">
        <v>1</v>
      </c>
      <c r="R125">
        <v>0</v>
      </c>
      <c r="S125" t="s">
        <v>30</v>
      </c>
    </row>
    <row r="126" spans="1:19" x14ac:dyDescent="0.3">
      <c r="A126">
        <v>500125</v>
      </c>
      <c r="B126">
        <v>91490</v>
      </c>
      <c r="C126" t="s">
        <v>4</v>
      </c>
      <c r="D126" t="s">
        <v>25</v>
      </c>
      <c r="E126" s="1">
        <v>45994</v>
      </c>
      <c r="F126" t="s">
        <v>917</v>
      </c>
      <c r="G126" s="1">
        <v>45997</v>
      </c>
      <c r="H126" s="1" t="str">
        <f t="shared" si="2"/>
        <v>Saturday</v>
      </c>
      <c r="I126">
        <v>49</v>
      </c>
      <c r="J126" t="s">
        <v>17</v>
      </c>
      <c r="K126">
        <v>0</v>
      </c>
      <c r="L126">
        <v>1</v>
      </c>
      <c r="M126">
        <v>0</v>
      </c>
      <c r="N126">
        <v>0</v>
      </c>
      <c r="O126">
        <v>0</v>
      </c>
      <c r="P126" t="str">
        <f t="shared" si="3"/>
        <v>Chronic</v>
      </c>
      <c r="Q126">
        <v>1</v>
      </c>
      <c r="R126">
        <v>0</v>
      </c>
      <c r="S126" t="s">
        <v>0</v>
      </c>
    </row>
    <row r="127" spans="1:19" x14ac:dyDescent="0.3">
      <c r="A127">
        <v>500126</v>
      </c>
      <c r="B127">
        <v>96159</v>
      </c>
      <c r="C127" t="s">
        <v>8</v>
      </c>
      <c r="D127" t="s">
        <v>58</v>
      </c>
      <c r="E127" s="1">
        <v>46038</v>
      </c>
      <c r="F127" t="s">
        <v>655</v>
      </c>
      <c r="G127" s="1">
        <v>46039</v>
      </c>
      <c r="H127" s="1" t="str">
        <f t="shared" si="2"/>
        <v>Saturday</v>
      </c>
      <c r="I127">
        <v>81</v>
      </c>
      <c r="J127" t="s">
        <v>31</v>
      </c>
      <c r="K127">
        <v>0</v>
      </c>
      <c r="L127">
        <v>1</v>
      </c>
      <c r="M127">
        <v>0</v>
      </c>
      <c r="N127">
        <v>0</v>
      </c>
      <c r="O127">
        <v>0</v>
      </c>
      <c r="P127" t="str">
        <f t="shared" si="3"/>
        <v>Chronic</v>
      </c>
      <c r="Q127">
        <v>1</v>
      </c>
      <c r="R127">
        <v>0</v>
      </c>
      <c r="S127" t="s">
        <v>9</v>
      </c>
    </row>
    <row r="128" spans="1:19" x14ac:dyDescent="0.3">
      <c r="A128">
        <v>500127</v>
      </c>
      <c r="B128">
        <v>84395</v>
      </c>
      <c r="C128" t="s">
        <v>4</v>
      </c>
      <c r="D128" t="s">
        <v>36</v>
      </c>
      <c r="E128" s="1">
        <v>46073</v>
      </c>
      <c r="F128" t="s">
        <v>916</v>
      </c>
      <c r="G128" s="1">
        <v>46074</v>
      </c>
      <c r="H128" s="1" t="str">
        <f t="shared" si="2"/>
        <v>Saturday</v>
      </c>
      <c r="I128">
        <v>18</v>
      </c>
      <c r="J128" t="s">
        <v>31</v>
      </c>
      <c r="K128">
        <v>0</v>
      </c>
      <c r="L128">
        <v>0</v>
      </c>
      <c r="M128">
        <v>0</v>
      </c>
      <c r="N128">
        <v>0</v>
      </c>
      <c r="O128">
        <v>0</v>
      </c>
      <c r="P128" t="str">
        <f t="shared" si="3"/>
        <v>Non Chronic</v>
      </c>
      <c r="Q128">
        <v>1</v>
      </c>
      <c r="R128">
        <v>0</v>
      </c>
      <c r="S128" t="s">
        <v>30</v>
      </c>
    </row>
    <row r="129" spans="1:19" x14ac:dyDescent="0.3">
      <c r="A129">
        <v>500128</v>
      </c>
      <c r="B129">
        <v>45665</v>
      </c>
      <c r="C129" t="s">
        <v>8</v>
      </c>
      <c r="D129" t="s">
        <v>3</v>
      </c>
      <c r="E129" s="1">
        <v>46049</v>
      </c>
      <c r="F129" t="s">
        <v>243</v>
      </c>
      <c r="G129" s="1">
        <v>46051</v>
      </c>
      <c r="H129" s="1" t="str">
        <f t="shared" si="2"/>
        <v>Thursday</v>
      </c>
      <c r="I129">
        <v>26</v>
      </c>
      <c r="J129" t="s">
        <v>10</v>
      </c>
      <c r="K129">
        <v>1</v>
      </c>
      <c r="L129">
        <v>0</v>
      </c>
      <c r="M129">
        <v>0</v>
      </c>
      <c r="N129">
        <v>0</v>
      </c>
      <c r="O129">
        <v>0</v>
      </c>
      <c r="P129" t="str">
        <f t="shared" si="3"/>
        <v>Non Chronic</v>
      </c>
      <c r="Q129">
        <v>1</v>
      </c>
      <c r="R129">
        <v>0</v>
      </c>
      <c r="S129" t="s">
        <v>22</v>
      </c>
    </row>
    <row r="130" spans="1:19" x14ac:dyDescent="0.3">
      <c r="A130">
        <v>500129</v>
      </c>
      <c r="B130">
        <v>24534</v>
      </c>
      <c r="C130" t="s">
        <v>8</v>
      </c>
      <c r="D130" t="s">
        <v>7</v>
      </c>
      <c r="E130" s="1">
        <v>46145</v>
      </c>
      <c r="F130" t="s">
        <v>198</v>
      </c>
      <c r="G130" s="1">
        <v>46148</v>
      </c>
      <c r="H130" s="1" t="str">
        <f t="shared" si="2"/>
        <v>Wednesday</v>
      </c>
      <c r="I130">
        <v>39</v>
      </c>
      <c r="J130" t="s">
        <v>12</v>
      </c>
      <c r="K130">
        <v>1</v>
      </c>
      <c r="L130">
        <v>0</v>
      </c>
      <c r="M130">
        <v>0</v>
      </c>
      <c r="N130">
        <v>1</v>
      </c>
      <c r="O130">
        <v>0</v>
      </c>
      <c r="P130" t="str">
        <f t="shared" si="3"/>
        <v>Non Chronic</v>
      </c>
      <c r="Q130">
        <v>1</v>
      </c>
      <c r="R130">
        <v>1</v>
      </c>
      <c r="S130" t="s">
        <v>22</v>
      </c>
    </row>
    <row r="131" spans="1:19" x14ac:dyDescent="0.3">
      <c r="A131">
        <v>500130</v>
      </c>
      <c r="B131">
        <v>49507</v>
      </c>
      <c r="C131" t="s">
        <v>4</v>
      </c>
      <c r="D131" t="s">
        <v>28</v>
      </c>
      <c r="E131" s="1">
        <v>46089</v>
      </c>
      <c r="F131" t="s">
        <v>915</v>
      </c>
      <c r="G131" s="1">
        <v>46089</v>
      </c>
      <c r="H131" s="1" t="str">
        <f t="shared" ref="H131:H194" si="4">TEXT(G131,"dddd")</f>
        <v>Sunday</v>
      </c>
      <c r="I131">
        <v>27</v>
      </c>
      <c r="J131" t="s">
        <v>5</v>
      </c>
      <c r="K131">
        <v>1</v>
      </c>
      <c r="L131">
        <v>0</v>
      </c>
      <c r="M131">
        <v>0</v>
      </c>
      <c r="N131">
        <v>0</v>
      </c>
      <c r="O131">
        <v>0</v>
      </c>
      <c r="P131" t="str">
        <f t="shared" ref="P131:P194" si="5">IF(OR(L131=1,M131=1),"Chronic","Non Chronic")</f>
        <v>Non Chronic</v>
      </c>
      <c r="Q131">
        <v>0</v>
      </c>
      <c r="R131">
        <v>1</v>
      </c>
      <c r="S131" t="s">
        <v>22</v>
      </c>
    </row>
    <row r="132" spans="1:19" x14ac:dyDescent="0.3">
      <c r="A132">
        <v>500131</v>
      </c>
      <c r="B132">
        <v>59834</v>
      </c>
      <c r="C132" t="s">
        <v>4</v>
      </c>
      <c r="D132" t="s">
        <v>19</v>
      </c>
      <c r="E132" s="1">
        <v>46013</v>
      </c>
      <c r="F132" t="s">
        <v>870</v>
      </c>
      <c r="G132" s="1">
        <v>46016</v>
      </c>
      <c r="H132" s="1" t="str">
        <f t="shared" si="4"/>
        <v>Thursday</v>
      </c>
      <c r="I132">
        <v>6</v>
      </c>
      <c r="J132" t="s">
        <v>15</v>
      </c>
      <c r="K132">
        <v>0</v>
      </c>
      <c r="L132">
        <v>0</v>
      </c>
      <c r="M132">
        <v>0</v>
      </c>
      <c r="N132">
        <v>0</v>
      </c>
      <c r="O132">
        <v>0</v>
      </c>
      <c r="P132" t="str">
        <f t="shared" si="5"/>
        <v>Non Chronic</v>
      </c>
      <c r="Q132">
        <v>0</v>
      </c>
      <c r="R132">
        <v>0</v>
      </c>
      <c r="S132" t="s">
        <v>30</v>
      </c>
    </row>
    <row r="133" spans="1:19" x14ac:dyDescent="0.3">
      <c r="A133">
        <v>500132</v>
      </c>
      <c r="B133">
        <v>70260</v>
      </c>
      <c r="C133" t="s">
        <v>4</v>
      </c>
      <c r="D133" t="s">
        <v>19</v>
      </c>
      <c r="E133" s="1">
        <v>46103</v>
      </c>
      <c r="F133" t="s">
        <v>914</v>
      </c>
      <c r="G133" s="1">
        <v>46113</v>
      </c>
      <c r="H133" s="1" t="str">
        <f t="shared" si="4"/>
        <v>Wednesday</v>
      </c>
      <c r="I133">
        <v>39</v>
      </c>
      <c r="J133" t="s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 t="str">
        <f t="shared" si="5"/>
        <v>Non Chronic</v>
      </c>
      <c r="Q133">
        <v>1</v>
      </c>
      <c r="R133">
        <v>1</v>
      </c>
      <c r="S133" t="s">
        <v>22</v>
      </c>
    </row>
    <row r="134" spans="1:19" x14ac:dyDescent="0.3">
      <c r="A134">
        <v>500133</v>
      </c>
      <c r="B134">
        <v>12733</v>
      </c>
      <c r="C134" t="s">
        <v>8</v>
      </c>
      <c r="D134" t="s">
        <v>28</v>
      </c>
      <c r="E134" s="1">
        <v>46047</v>
      </c>
      <c r="F134" t="s">
        <v>913</v>
      </c>
      <c r="G134" s="1">
        <v>46052</v>
      </c>
      <c r="H134" s="1" t="str">
        <f t="shared" si="4"/>
        <v>Friday</v>
      </c>
      <c r="I134">
        <v>16</v>
      </c>
      <c r="J134" t="s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 t="str">
        <f t="shared" si="5"/>
        <v>Non Chronic</v>
      </c>
      <c r="Q134">
        <v>1</v>
      </c>
      <c r="R134">
        <v>0</v>
      </c>
      <c r="S134" t="s">
        <v>30</v>
      </c>
    </row>
    <row r="135" spans="1:19" x14ac:dyDescent="0.3">
      <c r="A135">
        <v>500134</v>
      </c>
      <c r="B135">
        <v>67240</v>
      </c>
      <c r="C135" t="s">
        <v>4</v>
      </c>
      <c r="D135" t="s">
        <v>14</v>
      </c>
      <c r="E135" s="1">
        <v>46032</v>
      </c>
      <c r="F135" t="s">
        <v>89</v>
      </c>
      <c r="G135" s="1">
        <v>46035</v>
      </c>
      <c r="H135" s="1" t="str">
        <f t="shared" si="4"/>
        <v>Tuesday</v>
      </c>
      <c r="I135">
        <v>47</v>
      </c>
      <c r="J135" t="s">
        <v>23</v>
      </c>
      <c r="K135">
        <v>1</v>
      </c>
      <c r="L135">
        <v>0</v>
      </c>
      <c r="M135">
        <v>0</v>
      </c>
      <c r="N135">
        <v>0</v>
      </c>
      <c r="O135">
        <v>0</v>
      </c>
      <c r="P135" t="str">
        <f t="shared" si="5"/>
        <v>Non Chronic</v>
      </c>
      <c r="Q135">
        <v>1</v>
      </c>
      <c r="R135">
        <v>1</v>
      </c>
      <c r="S135" t="s">
        <v>0</v>
      </c>
    </row>
    <row r="136" spans="1:19" x14ac:dyDescent="0.3">
      <c r="A136">
        <v>500135</v>
      </c>
      <c r="B136">
        <v>76910</v>
      </c>
      <c r="C136" t="s">
        <v>4</v>
      </c>
      <c r="D136" t="s">
        <v>14</v>
      </c>
      <c r="E136" s="1">
        <v>46140</v>
      </c>
      <c r="F136" t="s">
        <v>912</v>
      </c>
      <c r="G136" s="1">
        <v>46150</v>
      </c>
      <c r="H136" s="1" t="str">
        <f t="shared" si="4"/>
        <v>Friday</v>
      </c>
      <c r="I136">
        <v>19</v>
      </c>
      <c r="J136" t="s">
        <v>20</v>
      </c>
      <c r="K136">
        <v>1</v>
      </c>
      <c r="L136">
        <v>0</v>
      </c>
      <c r="M136">
        <v>0</v>
      </c>
      <c r="N136">
        <v>0</v>
      </c>
      <c r="O136">
        <v>0</v>
      </c>
      <c r="P136" t="str">
        <f t="shared" si="5"/>
        <v>Non Chronic</v>
      </c>
      <c r="Q136">
        <v>0</v>
      </c>
      <c r="R136">
        <v>0</v>
      </c>
      <c r="S136" t="s">
        <v>22</v>
      </c>
    </row>
    <row r="137" spans="1:19" x14ac:dyDescent="0.3">
      <c r="A137">
        <v>500136</v>
      </c>
      <c r="B137">
        <v>40968</v>
      </c>
      <c r="C137" t="s">
        <v>4</v>
      </c>
      <c r="D137" t="s">
        <v>28</v>
      </c>
      <c r="E137" s="1">
        <v>46091</v>
      </c>
      <c r="F137" t="s">
        <v>911</v>
      </c>
      <c r="G137" s="1">
        <v>46121</v>
      </c>
      <c r="H137" s="1" t="str">
        <f t="shared" si="4"/>
        <v>Thursday</v>
      </c>
      <c r="I137">
        <v>68</v>
      </c>
      <c r="J137" t="s">
        <v>5</v>
      </c>
      <c r="K137">
        <v>0</v>
      </c>
      <c r="L137">
        <v>1</v>
      </c>
      <c r="M137">
        <v>1</v>
      </c>
      <c r="N137">
        <v>0</v>
      </c>
      <c r="O137">
        <v>0</v>
      </c>
      <c r="P137" t="str">
        <f t="shared" si="5"/>
        <v>Chronic</v>
      </c>
      <c r="Q137">
        <v>1</v>
      </c>
      <c r="R137">
        <v>0</v>
      </c>
      <c r="S137" t="s">
        <v>9</v>
      </c>
    </row>
    <row r="138" spans="1:19" x14ac:dyDescent="0.3">
      <c r="A138">
        <v>500137</v>
      </c>
      <c r="B138">
        <v>83889</v>
      </c>
      <c r="C138" t="s">
        <v>8</v>
      </c>
      <c r="D138" t="s">
        <v>19</v>
      </c>
      <c r="E138" s="1">
        <v>45989</v>
      </c>
      <c r="F138" t="s">
        <v>910</v>
      </c>
      <c r="G138" s="1">
        <v>45994</v>
      </c>
      <c r="H138" s="1" t="str">
        <f t="shared" si="4"/>
        <v>Wednesday</v>
      </c>
      <c r="I138">
        <v>22</v>
      </c>
      <c r="J138" t="s">
        <v>20</v>
      </c>
      <c r="K138">
        <v>0</v>
      </c>
      <c r="L138">
        <v>0</v>
      </c>
      <c r="M138">
        <v>0</v>
      </c>
      <c r="N138">
        <v>0</v>
      </c>
      <c r="O138">
        <v>0</v>
      </c>
      <c r="P138" t="str">
        <f t="shared" si="5"/>
        <v>Non Chronic</v>
      </c>
      <c r="Q138">
        <v>1</v>
      </c>
      <c r="R138">
        <v>0</v>
      </c>
      <c r="S138" t="s">
        <v>22</v>
      </c>
    </row>
    <row r="139" spans="1:19" x14ac:dyDescent="0.3">
      <c r="A139">
        <v>500138</v>
      </c>
      <c r="B139">
        <v>87518</v>
      </c>
      <c r="C139" t="s">
        <v>4</v>
      </c>
      <c r="D139" t="s">
        <v>19</v>
      </c>
      <c r="E139" s="1">
        <v>45991</v>
      </c>
      <c r="F139" t="s">
        <v>909</v>
      </c>
      <c r="G139" s="1">
        <v>45996</v>
      </c>
      <c r="H139" s="1" t="str">
        <f t="shared" si="4"/>
        <v>Friday</v>
      </c>
      <c r="I139">
        <v>31</v>
      </c>
      <c r="J139" t="s">
        <v>12</v>
      </c>
      <c r="K139">
        <v>0</v>
      </c>
      <c r="L139">
        <v>0</v>
      </c>
      <c r="M139">
        <v>0</v>
      </c>
      <c r="N139">
        <v>0</v>
      </c>
      <c r="O139">
        <v>0</v>
      </c>
      <c r="P139" t="str">
        <f t="shared" si="5"/>
        <v>Non Chronic</v>
      </c>
      <c r="Q139">
        <v>1</v>
      </c>
      <c r="R139">
        <v>0</v>
      </c>
      <c r="S139" t="s">
        <v>22</v>
      </c>
    </row>
    <row r="140" spans="1:19" x14ac:dyDescent="0.3">
      <c r="A140">
        <v>500139</v>
      </c>
      <c r="B140">
        <v>20057</v>
      </c>
      <c r="C140" t="s">
        <v>4</v>
      </c>
      <c r="D140" t="s">
        <v>3</v>
      </c>
      <c r="E140" s="1">
        <v>46034</v>
      </c>
      <c r="F140" t="s">
        <v>829</v>
      </c>
      <c r="G140" s="1">
        <v>46037</v>
      </c>
      <c r="H140" s="1" t="str">
        <f t="shared" si="4"/>
        <v>Thursday</v>
      </c>
      <c r="I140">
        <v>54</v>
      </c>
      <c r="J140" t="s">
        <v>10</v>
      </c>
      <c r="K140">
        <v>0</v>
      </c>
      <c r="L140">
        <v>0</v>
      </c>
      <c r="M140">
        <v>0</v>
      </c>
      <c r="N140">
        <v>0</v>
      </c>
      <c r="O140">
        <v>0</v>
      </c>
      <c r="P140" t="str">
        <f t="shared" si="5"/>
        <v>Non Chronic</v>
      </c>
      <c r="Q140">
        <v>1</v>
      </c>
      <c r="R140">
        <v>0</v>
      </c>
      <c r="S140" t="s">
        <v>0</v>
      </c>
    </row>
    <row r="141" spans="1:19" x14ac:dyDescent="0.3">
      <c r="A141">
        <v>500140</v>
      </c>
      <c r="B141">
        <v>18109</v>
      </c>
      <c r="C141" t="s">
        <v>8</v>
      </c>
      <c r="D141" t="s">
        <v>58</v>
      </c>
      <c r="E141" s="1">
        <v>46099</v>
      </c>
      <c r="F141" t="s">
        <v>39</v>
      </c>
      <c r="G141" s="1">
        <v>46129</v>
      </c>
      <c r="H141" s="1" t="str">
        <f t="shared" si="4"/>
        <v>Friday</v>
      </c>
      <c r="I141">
        <v>13</v>
      </c>
      <c r="J141" t="s">
        <v>20</v>
      </c>
      <c r="K141">
        <v>0</v>
      </c>
      <c r="L141">
        <v>0</v>
      </c>
      <c r="M141">
        <v>0</v>
      </c>
      <c r="N141">
        <v>0</v>
      </c>
      <c r="O141">
        <v>0</v>
      </c>
      <c r="P141" t="str">
        <f t="shared" si="5"/>
        <v>Non Chronic</v>
      </c>
      <c r="Q141">
        <v>1</v>
      </c>
      <c r="R141">
        <v>0</v>
      </c>
      <c r="S141" t="s">
        <v>30</v>
      </c>
    </row>
    <row r="142" spans="1:19" x14ac:dyDescent="0.3">
      <c r="A142">
        <v>500141</v>
      </c>
      <c r="B142">
        <v>15130</v>
      </c>
      <c r="C142" t="s">
        <v>4</v>
      </c>
      <c r="D142" t="s">
        <v>7</v>
      </c>
      <c r="E142" s="1">
        <v>45994</v>
      </c>
      <c r="F142" t="s">
        <v>547</v>
      </c>
      <c r="G142" s="1">
        <v>45997</v>
      </c>
      <c r="H142" s="1" t="str">
        <f t="shared" si="4"/>
        <v>Saturday</v>
      </c>
      <c r="I142">
        <v>42</v>
      </c>
      <c r="J142" t="s">
        <v>10</v>
      </c>
      <c r="K142">
        <v>0</v>
      </c>
      <c r="L142">
        <v>0</v>
      </c>
      <c r="M142">
        <v>0</v>
      </c>
      <c r="N142">
        <v>0</v>
      </c>
      <c r="O142">
        <v>0</v>
      </c>
      <c r="P142" t="str">
        <f t="shared" si="5"/>
        <v>Non Chronic</v>
      </c>
      <c r="Q142">
        <v>0</v>
      </c>
      <c r="R142">
        <v>0</v>
      </c>
      <c r="S142" t="s">
        <v>0</v>
      </c>
    </row>
    <row r="143" spans="1:19" x14ac:dyDescent="0.3">
      <c r="A143">
        <v>500142</v>
      </c>
      <c r="B143">
        <v>16863</v>
      </c>
      <c r="C143" t="s">
        <v>8</v>
      </c>
      <c r="D143" t="s">
        <v>58</v>
      </c>
      <c r="E143" s="1">
        <v>46040</v>
      </c>
      <c r="F143" t="s">
        <v>895</v>
      </c>
      <c r="G143" s="1">
        <v>46070</v>
      </c>
      <c r="H143" s="1" t="str">
        <f t="shared" si="4"/>
        <v>Tuesday</v>
      </c>
      <c r="I143">
        <v>64</v>
      </c>
      <c r="J143" t="s">
        <v>20</v>
      </c>
      <c r="K143">
        <v>0</v>
      </c>
      <c r="L143">
        <v>0</v>
      </c>
      <c r="M143">
        <v>0</v>
      </c>
      <c r="N143">
        <v>0</v>
      </c>
      <c r="O143">
        <v>0</v>
      </c>
      <c r="P143" t="str">
        <f t="shared" si="5"/>
        <v>Non Chronic</v>
      </c>
      <c r="Q143">
        <v>1</v>
      </c>
      <c r="R143">
        <v>1</v>
      </c>
      <c r="S143" t="s">
        <v>9</v>
      </c>
    </row>
    <row r="144" spans="1:19" x14ac:dyDescent="0.3">
      <c r="A144">
        <v>500143</v>
      </c>
      <c r="B144">
        <v>20682</v>
      </c>
      <c r="C144" t="s">
        <v>4</v>
      </c>
      <c r="D144" t="s">
        <v>19</v>
      </c>
      <c r="E144" s="1">
        <v>46087</v>
      </c>
      <c r="F144" t="s">
        <v>908</v>
      </c>
      <c r="G144" s="1">
        <v>46117</v>
      </c>
      <c r="H144" s="1" t="str">
        <f t="shared" si="4"/>
        <v>Sunday</v>
      </c>
      <c r="I144">
        <v>5</v>
      </c>
      <c r="J144" t="s">
        <v>5</v>
      </c>
      <c r="K144">
        <v>0</v>
      </c>
      <c r="L144">
        <v>0</v>
      </c>
      <c r="M144">
        <v>0</v>
      </c>
      <c r="N144">
        <v>0</v>
      </c>
      <c r="O144">
        <v>0</v>
      </c>
      <c r="P144" t="str">
        <f t="shared" si="5"/>
        <v>Non Chronic</v>
      </c>
      <c r="Q144">
        <v>1</v>
      </c>
      <c r="R144">
        <v>0</v>
      </c>
      <c r="S144" t="s">
        <v>30</v>
      </c>
    </row>
    <row r="145" spans="1:19" x14ac:dyDescent="0.3">
      <c r="A145">
        <v>500144</v>
      </c>
      <c r="B145">
        <v>87993</v>
      </c>
      <c r="C145" t="s">
        <v>4</v>
      </c>
      <c r="D145" t="s">
        <v>25</v>
      </c>
      <c r="E145" s="1">
        <v>46105</v>
      </c>
      <c r="F145" t="s">
        <v>907</v>
      </c>
      <c r="G145" s="1">
        <v>46106</v>
      </c>
      <c r="H145" s="1" t="str">
        <f t="shared" si="4"/>
        <v>Wednesday</v>
      </c>
      <c r="I145">
        <v>41</v>
      </c>
      <c r="J145" t="s">
        <v>12</v>
      </c>
      <c r="K145">
        <v>1</v>
      </c>
      <c r="L145">
        <v>0</v>
      </c>
      <c r="M145">
        <v>0</v>
      </c>
      <c r="N145">
        <v>0</v>
      </c>
      <c r="O145">
        <v>0</v>
      </c>
      <c r="P145" t="str">
        <f t="shared" si="5"/>
        <v>Non Chronic</v>
      </c>
      <c r="Q145">
        <v>1</v>
      </c>
      <c r="R145">
        <v>0</v>
      </c>
      <c r="S145" t="s">
        <v>0</v>
      </c>
    </row>
    <row r="146" spans="1:19" x14ac:dyDescent="0.3">
      <c r="A146">
        <v>500145</v>
      </c>
      <c r="B146">
        <v>99838</v>
      </c>
      <c r="C146" t="s">
        <v>4</v>
      </c>
      <c r="D146" t="s">
        <v>3</v>
      </c>
      <c r="E146" s="1">
        <v>46046</v>
      </c>
      <c r="F146" t="s">
        <v>906</v>
      </c>
      <c r="G146" s="1">
        <v>46076</v>
      </c>
      <c r="H146" s="1" t="str">
        <f t="shared" si="4"/>
        <v>Monday</v>
      </c>
      <c r="I146">
        <v>43</v>
      </c>
      <c r="J146" t="s">
        <v>12</v>
      </c>
      <c r="K146">
        <v>1</v>
      </c>
      <c r="L146">
        <v>0</v>
      </c>
      <c r="M146">
        <v>1</v>
      </c>
      <c r="N146">
        <v>0</v>
      </c>
      <c r="O146">
        <v>0</v>
      </c>
      <c r="P146" t="str">
        <f t="shared" si="5"/>
        <v>Chronic</v>
      </c>
      <c r="Q146">
        <v>1</v>
      </c>
      <c r="R146">
        <v>0</v>
      </c>
      <c r="S146" t="s">
        <v>0</v>
      </c>
    </row>
    <row r="147" spans="1:19" x14ac:dyDescent="0.3">
      <c r="A147">
        <v>500146</v>
      </c>
      <c r="B147">
        <v>35166</v>
      </c>
      <c r="C147" t="s">
        <v>4</v>
      </c>
      <c r="D147" t="s">
        <v>28</v>
      </c>
      <c r="E147" s="1">
        <v>46162</v>
      </c>
      <c r="F147" t="s">
        <v>905</v>
      </c>
      <c r="G147" s="1">
        <v>46167</v>
      </c>
      <c r="H147" s="1" t="str">
        <f t="shared" si="4"/>
        <v>Monday</v>
      </c>
      <c r="I147">
        <v>53</v>
      </c>
      <c r="J147" t="s">
        <v>31</v>
      </c>
      <c r="K147">
        <v>0</v>
      </c>
      <c r="L147">
        <v>1</v>
      </c>
      <c r="M147">
        <v>0</v>
      </c>
      <c r="N147">
        <v>0</v>
      </c>
      <c r="O147">
        <v>0</v>
      </c>
      <c r="P147" t="str">
        <f t="shared" si="5"/>
        <v>Chronic</v>
      </c>
      <c r="Q147">
        <v>0</v>
      </c>
      <c r="R147">
        <v>0</v>
      </c>
      <c r="S147" t="s">
        <v>0</v>
      </c>
    </row>
    <row r="148" spans="1:19" x14ac:dyDescent="0.3">
      <c r="A148">
        <v>500147</v>
      </c>
      <c r="B148">
        <v>96760</v>
      </c>
      <c r="C148" t="s">
        <v>8</v>
      </c>
      <c r="D148" t="s">
        <v>28</v>
      </c>
      <c r="E148" s="1">
        <v>46157</v>
      </c>
      <c r="F148" t="s">
        <v>802</v>
      </c>
      <c r="G148" s="1">
        <v>46160</v>
      </c>
      <c r="H148" s="1" t="str">
        <f t="shared" si="4"/>
        <v>Monday</v>
      </c>
      <c r="I148">
        <v>13</v>
      </c>
      <c r="J148" t="s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 t="str">
        <f t="shared" si="5"/>
        <v>Non Chronic</v>
      </c>
      <c r="Q148">
        <v>1</v>
      </c>
      <c r="R148">
        <v>0</v>
      </c>
      <c r="S148" t="s">
        <v>30</v>
      </c>
    </row>
    <row r="149" spans="1:19" x14ac:dyDescent="0.3">
      <c r="A149">
        <v>500148</v>
      </c>
      <c r="B149">
        <v>91885</v>
      </c>
      <c r="C149" t="s">
        <v>4</v>
      </c>
      <c r="D149" t="s">
        <v>7</v>
      </c>
      <c r="E149" s="1">
        <v>46121</v>
      </c>
      <c r="F149" t="s">
        <v>904</v>
      </c>
      <c r="G149" s="1">
        <v>46124</v>
      </c>
      <c r="H149" s="1" t="str">
        <f t="shared" si="4"/>
        <v>Sunday</v>
      </c>
      <c r="I149">
        <v>11</v>
      </c>
      <c r="J149" t="s">
        <v>17</v>
      </c>
      <c r="K149">
        <v>0</v>
      </c>
      <c r="L149">
        <v>0</v>
      </c>
      <c r="M149">
        <v>0</v>
      </c>
      <c r="N149">
        <v>0</v>
      </c>
      <c r="O149">
        <v>0</v>
      </c>
      <c r="P149" t="str">
        <f t="shared" si="5"/>
        <v>Non Chronic</v>
      </c>
      <c r="Q149">
        <v>1</v>
      </c>
      <c r="R149">
        <v>0</v>
      </c>
      <c r="S149" t="s">
        <v>30</v>
      </c>
    </row>
    <row r="150" spans="1:19" x14ac:dyDescent="0.3">
      <c r="A150">
        <v>500149</v>
      </c>
      <c r="B150">
        <v>68222</v>
      </c>
      <c r="C150" t="s">
        <v>8</v>
      </c>
      <c r="D150" t="s">
        <v>7</v>
      </c>
      <c r="E150" s="1">
        <v>46129</v>
      </c>
      <c r="F150" t="s">
        <v>432</v>
      </c>
      <c r="G150" s="1">
        <v>46144</v>
      </c>
      <c r="H150" s="1" t="str">
        <f t="shared" si="4"/>
        <v>Saturday</v>
      </c>
      <c r="I150">
        <v>48</v>
      </c>
      <c r="J150" t="s">
        <v>45</v>
      </c>
      <c r="K150">
        <v>0</v>
      </c>
      <c r="L150">
        <v>1</v>
      </c>
      <c r="M150">
        <v>0</v>
      </c>
      <c r="N150">
        <v>0</v>
      </c>
      <c r="O150">
        <v>0</v>
      </c>
      <c r="P150" t="str">
        <f t="shared" si="5"/>
        <v>Chronic</v>
      </c>
      <c r="Q150">
        <v>1</v>
      </c>
      <c r="R150">
        <v>0</v>
      </c>
      <c r="S150" t="s">
        <v>0</v>
      </c>
    </row>
    <row r="151" spans="1:19" x14ac:dyDescent="0.3">
      <c r="A151">
        <v>500150</v>
      </c>
      <c r="B151">
        <v>67749</v>
      </c>
      <c r="C151" t="s">
        <v>8</v>
      </c>
      <c r="D151" t="s">
        <v>25</v>
      </c>
      <c r="E151" s="1">
        <v>46032</v>
      </c>
      <c r="F151" t="s">
        <v>616</v>
      </c>
      <c r="G151" s="1">
        <v>46047</v>
      </c>
      <c r="H151" s="1" t="str">
        <f t="shared" si="4"/>
        <v>Sunday</v>
      </c>
      <c r="I151">
        <v>43</v>
      </c>
      <c r="J151" t="s">
        <v>23</v>
      </c>
      <c r="K151">
        <v>1</v>
      </c>
      <c r="L151">
        <v>0</v>
      </c>
      <c r="M151">
        <v>0</v>
      </c>
      <c r="N151">
        <v>0</v>
      </c>
      <c r="O151">
        <v>0</v>
      </c>
      <c r="P151" t="str">
        <f t="shared" si="5"/>
        <v>Non Chronic</v>
      </c>
      <c r="Q151">
        <v>1</v>
      </c>
      <c r="R151">
        <v>1</v>
      </c>
      <c r="S151" t="s">
        <v>0</v>
      </c>
    </row>
    <row r="152" spans="1:19" x14ac:dyDescent="0.3">
      <c r="A152">
        <v>500151</v>
      </c>
      <c r="B152">
        <v>94040</v>
      </c>
      <c r="C152" t="s">
        <v>8</v>
      </c>
      <c r="D152" t="s">
        <v>19</v>
      </c>
      <c r="E152" s="1">
        <v>46111</v>
      </c>
      <c r="F152" t="s">
        <v>903</v>
      </c>
      <c r="G152" s="1">
        <v>46112</v>
      </c>
      <c r="H152" s="1" t="str">
        <f t="shared" si="4"/>
        <v>Tuesday</v>
      </c>
      <c r="I152">
        <v>43</v>
      </c>
      <c r="J152" t="s">
        <v>12</v>
      </c>
      <c r="K152">
        <v>0</v>
      </c>
      <c r="L152">
        <v>0</v>
      </c>
      <c r="M152">
        <v>0</v>
      </c>
      <c r="N152">
        <v>0</v>
      </c>
      <c r="O152">
        <v>0</v>
      </c>
      <c r="P152" t="str">
        <f t="shared" si="5"/>
        <v>Non Chronic</v>
      </c>
      <c r="Q152">
        <v>1</v>
      </c>
      <c r="R152">
        <v>1</v>
      </c>
      <c r="S152" t="s">
        <v>0</v>
      </c>
    </row>
    <row r="153" spans="1:19" x14ac:dyDescent="0.3">
      <c r="A153">
        <v>500152</v>
      </c>
      <c r="B153">
        <v>68893</v>
      </c>
      <c r="C153" t="s">
        <v>4</v>
      </c>
      <c r="D153" t="s">
        <v>3</v>
      </c>
      <c r="E153" s="1">
        <v>46050</v>
      </c>
      <c r="F153" t="s">
        <v>902</v>
      </c>
      <c r="G153" s="1">
        <v>46070</v>
      </c>
      <c r="H153" s="1" t="str">
        <f t="shared" si="4"/>
        <v>Tuesday</v>
      </c>
      <c r="I153">
        <v>44</v>
      </c>
      <c r="J153" t="s">
        <v>15</v>
      </c>
      <c r="K153">
        <v>0</v>
      </c>
      <c r="L153">
        <v>0</v>
      </c>
      <c r="M153">
        <v>0</v>
      </c>
      <c r="N153">
        <v>0</v>
      </c>
      <c r="O153">
        <v>0</v>
      </c>
      <c r="P153" t="str">
        <f t="shared" si="5"/>
        <v>Non Chronic</v>
      </c>
      <c r="Q153">
        <v>1</v>
      </c>
      <c r="R153">
        <v>0</v>
      </c>
      <c r="S153" t="s">
        <v>0</v>
      </c>
    </row>
    <row r="154" spans="1:19" x14ac:dyDescent="0.3">
      <c r="A154">
        <v>500153</v>
      </c>
      <c r="B154">
        <v>59015</v>
      </c>
      <c r="C154" t="s">
        <v>4</v>
      </c>
      <c r="D154" t="s">
        <v>3</v>
      </c>
      <c r="E154" s="1">
        <v>46071</v>
      </c>
      <c r="F154" t="s">
        <v>150</v>
      </c>
      <c r="G154" s="1">
        <v>46074</v>
      </c>
      <c r="H154" s="1" t="str">
        <f t="shared" si="4"/>
        <v>Saturday</v>
      </c>
      <c r="I154">
        <v>24</v>
      </c>
      <c r="J154" t="s">
        <v>15</v>
      </c>
      <c r="K154">
        <v>1</v>
      </c>
      <c r="L154">
        <v>0</v>
      </c>
      <c r="M154">
        <v>0</v>
      </c>
      <c r="N154">
        <v>0</v>
      </c>
      <c r="O154">
        <v>0</v>
      </c>
      <c r="P154" t="str">
        <f t="shared" si="5"/>
        <v>Non Chronic</v>
      </c>
      <c r="Q154">
        <v>1</v>
      </c>
      <c r="R154">
        <v>0</v>
      </c>
      <c r="S154" t="s">
        <v>22</v>
      </c>
    </row>
    <row r="155" spans="1:19" x14ac:dyDescent="0.3">
      <c r="A155">
        <v>500154</v>
      </c>
      <c r="B155">
        <v>53947</v>
      </c>
      <c r="C155" t="s">
        <v>4</v>
      </c>
      <c r="D155" t="s">
        <v>28</v>
      </c>
      <c r="E155" s="1">
        <v>46151</v>
      </c>
      <c r="F155" t="s">
        <v>901</v>
      </c>
      <c r="G155" s="1">
        <v>46166</v>
      </c>
      <c r="H155" s="1" t="str">
        <f t="shared" si="4"/>
        <v>Sunday</v>
      </c>
      <c r="I155">
        <v>42</v>
      </c>
      <c r="J155" t="s">
        <v>17</v>
      </c>
      <c r="K155">
        <v>1</v>
      </c>
      <c r="L155">
        <v>0</v>
      </c>
      <c r="M155">
        <v>0</v>
      </c>
      <c r="N155">
        <v>0</v>
      </c>
      <c r="O155">
        <v>0</v>
      </c>
      <c r="P155" t="str">
        <f t="shared" si="5"/>
        <v>Non Chronic</v>
      </c>
      <c r="Q155">
        <v>0</v>
      </c>
      <c r="R155">
        <v>0</v>
      </c>
      <c r="S155" t="s">
        <v>0</v>
      </c>
    </row>
    <row r="156" spans="1:19" x14ac:dyDescent="0.3">
      <c r="A156">
        <v>500155</v>
      </c>
      <c r="B156">
        <v>90654</v>
      </c>
      <c r="C156" t="s">
        <v>4</v>
      </c>
      <c r="D156" t="s">
        <v>58</v>
      </c>
      <c r="E156" s="1">
        <v>46057</v>
      </c>
      <c r="F156" t="s">
        <v>97</v>
      </c>
      <c r="G156" s="1">
        <v>46077</v>
      </c>
      <c r="H156" s="1" t="str">
        <f t="shared" si="4"/>
        <v>Tuesday</v>
      </c>
      <c r="I156">
        <v>43</v>
      </c>
      <c r="J156" t="s">
        <v>17</v>
      </c>
      <c r="K156">
        <v>1</v>
      </c>
      <c r="L156">
        <v>0</v>
      </c>
      <c r="M156">
        <v>1</v>
      </c>
      <c r="N156">
        <v>0</v>
      </c>
      <c r="O156">
        <v>0</v>
      </c>
      <c r="P156" t="str">
        <f t="shared" si="5"/>
        <v>Chronic</v>
      </c>
      <c r="Q156">
        <v>1</v>
      </c>
      <c r="R156">
        <v>0</v>
      </c>
      <c r="S156" t="s">
        <v>0</v>
      </c>
    </row>
    <row r="157" spans="1:19" x14ac:dyDescent="0.3">
      <c r="A157">
        <v>500156</v>
      </c>
      <c r="B157">
        <v>47762</v>
      </c>
      <c r="C157" t="s">
        <v>4</v>
      </c>
      <c r="D157" t="s">
        <v>25</v>
      </c>
      <c r="E157" s="1">
        <v>46024</v>
      </c>
      <c r="F157" t="s">
        <v>412</v>
      </c>
      <c r="G157" s="1">
        <v>46031</v>
      </c>
      <c r="H157" s="1" t="str">
        <f t="shared" si="4"/>
        <v>Friday</v>
      </c>
      <c r="I157">
        <v>23</v>
      </c>
      <c r="J157" t="s">
        <v>15</v>
      </c>
      <c r="K157">
        <v>0</v>
      </c>
      <c r="L157">
        <v>0</v>
      </c>
      <c r="M157">
        <v>0</v>
      </c>
      <c r="N157">
        <v>0</v>
      </c>
      <c r="O157">
        <v>0</v>
      </c>
      <c r="P157" t="str">
        <f t="shared" si="5"/>
        <v>Non Chronic</v>
      </c>
      <c r="Q157">
        <v>1</v>
      </c>
      <c r="R157">
        <v>1</v>
      </c>
      <c r="S157" t="s">
        <v>22</v>
      </c>
    </row>
    <row r="158" spans="1:19" x14ac:dyDescent="0.3">
      <c r="A158">
        <v>500157</v>
      </c>
      <c r="B158">
        <v>75513</v>
      </c>
      <c r="C158" t="s">
        <v>4</v>
      </c>
      <c r="D158" t="s">
        <v>14</v>
      </c>
      <c r="E158" s="1">
        <v>45981</v>
      </c>
      <c r="F158" t="s">
        <v>900</v>
      </c>
      <c r="G158" s="1">
        <v>45991</v>
      </c>
      <c r="H158" s="1" t="str">
        <f t="shared" si="4"/>
        <v>Sunday</v>
      </c>
      <c r="I158">
        <v>75</v>
      </c>
      <c r="J158" t="s">
        <v>31</v>
      </c>
      <c r="K158">
        <v>1</v>
      </c>
      <c r="L158">
        <v>0</v>
      </c>
      <c r="M158">
        <v>0</v>
      </c>
      <c r="N158">
        <v>0</v>
      </c>
      <c r="O158">
        <v>0</v>
      </c>
      <c r="P158" t="str">
        <f t="shared" si="5"/>
        <v>Non Chronic</v>
      </c>
      <c r="Q158">
        <v>1</v>
      </c>
      <c r="R158">
        <v>0</v>
      </c>
      <c r="S158" t="s">
        <v>9</v>
      </c>
    </row>
    <row r="159" spans="1:19" x14ac:dyDescent="0.3">
      <c r="A159">
        <v>500158</v>
      </c>
      <c r="B159">
        <v>18870</v>
      </c>
      <c r="C159" t="s">
        <v>4</v>
      </c>
      <c r="D159" t="s">
        <v>3</v>
      </c>
      <c r="E159" s="1">
        <v>46041</v>
      </c>
      <c r="F159" t="s">
        <v>899</v>
      </c>
      <c r="G159" s="1">
        <v>46041</v>
      </c>
      <c r="H159" s="1" t="str">
        <f t="shared" si="4"/>
        <v>Monday</v>
      </c>
      <c r="I159">
        <v>47</v>
      </c>
      <c r="J159" t="s">
        <v>10</v>
      </c>
      <c r="K159">
        <v>0</v>
      </c>
      <c r="L159">
        <v>0</v>
      </c>
      <c r="M159">
        <v>0</v>
      </c>
      <c r="N159">
        <v>0</v>
      </c>
      <c r="O159">
        <v>0</v>
      </c>
      <c r="P159" t="str">
        <f t="shared" si="5"/>
        <v>Non Chronic</v>
      </c>
      <c r="Q159">
        <v>0</v>
      </c>
      <c r="R159">
        <v>0</v>
      </c>
      <c r="S159" t="s">
        <v>0</v>
      </c>
    </row>
    <row r="160" spans="1:19" x14ac:dyDescent="0.3">
      <c r="A160">
        <v>500159</v>
      </c>
      <c r="B160">
        <v>96127</v>
      </c>
      <c r="C160" t="s">
        <v>4</v>
      </c>
      <c r="D160" t="s">
        <v>19</v>
      </c>
      <c r="E160" s="1">
        <v>46094</v>
      </c>
      <c r="F160" t="s">
        <v>884</v>
      </c>
      <c r="G160" s="1">
        <v>46094</v>
      </c>
      <c r="H160" s="1" t="str">
        <f t="shared" si="4"/>
        <v>Friday</v>
      </c>
      <c r="I160">
        <v>14</v>
      </c>
      <c r="J160" t="s">
        <v>31</v>
      </c>
      <c r="K160">
        <v>0</v>
      </c>
      <c r="L160">
        <v>0</v>
      </c>
      <c r="M160">
        <v>0</v>
      </c>
      <c r="N160">
        <v>0</v>
      </c>
      <c r="O160">
        <v>0</v>
      </c>
      <c r="P160" t="str">
        <f t="shared" si="5"/>
        <v>Non Chronic</v>
      </c>
      <c r="Q160">
        <v>1</v>
      </c>
      <c r="R160">
        <v>0</v>
      </c>
      <c r="S160" t="s">
        <v>30</v>
      </c>
    </row>
    <row r="161" spans="1:19" x14ac:dyDescent="0.3">
      <c r="A161">
        <v>500160</v>
      </c>
      <c r="B161">
        <v>32949</v>
      </c>
      <c r="C161" t="s">
        <v>8</v>
      </c>
      <c r="D161" t="s">
        <v>7</v>
      </c>
      <c r="E161" s="1">
        <v>46090</v>
      </c>
      <c r="F161" t="s">
        <v>492</v>
      </c>
      <c r="G161" s="1">
        <v>46092</v>
      </c>
      <c r="H161" s="1" t="str">
        <f t="shared" si="4"/>
        <v>Wednesday</v>
      </c>
      <c r="I161">
        <v>51</v>
      </c>
      <c r="J161" t="s">
        <v>31</v>
      </c>
      <c r="K161">
        <v>0</v>
      </c>
      <c r="L161">
        <v>1</v>
      </c>
      <c r="M161">
        <v>0</v>
      </c>
      <c r="N161">
        <v>0</v>
      </c>
      <c r="O161">
        <v>0</v>
      </c>
      <c r="P161" t="str">
        <f t="shared" si="5"/>
        <v>Chronic</v>
      </c>
      <c r="Q161">
        <v>1</v>
      </c>
      <c r="R161">
        <v>0</v>
      </c>
      <c r="S161" t="s">
        <v>0</v>
      </c>
    </row>
    <row r="162" spans="1:19" x14ac:dyDescent="0.3">
      <c r="A162">
        <v>500161</v>
      </c>
      <c r="B162">
        <v>15492</v>
      </c>
      <c r="C162" t="s">
        <v>8</v>
      </c>
      <c r="D162" t="s">
        <v>25</v>
      </c>
      <c r="E162" s="1">
        <v>46072</v>
      </c>
      <c r="F162" t="s">
        <v>701</v>
      </c>
      <c r="G162" s="1">
        <v>46075</v>
      </c>
      <c r="H162" s="1" t="str">
        <f t="shared" si="4"/>
        <v>Sunday</v>
      </c>
      <c r="I162">
        <v>18</v>
      </c>
      <c r="J162" t="s">
        <v>12</v>
      </c>
      <c r="K162">
        <v>0</v>
      </c>
      <c r="L162">
        <v>0</v>
      </c>
      <c r="M162">
        <v>0</v>
      </c>
      <c r="N162">
        <v>0</v>
      </c>
      <c r="O162">
        <v>0</v>
      </c>
      <c r="P162" t="str">
        <f t="shared" si="5"/>
        <v>Non Chronic</v>
      </c>
      <c r="Q162">
        <v>0</v>
      </c>
      <c r="R162">
        <v>0</v>
      </c>
      <c r="S162" t="s">
        <v>30</v>
      </c>
    </row>
    <row r="163" spans="1:19" x14ac:dyDescent="0.3">
      <c r="A163">
        <v>500162</v>
      </c>
      <c r="B163">
        <v>14799</v>
      </c>
      <c r="C163" t="s">
        <v>4</v>
      </c>
      <c r="D163" t="s">
        <v>25</v>
      </c>
      <c r="E163" s="1">
        <v>46135</v>
      </c>
      <c r="F163" t="s">
        <v>844</v>
      </c>
      <c r="G163" s="1">
        <v>46138</v>
      </c>
      <c r="H163" s="1" t="str">
        <f t="shared" si="4"/>
        <v>Sunday</v>
      </c>
      <c r="I163">
        <v>53</v>
      </c>
      <c r="J163" t="s">
        <v>20</v>
      </c>
      <c r="K163">
        <v>0</v>
      </c>
      <c r="L163">
        <v>0</v>
      </c>
      <c r="M163">
        <v>0</v>
      </c>
      <c r="N163">
        <v>0</v>
      </c>
      <c r="O163">
        <v>0</v>
      </c>
      <c r="P163" t="str">
        <f t="shared" si="5"/>
        <v>Non Chronic</v>
      </c>
      <c r="Q163">
        <v>0</v>
      </c>
      <c r="R163">
        <v>0</v>
      </c>
      <c r="S163" t="s">
        <v>0</v>
      </c>
    </row>
    <row r="164" spans="1:19" x14ac:dyDescent="0.3">
      <c r="A164">
        <v>500163</v>
      </c>
      <c r="B164">
        <v>60678</v>
      </c>
      <c r="C164" t="s">
        <v>8</v>
      </c>
      <c r="D164" t="s">
        <v>28</v>
      </c>
      <c r="E164" s="1">
        <v>46038</v>
      </c>
      <c r="F164" t="s">
        <v>898</v>
      </c>
      <c r="G164" s="1">
        <v>46041</v>
      </c>
      <c r="H164" s="1" t="str">
        <f t="shared" si="4"/>
        <v>Monday</v>
      </c>
      <c r="I164">
        <v>61</v>
      </c>
      <c r="J164" t="s">
        <v>10</v>
      </c>
      <c r="K164">
        <v>1</v>
      </c>
      <c r="L164">
        <v>0</v>
      </c>
      <c r="M164">
        <v>0</v>
      </c>
      <c r="N164">
        <v>0</v>
      </c>
      <c r="O164">
        <v>0</v>
      </c>
      <c r="P164" t="str">
        <f t="shared" si="5"/>
        <v>Non Chronic</v>
      </c>
      <c r="Q164">
        <v>1</v>
      </c>
      <c r="R164">
        <v>0</v>
      </c>
      <c r="S164" t="s">
        <v>9</v>
      </c>
    </row>
    <row r="165" spans="1:19" x14ac:dyDescent="0.3">
      <c r="A165">
        <v>500164</v>
      </c>
      <c r="B165">
        <v>33652</v>
      </c>
      <c r="C165" t="s">
        <v>8</v>
      </c>
      <c r="D165" t="s">
        <v>19</v>
      </c>
      <c r="E165" s="1">
        <v>46028</v>
      </c>
      <c r="F165" t="s">
        <v>270</v>
      </c>
      <c r="G165" s="1">
        <v>46030</v>
      </c>
      <c r="H165" s="1" t="str">
        <f t="shared" si="4"/>
        <v>Thursday</v>
      </c>
      <c r="I165">
        <v>21</v>
      </c>
      <c r="J165" t="s">
        <v>15</v>
      </c>
      <c r="K165">
        <v>0</v>
      </c>
      <c r="L165">
        <v>0</v>
      </c>
      <c r="M165">
        <v>0</v>
      </c>
      <c r="N165">
        <v>0</v>
      </c>
      <c r="O165">
        <v>0</v>
      </c>
      <c r="P165" t="str">
        <f t="shared" si="5"/>
        <v>Non Chronic</v>
      </c>
      <c r="Q165">
        <v>1</v>
      </c>
      <c r="R165">
        <v>0</v>
      </c>
      <c r="S165" t="s">
        <v>22</v>
      </c>
    </row>
    <row r="166" spans="1:19" x14ac:dyDescent="0.3">
      <c r="A166">
        <v>500165</v>
      </c>
      <c r="B166">
        <v>31842</v>
      </c>
      <c r="C166" t="s">
        <v>8</v>
      </c>
      <c r="D166" t="s">
        <v>19</v>
      </c>
      <c r="E166" s="1">
        <v>46106</v>
      </c>
      <c r="F166" t="s">
        <v>897</v>
      </c>
      <c r="G166" s="1">
        <v>46113</v>
      </c>
      <c r="H166" s="1" t="str">
        <f t="shared" si="4"/>
        <v>Wednesday</v>
      </c>
      <c r="I166">
        <v>57</v>
      </c>
      <c r="J166" t="s">
        <v>10</v>
      </c>
      <c r="K166">
        <v>0</v>
      </c>
      <c r="L166">
        <v>0</v>
      </c>
      <c r="M166">
        <v>0</v>
      </c>
      <c r="N166">
        <v>0</v>
      </c>
      <c r="O166">
        <v>0</v>
      </c>
      <c r="P166" t="str">
        <f t="shared" si="5"/>
        <v>Non Chronic</v>
      </c>
      <c r="Q166">
        <v>0</v>
      </c>
      <c r="R166">
        <v>1</v>
      </c>
      <c r="S166" t="s">
        <v>0</v>
      </c>
    </row>
    <row r="167" spans="1:19" x14ac:dyDescent="0.3">
      <c r="A167">
        <v>500166</v>
      </c>
      <c r="B167">
        <v>97973</v>
      </c>
      <c r="C167" t="s">
        <v>8</v>
      </c>
      <c r="D167" t="s">
        <v>19</v>
      </c>
      <c r="E167" s="1">
        <v>45984</v>
      </c>
      <c r="F167" t="s">
        <v>896</v>
      </c>
      <c r="G167" s="1">
        <v>45999</v>
      </c>
      <c r="H167" s="1" t="str">
        <f t="shared" si="4"/>
        <v>Monday</v>
      </c>
      <c r="I167">
        <v>46</v>
      </c>
      <c r="J167" t="s">
        <v>12</v>
      </c>
      <c r="K167">
        <v>0</v>
      </c>
      <c r="L167">
        <v>0</v>
      </c>
      <c r="M167">
        <v>1</v>
      </c>
      <c r="N167">
        <v>0</v>
      </c>
      <c r="O167">
        <v>0</v>
      </c>
      <c r="P167" t="str">
        <f t="shared" si="5"/>
        <v>Chronic</v>
      </c>
      <c r="Q167">
        <v>1</v>
      </c>
      <c r="R167">
        <v>1</v>
      </c>
      <c r="S167" t="s">
        <v>0</v>
      </c>
    </row>
    <row r="168" spans="1:19" x14ac:dyDescent="0.3">
      <c r="A168">
        <v>500167</v>
      </c>
      <c r="B168">
        <v>94562</v>
      </c>
      <c r="C168" t="s">
        <v>8</v>
      </c>
      <c r="D168" t="s">
        <v>19</v>
      </c>
      <c r="E168" s="1">
        <v>45999</v>
      </c>
      <c r="F168" t="s">
        <v>447</v>
      </c>
      <c r="G168" s="1">
        <v>46002</v>
      </c>
      <c r="H168" s="1" t="str">
        <f t="shared" si="4"/>
        <v>Thursday</v>
      </c>
      <c r="I168">
        <v>54</v>
      </c>
      <c r="J168" t="s">
        <v>23</v>
      </c>
      <c r="K168">
        <v>0</v>
      </c>
      <c r="L168">
        <v>0</v>
      </c>
      <c r="M168">
        <v>0</v>
      </c>
      <c r="N168">
        <v>0</v>
      </c>
      <c r="O168">
        <v>0</v>
      </c>
      <c r="P168" t="str">
        <f t="shared" si="5"/>
        <v>Non Chronic</v>
      </c>
      <c r="Q168">
        <v>0</v>
      </c>
      <c r="R168">
        <v>0</v>
      </c>
      <c r="S168" t="s">
        <v>0</v>
      </c>
    </row>
    <row r="169" spans="1:19" x14ac:dyDescent="0.3">
      <c r="A169">
        <v>500168</v>
      </c>
      <c r="B169">
        <v>79397</v>
      </c>
      <c r="C169" t="s">
        <v>8</v>
      </c>
      <c r="D169" t="s">
        <v>3</v>
      </c>
      <c r="E169" s="1">
        <v>45998</v>
      </c>
      <c r="F169" t="s">
        <v>460</v>
      </c>
      <c r="G169" s="1">
        <v>46001</v>
      </c>
      <c r="H169" s="1" t="str">
        <f t="shared" si="4"/>
        <v>Wednesday</v>
      </c>
      <c r="I169">
        <v>75</v>
      </c>
      <c r="J169" t="s">
        <v>20</v>
      </c>
      <c r="K169">
        <v>1</v>
      </c>
      <c r="L169">
        <v>1</v>
      </c>
      <c r="M169">
        <v>1</v>
      </c>
      <c r="N169">
        <v>0</v>
      </c>
      <c r="O169">
        <v>0</v>
      </c>
      <c r="P169" t="str">
        <f t="shared" si="5"/>
        <v>Chronic</v>
      </c>
      <c r="Q169">
        <v>1</v>
      </c>
      <c r="R169">
        <v>0</v>
      </c>
      <c r="S169" t="s">
        <v>9</v>
      </c>
    </row>
    <row r="170" spans="1:19" x14ac:dyDescent="0.3">
      <c r="A170">
        <v>500169</v>
      </c>
      <c r="B170">
        <v>44116</v>
      </c>
      <c r="C170" t="s">
        <v>8</v>
      </c>
      <c r="D170" t="s">
        <v>14</v>
      </c>
      <c r="E170" s="1">
        <v>46038</v>
      </c>
      <c r="F170" t="s">
        <v>377</v>
      </c>
      <c r="G170" s="1">
        <v>46068</v>
      </c>
      <c r="H170" s="1" t="str">
        <f t="shared" si="4"/>
        <v>Sunday</v>
      </c>
      <c r="I170">
        <v>33</v>
      </c>
      <c r="J170" t="s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 t="str">
        <f t="shared" si="5"/>
        <v>Non Chronic</v>
      </c>
      <c r="Q170">
        <v>1</v>
      </c>
      <c r="R170">
        <v>1</v>
      </c>
      <c r="S170" t="s">
        <v>22</v>
      </c>
    </row>
    <row r="171" spans="1:19" x14ac:dyDescent="0.3">
      <c r="A171">
        <v>500170</v>
      </c>
      <c r="B171">
        <v>19706</v>
      </c>
      <c r="C171" t="s">
        <v>8</v>
      </c>
      <c r="D171" t="s">
        <v>28</v>
      </c>
      <c r="E171" s="1">
        <v>46107</v>
      </c>
      <c r="F171" t="s">
        <v>250</v>
      </c>
      <c r="G171" s="1">
        <v>46137</v>
      </c>
      <c r="H171" s="1" t="str">
        <f t="shared" si="4"/>
        <v>Saturday</v>
      </c>
      <c r="I171">
        <v>22</v>
      </c>
      <c r="J171" t="s">
        <v>10</v>
      </c>
      <c r="K171">
        <v>0</v>
      </c>
      <c r="L171">
        <v>0</v>
      </c>
      <c r="M171">
        <v>0</v>
      </c>
      <c r="N171">
        <v>0</v>
      </c>
      <c r="O171">
        <v>0</v>
      </c>
      <c r="P171" t="str">
        <f t="shared" si="5"/>
        <v>Non Chronic</v>
      </c>
      <c r="Q171">
        <v>0</v>
      </c>
      <c r="R171">
        <v>0</v>
      </c>
      <c r="S171" t="s">
        <v>22</v>
      </c>
    </row>
    <row r="172" spans="1:19" x14ac:dyDescent="0.3">
      <c r="A172">
        <v>500171</v>
      </c>
      <c r="B172">
        <v>18511</v>
      </c>
      <c r="C172" t="s">
        <v>8</v>
      </c>
      <c r="D172" t="s">
        <v>25</v>
      </c>
      <c r="E172" s="1">
        <v>46015</v>
      </c>
      <c r="F172" t="s">
        <v>47</v>
      </c>
      <c r="G172" s="1">
        <v>46030</v>
      </c>
      <c r="H172" s="1" t="str">
        <f t="shared" si="4"/>
        <v>Thursday</v>
      </c>
      <c r="I172">
        <v>20</v>
      </c>
      <c r="J172" t="s">
        <v>31</v>
      </c>
      <c r="K172">
        <v>0</v>
      </c>
      <c r="L172">
        <v>0</v>
      </c>
      <c r="M172">
        <v>0</v>
      </c>
      <c r="N172">
        <v>0</v>
      </c>
      <c r="O172">
        <v>0</v>
      </c>
      <c r="P172" t="str">
        <f t="shared" si="5"/>
        <v>Non Chronic</v>
      </c>
      <c r="Q172">
        <v>1</v>
      </c>
      <c r="R172">
        <v>1</v>
      </c>
      <c r="S172" t="s">
        <v>22</v>
      </c>
    </row>
    <row r="173" spans="1:19" x14ac:dyDescent="0.3">
      <c r="A173">
        <v>500172</v>
      </c>
      <c r="B173">
        <v>36342</v>
      </c>
      <c r="C173" t="s">
        <v>4</v>
      </c>
      <c r="D173" t="s">
        <v>14</v>
      </c>
      <c r="E173" s="1">
        <v>46117</v>
      </c>
      <c r="F173" t="s">
        <v>344</v>
      </c>
      <c r="G173" s="1">
        <v>46124</v>
      </c>
      <c r="H173" s="1" t="str">
        <f t="shared" si="4"/>
        <v>Sunday</v>
      </c>
      <c r="I173">
        <v>21</v>
      </c>
      <c r="J173" t="s">
        <v>10</v>
      </c>
      <c r="K173">
        <v>0</v>
      </c>
      <c r="L173">
        <v>0</v>
      </c>
      <c r="M173">
        <v>0</v>
      </c>
      <c r="N173">
        <v>0</v>
      </c>
      <c r="O173">
        <v>0</v>
      </c>
      <c r="P173" t="str">
        <f t="shared" si="5"/>
        <v>Non Chronic</v>
      </c>
      <c r="Q173">
        <v>1</v>
      </c>
      <c r="R173">
        <v>0</v>
      </c>
      <c r="S173" t="s">
        <v>22</v>
      </c>
    </row>
    <row r="174" spans="1:19" x14ac:dyDescent="0.3">
      <c r="A174">
        <v>500173</v>
      </c>
      <c r="B174">
        <v>27009</v>
      </c>
      <c r="C174" t="s">
        <v>4</v>
      </c>
      <c r="D174" t="s">
        <v>58</v>
      </c>
      <c r="E174" s="1">
        <v>46110</v>
      </c>
      <c r="F174" t="s">
        <v>685</v>
      </c>
      <c r="G174" s="1">
        <v>46120</v>
      </c>
      <c r="H174" s="1" t="str">
        <f t="shared" si="4"/>
        <v>Wednesday</v>
      </c>
      <c r="I174">
        <v>36</v>
      </c>
      <c r="J174" t="s">
        <v>5</v>
      </c>
      <c r="K174">
        <v>1</v>
      </c>
      <c r="L174">
        <v>0</v>
      </c>
      <c r="M174">
        <v>0</v>
      </c>
      <c r="N174">
        <v>0</v>
      </c>
      <c r="O174">
        <v>0</v>
      </c>
      <c r="P174" t="str">
        <f t="shared" si="5"/>
        <v>Non Chronic</v>
      </c>
      <c r="Q174">
        <v>1</v>
      </c>
      <c r="R174">
        <v>0</v>
      </c>
      <c r="S174" t="s">
        <v>22</v>
      </c>
    </row>
    <row r="175" spans="1:19" x14ac:dyDescent="0.3">
      <c r="A175">
        <v>500174</v>
      </c>
      <c r="B175">
        <v>85353</v>
      </c>
      <c r="C175" t="s">
        <v>4</v>
      </c>
      <c r="D175" t="s">
        <v>28</v>
      </c>
      <c r="E175" s="1">
        <v>46097</v>
      </c>
      <c r="F175" t="s">
        <v>895</v>
      </c>
      <c r="G175" s="1">
        <v>46100</v>
      </c>
      <c r="H175" s="1" t="str">
        <f t="shared" si="4"/>
        <v>Thursday</v>
      </c>
      <c r="I175">
        <v>44</v>
      </c>
      <c r="J175" t="s">
        <v>20</v>
      </c>
      <c r="K175">
        <v>0</v>
      </c>
      <c r="L175">
        <v>0</v>
      </c>
      <c r="M175">
        <v>0</v>
      </c>
      <c r="N175">
        <v>0</v>
      </c>
      <c r="O175">
        <v>0</v>
      </c>
      <c r="P175" t="str">
        <f t="shared" si="5"/>
        <v>Non Chronic</v>
      </c>
      <c r="Q175">
        <v>0</v>
      </c>
      <c r="R175">
        <v>0</v>
      </c>
      <c r="S175" t="s">
        <v>0</v>
      </c>
    </row>
    <row r="176" spans="1:19" x14ac:dyDescent="0.3">
      <c r="A176">
        <v>500175</v>
      </c>
      <c r="B176">
        <v>93859</v>
      </c>
      <c r="C176" t="s">
        <v>4</v>
      </c>
      <c r="D176" t="s">
        <v>28</v>
      </c>
      <c r="E176" s="1">
        <v>46044</v>
      </c>
      <c r="F176" t="s">
        <v>866</v>
      </c>
      <c r="G176" s="1">
        <v>46046</v>
      </c>
      <c r="H176" s="1" t="str">
        <f t="shared" si="4"/>
        <v>Saturday</v>
      </c>
      <c r="I176">
        <v>43</v>
      </c>
      <c r="J176" t="s">
        <v>23</v>
      </c>
      <c r="K176">
        <v>0</v>
      </c>
      <c r="L176">
        <v>0</v>
      </c>
      <c r="M176">
        <v>0</v>
      </c>
      <c r="N176">
        <v>0</v>
      </c>
      <c r="O176">
        <v>0</v>
      </c>
      <c r="P176" t="str">
        <f t="shared" si="5"/>
        <v>Non Chronic</v>
      </c>
      <c r="Q176">
        <v>1</v>
      </c>
      <c r="R176">
        <v>0</v>
      </c>
      <c r="S176" t="s">
        <v>0</v>
      </c>
    </row>
    <row r="177" spans="1:19" x14ac:dyDescent="0.3">
      <c r="A177">
        <v>500176</v>
      </c>
      <c r="B177">
        <v>39552</v>
      </c>
      <c r="C177" t="s">
        <v>8</v>
      </c>
      <c r="D177" t="s">
        <v>25</v>
      </c>
      <c r="E177" s="1">
        <v>46093</v>
      </c>
      <c r="F177" t="s">
        <v>108</v>
      </c>
      <c r="G177" s="1">
        <v>46100</v>
      </c>
      <c r="H177" s="1" t="str">
        <f t="shared" si="4"/>
        <v>Thursday</v>
      </c>
      <c r="I177">
        <v>54</v>
      </c>
      <c r="J177" t="s">
        <v>15</v>
      </c>
      <c r="K177">
        <v>1</v>
      </c>
      <c r="L177">
        <v>1</v>
      </c>
      <c r="M177">
        <v>0</v>
      </c>
      <c r="N177">
        <v>0</v>
      </c>
      <c r="O177">
        <v>0</v>
      </c>
      <c r="P177" t="str">
        <f t="shared" si="5"/>
        <v>Chronic</v>
      </c>
      <c r="Q177">
        <v>1</v>
      </c>
      <c r="R177">
        <v>1</v>
      </c>
      <c r="S177" t="s">
        <v>0</v>
      </c>
    </row>
    <row r="178" spans="1:19" x14ac:dyDescent="0.3">
      <c r="A178">
        <v>500177</v>
      </c>
      <c r="B178">
        <v>94015</v>
      </c>
      <c r="C178" t="s">
        <v>4</v>
      </c>
      <c r="D178" t="s">
        <v>28</v>
      </c>
      <c r="E178" s="1">
        <v>46130</v>
      </c>
      <c r="F178" t="s">
        <v>556</v>
      </c>
      <c r="G178" s="1">
        <v>46137</v>
      </c>
      <c r="H178" s="1" t="str">
        <f t="shared" si="4"/>
        <v>Saturday</v>
      </c>
      <c r="I178">
        <v>38</v>
      </c>
      <c r="J178" t="s">
        <v>31</v>
      </c>
      <c r="K178">
        <v>1</v>
      </c>
      <c r="L178">
        <v>0</v>
      </c>
      <c r="M178">
        <v>0</v>
      </c>
      <c r="N178">
        <v>0</v>
      </c>
      <c r="O178">
        <v>0</v>
      </c>
      <c r="P178" t="str">
        <f t="shared" si="5"/>
        <v>Non Chronic</v>
      </c>
      <c r="Q178">
        <v>0</v>
      </c>
      <c r="R178">
        <v>1</v>
      </c>
      <c r="S178" t="s">
        <v>22</v>
      </c>
    </row>
    <row r="179" spans="1:19" x14ac:dyDescent="0.3">
      <c r="A179">
        <v>500178</v>
      </c>
      <c r="B179">
        <v>15958</v>
      </c>
      <c r="C179" t="s">
        <v>8</v>
      </c>
      <c r="D179" t="s">
        <v>14</v>
      </c>
      <c r="E179" s="1">
        <v>46033</v>
      </c>
      <c r="F179" t="s">
        <v>461</v>
      </c>
      <c r="G179" s="1">
        <v>46040</v>
      </c>
      <c r="H179" s="1" t="str">
        <f t="shared" si="4"/>
        <v>Sunday</v>
      </c>
      <c r="I179">
        <v>67</v>
      </c>
      <c r="J179" t="s">
        <v>1</v>
      </c>
      <c r="K179">
        <v>1</v>
      </c>
      <c r="L179">
        <v>0</v>
      </c>
      <c r="M179">
        <v>1</v>
      </c>
      <c r="N179">
        <v>0</v>
      </c>
      <c r="O179">
        <v>0</v>
      </c>
      <c r="P179" t="str">
        <f t="shared" si="5"/>
        <v>Chronic</v>
      </c>
      <c r="Q179">
        <v>1</v>
      </c>
      <c r="R179">
        <v>0</v>
      </c>
      <c r="S179" t="s">
        <v>9</v>
      </c>
    </row>
    <row r="180" spans="1:19" x14ac:dyDescent="0.3">
      <c r="A180">
        <v>500179</v>
      </c>
      <c r="B180">
        <v>99783</v>
      </c>
      <c r="C180" t="s">
        <v>8</v>
      </c>
      <c r="D180" t="s">
        <v>25</v>
      </c>
      <c r="E180" s="1">
        <v>46154</v>
      </c>
      <c r="F180" t="s">
        <v>894</v>
      </c>
      <c r="G180" s="1">
        <v>46155</v>
      </c>
      <c r="H180" s="1" t="str">
        <f t="shared" si="4"/>
        <v>Wednesday</v>
      </c>
      <c r="I180">
        <v>32</v>
      </c>
      <c r="J180" t="s">
        <v>10</v>
      </c>
      <c r="K180">
        <v>0</v>
      </c>
      <c r="L180">
        <v>0</v>
      </c>
      <c r="M180">
        <v>0</v>
      </c>
      <c r="N180">
        <v>0</v>
      </c>
      <c r="O180">
        <v>0</v>
      </c>
      <c r="P180" t="str">
        <f t="shared" si="5"/>
        <v>Non Chronic</v>
      </c>
      <c r="Q180">
        <v>1</v>
      </c>
      <c r="R180">
        <v>0</v>
      </c>
      <c r="S180" t="s">
        <v>22</v>
      </c>
    </row>
    <row r="181" spans="1:19" x14ac:dyDescent="0.3">
      <c r="A181">
        <v>500180</v>
      </c>
      <c r="B181">
        <v>54589</v>
      </c>
      <c r="C181" t="s">
        <v>4</v>
      </c>
      <c r="D181" t="s">
        <v>19</v>
      </c>
      <c r="E181" s="1">
        <v>46004</v>
      </c>
      <c r="F181" t="s">
        <v>893</v>
      </c>
      <c r="G181" s="1">
        <v>46007</v>
      </c>
      <c r="H181" s="1" t="str">
        <f t="shared" si="4"/>
        <v>Tuesday</v>
      </c>
      <c r="I181">
        <v>90</v>
      </c>
      <c r="J181" t="s">
        <v>20</v>
      </c>
      <c r="K181">
        <v>1</v>
      </c>
      <c r="L181">
        <v>0</v>
      </c>
      <c r="M181">
        <v>1</v>
      </c>
      <c r="N181">
        <v>0</v>
      </c>
      <c r="O181">
        <v>0</v>
      </c>
      <c r="P181" t="str">
        <f t="shared" si="5"/>
        <v>Chronic</v>
      </c>
      <c r="Q181">
        <v>1</v>
      </c>
      <c r="R181">
        <v>0</v>
      </c>
      <c r="S181" t="s">
        <v>9</v>
      </c>
    </row>
    <row r="182" spans="1:19" x14ac:dyDescent="0.3">
      <c r="A182">
        <v>500181</v>
      </c>
      <c r="B182">
        <v>42495</v>
      </c>
      <c r="C182" t="s">
        <v>4</v>
      </c>
      <c r="D182" t="s">
        <v>58</v>
      </c>
      <c r="E182" s="1">
        <v>46057</v>
      </c>
      <c r="F182" t="s">
        <v>512</v>
      </c>
      <c r="G182" s="1">
        <v>46087</v>
      </c>
      <c r="H182" s="1" t="str">
        <f t="shared" si="4"/>
        <v>Friday</v>
      </c>
      <c r="I182">
        <v>50</v>
      </c>
      <c r="J182" t="s">
        <v>17</v>
      </c>
      <c r="K182">
        <v>1</v>
      </c>
      <c r="L182">
        <v>0</v>
      </c>
      <c r="M182">
        <v>0</v>
      </c>
      <c r="N182">
        <v>0</v>
      </c>
      <c r="O182">
        <v>0</v>
      </c>
      <c r="P182" t="str">
        <f t="shared" si="5"/>
        <v>Non Chronic</v>
      </c>
      <c r="Q182">
        <v>0</v>
      </c>
      <c r="R182">
        <v>0</v>
      </c>
      <c r="S182" t="s">
        <v>0</v>
      </c>
    </row>
    <row r="183" spans="1:19" x14ac:dyDescent="0.3">
      <c r="A183">
        <v>500182</v>
      </c>
      <c r="B183">
        <v>85718</v>
      </c>
      <c r="C183" t="s">
        <v>8</v>
      </c>
      <c r="D183" t="s">
        <v>14</v>
      </c>
      <c r="E183" s="1">
        <v>46090</v>
      </c>
      <c r="F183" t="s">
        <v>812</v>
      </c>
      <c r="G183" s="1">
        <v>46120</v>
      </c>
      <c r="H183" s="1" t="str">
        <f t="shared" si="4"/>
        <v>Wednesday</v>
      </c>
      <c r="I183">
        <v>20</v>
      </c>
      <c r="J183" t="s">
        <v>31</v>
      </c>
      <c r="K183">
        <v>1</v>
      </c>
      <c r="L183">
        <v>0</v>
      </c>
      <c r="M183">
        <v>0</v>
      </c>
      <c r="N183">
        <v>0</v>
      </c>
      <c r="O183">
        <v>0</v>
      </c>
      <c r="P183" t="str">
        <f t="shared" si="5"/>
        <v>Non Chronic</v>
      </c>
      <c r="Q183">
        <v>1</v>
      </c>
      <c r="R183">
        <v>0</v>
      </c>
      <c r="S183" t="s">
        <v>22</v>
      </c>
    </row>
    <row r="184" spans="1:19" x14ac:dyDescent="0.3">
      <c r="A184">
        <v>500183</v>
      </c>
      <c r="B184">
        <v>75191</v>
      </c>
      <c r="C184" t="s">
        <v>4</v>
      </c>
      <c r="D184" t="s">
        <v>58</v>
      </c>
      <c r="E184" s="1">
        <v>46000</v>
      </c>
      <c r="F184" t="s">
        <v>892</v>
      </c>
      <c r="G184" s="1">
        <v>46005</v>
      </c>
      <c r="H184" s="1" t="str">
        <f t="shared" si="4"/>
        <v>Sunday</v>
      </c>
      <c r="I184">
        <v>16</v>
      </c>
      <c r="J184" t="s">
        <v>23</v>
      </c>
      <c r="K184">
        <v>0</v>
      </c>
      <c r="L184">
        <v>0</v>
      </c>
      <c r="M184">
        <v>0</v>
      </c>
      <c r="N184">
        <v>0</v>
      </c>
      <c r="O184">
        <v>0</v>
      </c>
      <c r="P184" t="str">
        <f t="shared" si="5"/>
        <v>Non Chronic</v>
      </c>
      <c r="Q184">
        <v>0</v>
      </c>
      <c r="R184">
        <v>1</v>
      </c>
      <c r="S184" t="s">
        <v>30</v>
      </c>
    </row>
    <row r="185" spans="1:19" x14ac:dyDescent="0.3">
      <c r="A185">
        <v>500184</v>
      </c>
      <c r="B185">
        <v>56254</v>
      </c>
      <c r="C185" t="s">
        <v>4</v>
      </c>
      <c r="D185" t="s">
        <v>36</v>
      </c>
      <c r="E185" s="1">
        <v>46146</v>
      </c>
      <c r="F185" t="s">
        <v>131</v>
      </c>
      <c r="G185" s="1">
        <v>46148</v>
      </c>
      <c r="H185" s="1" t="str">
        <f t="shared" si="4"/>
        <v>Wednesday</v>
      </c>
      <c r="I185">
        <v>47</v>
      </c>
      <c r="J185" t="s">
        <v>5</v>
      </c>
      <c r="K185">
        <v>1</v>
      </c>
      <c r="L185">
        <v>0</v>
      </c>
      <c r="M185">
        <v>0</v>
      </c>
      <c r="N185">
        <v>0</v>
      </c>
      <c r="O185">
        <v>0</v>
      </c>
      <c r="P185" t="str">
        <f t="shared" si="5"/>
        <v>Non Chronic</v>
      </c>
      <c r="Q185">
        <v>1</v>
      </c>
      <c r="R185">
        <v>1</v>
      </c>
      <c r="S185" t="s">
        <v>0</v>
      </c>
    </row>
    <row r="186" spans="1:19" x14ac:dyDescent="0.3">
      <c r="A186">
        <v>500185</v>
      </c>
      <c r="B186">
        <v>27555</v>
      </c>
      <c r="C186" t="s">
        <v>8</v>
      </c>
      <c r="D186" t="s">
        <v>19</v>
      </c>
      <c r="E186" s="1">
        <v>46089</v>
      </c>
      <c r="F186" t="s">
        <v>685</v>
      </c>
      <c r="G186" s="1">
        <v>46089</v>
      </c>
      <c r="H186" s="1" t="str">
        <f t="shared" si="4"/>
        <v>Sunday</v>
      </c>
      <c r="I186">
        <v>33</v>
      </c>
      <c r="J186" t="s">
        <v>23</v>
      </c>
      <c r="K186">
        <v>1</v>
      </c>
      <c r="L186">
        <v>0</v>
      </c>
      <c r="M186">
        <v>0</v>
      </c>
      <c r="N186">
        <v>1</v>
      </c>
      <c r="O186">
        <v>0</v>
      </c>
      <c r="P186" t="str">
        <f t="shared" si="5"/>
        <v>Non Chronic</v>
      </c>
      <c r="Q186">
        <v>1</v>
      </c>
      <c r="R186">
        <v>0</v>
      </c>
      <c r="S186" t="s">
        <v>22</v>
      </c>
    </row>
    <row r="187" spans="1:19" x14ac:dyDescent="0.3">
      <c r="A187">
        <v>500186</v>
      </c>
      <c r="B187">
        <v>47827</v>
      </c>
      <c r="C187" t="s">
        <v>4</v>
      </c>
      <c r="D187" t="s">
        <v>3</v>
      </c>
      <c r="E187" s="1">
        <v>46036</v>
      </c>
      <c r="F187" t="s">
        <v>891</v>
      </c>
      <c r="G187" s="1">
        <v>46046</v>
      </c>
      <c r="H187" s="1" t="str">
        <f t="shared" si="4"/>
        <v>Saturday</v>
      </c>
      <c r="I187">
        <v>52</v>
      </c>
      <c r="J187" t="s">
        <v>12</v>
      </c>
      <c r="K187">
        <v>1</v>
      </c>
      <c r="L187">
        <v>0</v>
      </c>
      <c r="M187">
        <v>0</v>
      </c>
      <c r="N187">
        <v>0</v>
      </c>
      <c r="O187">
        <v>0</v>
      </c>
      <c r="P187" t="str">
        <f t="shared" si="5"/>
        <v>Non Chronic</v>
      </c>
      <c r="Q187">
        <v>1</v>
      </c>
      <c r="R187">
        <v>0</v>
      </c>
      <c r="S187" t="s">
        <v>0</v>
      </c>
    </row>
    <row r="188" spans="1:19" x14ac:dyDescent="0.3">
      <c r="A188">
        <v>500187</v>
      </c>
      <c r="B188">
        <v>61629</v>
      </c>
      <c r="C188" t="s">
        <v>8</v>
      </c>
      <c r="D188" t="s">
        <v>19</v>
      </c>
      <c r="E188" s="1">
        <v>45982</v>
      </c>
      <c r="F188" t="s">
        <v>890</v>
      </c>
      <c r="G188" s="1">
        <v>45987</v>
      </c>
      <c r="H188" s="1" t="str">
        <f t="shared" si="4"/>
        <v>Wednesday</v>
      </c>
      <c r="I188">
        <v>47</v>
      </c>
      <c r="J188" t="s">
        <v>12</v>
      </c>
      <c r="K188">
        <v>1</v>
      </c>
      <c r="L188">
        <v>0</v>
      </c>
      <c r="M188">
        <v>1</v>
      </c>
      <c r="N188">
        <v>0</v>
      </c>
      <c r="O188">
        <v>0</v>
      </c>
      <c r="P188" t="str">
        <f t="shared" si="5"/>
        <v>Chronic</v>
      </c>
      <c r="Q188">
        <v>1</v>
      </c>
      <c r="R188">
        <v>1</v>
      </c>
      <c r="S188" t="s">
        <v>0</v>
      </c>
    </row>
    <row r="189" spans="1:19" x14ac:dyDescent="0.3">
      <c r="A189">
        <v>500188</v>
      </c>
      <c r="B189">
        <v>53652</v>
      </c>
      <c r="C189" t="s">
        <v>8</v>
      </c>
      <c r="D189" t="s">
        <v>7</v>
      </c>
      <c r="E189" s="1">
        <v>46020</v>
      </c>
      <c r="F189" t="s">
        <v>644</v>
      </c>
      <c r="G189" s="1">
        <v>46027</v>
      </c>
      <c r="H189" s="1" t="str">
        <f t="shared" si="4"/>
        <v>Monday</v>
      </c>
      <c r="I189">
        <v>36</v>
      </c>
      <c r="J189" t="s">
        <v>31</v>
      </c>
      <c r="K189">
        <v>0</v>
      </c>
      <c r="L189">
        <v>0</v>
      </c>
      <c r="M189">
        <v>0</v>
      </c>
      <c r="N189">
        <v>0</v>
      </c>
      <c r="O189">
        <v>0</v>
      </c>
      <c r="P189" t="str">
        <f t="shared" si="5"/>
        <v>Non Chronic</v>
      </c>
      <c r="Q189">
        <v>1</v>
      </c>
      <c r="R189">
        <v>0</v>
      </c>
      <c r="S189" t="s">
        <v>22</v>
      </c>
    </row>
    <row r="190" spans="1:19" x14ac:dyDescent="0.3">
      <c r="A190">
        <v>500189</v>
      </c>
      <c r="B190">
        <v>49221</v>
      </c>
      <c r="C190" t="s">
        <v>8</v>
      </c>
      <c r="D190" t="s">
        <v>7</v>
      </c>
      <c r="E190" s="1">
        <v>46158</v>
      </c>
      <c r="F190" t="s">
        <v>696</v>
      </c>
      <c r="G190" s="1">
        <v>46158</v>
      </c>
      <c r="H190" s="1" t="str">
        <f t="shared" si="4"/>
        <v>Saturday</v>
      </c>
      <c r="I190">
        <v>21</v>
      </c>
      <c r="J190" t="s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 t="str">
        <f t="shared" si="5"/>
        <v>Non Chronic</v>
      </c>
      <c r="Q190">
        <v>1</v>
      </c>
      <c r="R190">
        <v>1</v>
      </c>
      <c r="S190" t="s">
        <v>22</v>
      </c>
    </row>
    <row r="191" spans="1:19" x14ac:dyDescent="0.3">
      <c r="A191">
        <v>500190</v>
      </c>
      <c r="B191">
        <v>64596</v>
      </c>
      <c r="C191" t="s">
        <v>8</v>
      </c>
      <c r="D191" t="s">
        <v>36</v>
      </c>
      <c r="E191" s="1">
        <v>46075</v>
      </c>
      <c r="F191" t="s">
        <v>299</v>
      </c>
      <c r="G191" s="1">
        <v>46080</v>
      </c>
      <c r="H191" s="1" t="str">
        <f t="shared" si="4"/>
        <v>Friday</v>
      </c>
      <c r="I191">
        <v>7</v>
      </c>
      <c r="J191" t="s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 t="str">
        <f t="shared" si="5"/>
        <v>Non Chronic</v>
      </c>
      <c r="Q191">
        <v>0</v>
      </c>
      <c r="R191">
        <v>0</v>
      </c>
      <c r="S191" t="s">
        <v>30</v>
      </c>
    </row>
    <row r="192" spans="1:19" x14ac:dyDescent="0.3">
      <c r="A192">
        <v>500191</v>
      </c>
      <c r="B192">
        <v>85821</v>
      </c>
      <c r="C192" t="s">
        <v>4</v>
      </c>
      <c r="D192" t="s">
        <v>36</v>
      </c>
      <c r="E192" s="1">
        <v>45986</v>
      </c>
      <c r="F192" t="s">
        <v>889</v>
      </c>
      <c r="G192" s="1">
        <v>45993</v>
      </c>
      <c r="H192" s="1" t="str">
        <f t="shared" si="4"/>
        <v>Tuesday</v>
      </c>
      <c r="I192">
        <v>29</v>
      </c>
      <c r="J192" t="s">
        <v>1</v>
      </c>
      <c r="K192">
        <v>1</v>
      </c>
      <c r="L192">
        <v>0</v>
      </c>
      <c r="M192">
        <v>0</v>
      </c>
      <c r="N192">
        <v>0</v>
      </c>
      <c r="O192">
        <v>0</v>
      </c>
      <c r="P192" t="str">
        <f t="shared" si="5"/>
        <v>Non Chronic</v>
      </c>
      <c r="Q192">
        <v>1</v>
      </c>
      <c r="R192">
        <v>0</v>
      </c>
      <c r="S192" t="s">
        <v>22</v>
      </c>
    </row>
    <row r="193" spans="1:19" x14ac:dyDescent="0.3">
      <c r="A193">
        <v>500192</v>
      </c>
      <c r="B193">
        <v>29369</v>
      </c>
      <c r="C193" t="s">
        <v>4</v>
      </c>
      <c r="D193" t="s">
        <v>36</v>
      </c>
      <c r="E193" s="1">
        <v>46053</v>
      </c>
      <c r="F193" t="s">
        <v>888</v>
      </c>
      <c r="G193" s="1">
        <v>46056</v>
      </c>
      <c r="H193" s="1" t="str">
        <f t="shared" si="4"/>
        <v>Tuesday</v>
      </c>
      <c r="I193">
        <v>55</v>
      </c>
      <c r="J193" t="s">
        <v>1</v>
      </c>
      <c r="K193">
        <v>0</v>
      </c>
      <c r="L193">
        <v>1</v>
      </c>
      <c r="M193">
        <v>0</v>
      </c>
      <c r="N193">
        <v>0</v>
      </c>
      <c r="O193">
        <v>0</v>
      </c>
      <c r="P193" t="str">
        <f t="shared" si="5"/>
        <v>Chronic</v>
      </c>
      <c r="Q193">
        <v>1</v>
      </c>
      <c r="R193">
        <v>0</v>
      </c>
      <c r="S193" t="s">
        <v>0</v>
      </c>
    </row>
    <row r="194" spans="1:19" x14ac:dyDescent="0.3">
      <c r="A194">
        <v>500193</v>
      </c>
      <c r="B194">
        <v>90147</v>
      </c>
      <c r="C194" t="s">
        <v>8</v>
      </c>
      <c r="D194" t="s">
        <v>36</v>
      </c>
      <c r="E194" s="1">
        <v>45987</v>
      </c>
      <c r="F194" t="s">
        <v>746</v>
      </c>
      <c r="G194" s="1">
        <v>45992</v>
      </c>
      <c r="H194" s="1" t="str">
        <f t="shared" si="4"/>
        <v>Monday</v>
      </c>
      <c r="I194">
        <v>42</v>
      </c>
      <c r="J194" t="s">
        <v>31</v>
      </c>
      <c r="K194">
        <v>0</v>
      </c>
      <c r="L194">
        <v>0</v>
      </c>
      <c r="M194">
        <v>0</v>
      </c>
      <c r="N194">
        <v>0</v>
      </c>
      <c r="O194">
        <v>0</v>
      </c>
      <c r="P194" t="str">
        <f t="shared" si="5"/>
        <v>Non Chronic</v>
      </c>
      <c r="Q194">
        <v>1</v>
      </c>
      <c r="R194">
        <v>0</v>
      </c>
      <c r="S194" t="s">
        <v>0</v>
      </c>
    </row>
    <row r="195" spans="1:19" x14ac:dyDescent="0.3">
      <c r="A195">
        <v>500194</v>
      </c>
      <c r="B195">
        <v>70249</v>
      </c>
      <c r="C195" t="s">
        <v>8</v>
      </c>
      <c r="D195" t="s">
        <v>19</v>
      </c>
      <c r="E195" s="1">
        <v>45999</v>
      </c>
      <c r="F195" t="s">
        <v>887</v>
      </c>
      <c r="G195" s="1">
        <v>46006</v>
      </c>
      <c r="H195" s="1" t="str">
        <f t="shared" ref="H195:H258" si="6">TEXT(G195,"dddd")</f>
        <v>Monday</v>
      </c>
      <c r="I195">
        <v>13</v>
      </c>
      <c r="J195" t="s">
        <v>5</v>
      </c>
      <c r="K195">
        <v>0</v>
      </c>
      <c r="L195">
        <v>0</v>
      </c>
      <c r="M195">
        <v>0</v>
      </c>
      <c r="N195">
        <v>0</v>
      </c>
      <c r="O195">
        <v>0</v>
      </c>
      <c r="P195" t="str">
        <f t="shared" ref="P195:P258" si="7">IF(OR(L195=1,M195=1),"Chronic","Non Chronic")</f>
        <v>Non Chronic</v>
      </c>
      <c r="Q195">
        <v>1</v>
      </c>
      <c r="R195">
        <v>0</v>
      </c>
      <c r="S195" t="s">
        <v>30</v>
      </c>
    </row>
    <row r="196" spans="1:19" x14ac:dyDescent="0.3">
      <c r="A196">
        <v>500195</v>
      </c>
      <c r="B196">
        <v>83149</v>
      </c>
      <c r="C196" t="s">
        <v>8</v>
      </c>
      <c r="D196" t="s">
        <v>14</v>
      </c>
      <c r="E196" s="1">
        <v>46024</v>
      </c>
      <c r="F196" t="s">
        <v>692</v>
      </c>
      <c r="G196" s="1">
        <v>46029</v>
      </c>
      <c r="H196" s="1" t="str">
        <f t="shared" si="6"/>
        <v>Wednesday</v>
      </c>
      <c r="I196">
        <v>41</v>
      </c>
      <c r="J196" t="s">
        <v>5</v>
      </c>
      <c r="K196">
        <v>1</v>
      </c>
      <c r="L196">
        <v>0</v>
      </c>
      <c r="M196">
        <v>0</v>
      </c>
      <c r="N196">
        <v>0</v>
      </c>
      <c r="O196">
        <v>0</v>
      </c>
      <c r="P196" t="str">
        <f t="shared" si="7"/>
        <v>Non Chronic</v>
      </c>
      <c r="Q196">
        <v>1</v>
      </c>
      <c r="R196">
        <v>0</v>
      </c>
      <c r="S196" t="s">
        <v>0</v>
      </c>
    </row>
    <row r="197" spans="1:19" x14ac:dyDescent="0.3">
      <c r="A197">
        <v>500196</v>
      </c>
      <c r="B197">
        <v>45842</v>
      </c>
      <c r="C197" t="s">
        <v>8</v>
      </c>
      <c r="D197" t="s">
        <v>58</v>
      </c>
      <c r="E197" s="1">
        <v>46153</v>
      </c>
      <c r="F197" t="s">
        <v>196</v>
      </c>
      <c r="G197" s="1">
        <v>46156</v>
      </c>
      <c r="H197" s="1" t="str">
        <f t="shared" si="6"/>
        <v>Thursday</v>
      </c>
      <c r="I197">
        <v>45</v>
      </c>
      <c r="J197" t="s">
        <v>1</v>
      </c>
      <c r="K197">
        <v>1</v>
      </c>
      <c r="L197">
        <v>0</v>
      </c>
      <c r="M197">
        <v>0</v>
      </c>
      <c r="N197">
        <v>0</v>
      </c>
      <c r="O197">
        <v>0</v>
      </c>
      <c r="P197" t="str">
        <f t="shared" si="7"/>
        <v>Non Chronic</v>
      </c>
      <c r="Q197">
        <v>0</v>
      </c>
      <c r="R197">
        <v>1</v>
      </c>
      <c r="S197" t="s">
        <v>0</v>
      </c>
    </row>
    <row r="198" spans="1:19" x14ac:dyDescent="0.3">
      <c r="A198">
        <v>500197</v>
      </c>
      <c r="B198">
        <v>15513</v>
      </c>
      <c r="C198" t="s">
        <v>8</v>
      </c>
      <c r="D198" t="s">
        <v>58</v>
      </c>
      <c r="E198" s="1">
        <v>46075</v>
      </c>
      <c r="F198" t="s">
        <v>886</v>
      </c>
      <c r="G198" s="1">
        <v>46082</v>
      </c>
      <c r="H198" s="1" t="str">
        <f t="shared" si="6"/>
        <v>Sunday</v>
      </c>
      <c r="I198">
        <v>20</v>
      </c>
      <c r="J198" t="s">
        <v>20</v>
      </c>
      <c r="K198">
        <v>1</v>
      </c>
      <c r="L198">
        <v>0</v>
      </c>
      <c r="M198">
        <v>0</v>
      </c>
      <c r="N198">
        <v>0</v>
      </c>
      <c r="O198">
        <v>0</v>
      </c>
      <c r="P198" t="str">
        <f t="shared" si="7"/>
        <v>Non Chronic</v>
      </c>
      <c r="Q198">
        <v>0</v>
      </c>
      <c r="R198">
        <v>1</v>
      </c>
      <c r="S198" t="s">
        <v>22</v>
      </c>
    </row>
    <row r="199" spans="1:19" x14ac:dyDescent="0.3">
      <c r="A199">
        <v>500198</v>
      </c>
      <c r="B199">
        <v>80592</v>
      </c>
      <c r="C199" t="s">
        <v>8</v>
      </c>
      <c r="D199" t="s">
        <v>25</v>
      </c>
      <c r="E199" s="1">
        <v>46053</v>
      </c>
      <c r="F199" t="s">
        <v>794</v>
      </c>
      <c r="G199" s="1">
        <v>46055</v>
      </c>
      <c r="H199" s="1" t="str">
        <f t="shared" si="6"/>
        <v>Monday</v>
      </c>
      <c r="I199">
        <v>41</v>
      </c>
      <c r="J199" t="s">
        <v>31</v>
      </c>
      <c r="K199">
        <v>0</v>
      </c>
      <c r="L199">
        <v>0</v>
      </c>
      <c r="M199">
        <v>0</v>
      </c>
      <c r="N199">
        <v>0</v>
      </c>
      <c r="O199">
        <v>0</v>
      </c>
      <c r="P199" t="str">
        <f t="shared" si="7"/>
        <v>Non Chronic</v>
      </c>
      <c r="Q199">
        <v>1</v>
      </c>
      <c r="R199">
        <v>0</v>
      </c>
      <c r="S199" t="s">
        <v>0</v>
      </c>
    </row>
    <row r="200" spans="1:19" x14ac:dyDescent="0.3">
      <c r="A200">
        <v>500199</v>
      </c>
      <c r="B200">
        <v>93616</v>
      </c>
      <c r="C200" t="s">
        <v>4</v>
      </c>
      <c r="D200" t="s">
        <v>36</v>
      </c>
      <c r="E200" s="1">
        <v>46143</v>
      </c>
      <c r="F200" t="s">
        <v>727</v>
      </c>
      <c r="G200" s="1">
        <v>46148</v>
      </c>
      <c r="H200" s="1" t="str">
        <f t="shared" si="6"/>
        <v>Wednesday</v>
      </c>
      <c r="I200">
        <v>39</v>
      </c>
      <c r="J200" t="s">
        <v>15</v>
      </c>
      <c r="K200">
        <v>1</v>
      </c>
      <c r="L200">
        <v>0</v>
      </c>
      <c r="M200">
        <v>0</v>
      </c>
      <c r="N200">
        <v>0</v>
      </c>
      <c r="O200">
        <v>0</v>
      </c>
      <c r="P200" t="str">
        <f t="shared" si="7"/>
        <v>Non Chronic</v>
      </c>
      <c r="Q200">
        <v>1</v>
      </c>
      <c r="R200">
        <v>1</v>
      </c>
      <c r="S200" t="s">
        <v>22</v>
      </c>
    </row>
    <row r="201" spans="1:19" x14ac:dyDescent="0.3">
      <c r="A201">
        <v>500200</v>
      </c>
      <c r="B201">
        <v>82135</v>
      </c>
      <c r="C201" t="s">
        <v>4</v>
      </c>
      <c r="D201" t="s">
        <v>3</v>
      </c>
      <c r="E201" s="1">
        <v>46026</v>
      </c>
      <c r="F201" t="s">
        <v>885</v>
      </c>
      <c r="G201" s="1">
        <v>46031</v>
      </c>
      <c r="H201" s="1" t="str">
        <f t="shared" si="6"/>
        <v>Friday</v>
      </c>
      <c r="I201">
        <v>15</v>
      </c>
      <c r="J201" t="s">
        <v>10</v>
      </c>
      <c r="K201">
        <v>0</v>
      </c>
      <c r="L201">
        <v>0</v>
      </c>
      <c r="M201">
        <v>0</v>
      </c>
      <c r="N201">
        <v>0</v>
      </c>
      <c r="O201">
        <v>0</v>
      </c>
      <c r="P201" t="str">
        <f t="shared" si="7"/>
        <v>Non Chronic</v>
      </c>
      <c r="Q201">
        <v>1</v>
      </c>
      <c r="R201">
        <v>0</v>
      </c>
      <c r="S201" t="s">
        <v>30</v>
      </c>
    </row>
    <row r="202" spans="1:19" x14ac:dyDescent="0.3">
      <c r="A202">
        <v>500201</v>
      </c>
      <c r="B202">
        <v>52096</v>
      </c>
      <c r="C202" t="s">
        <v>8</v>
      </c>
      <c r="D202" t="s">
        <v>36</v>
      </c>
      <c r="E202" s="1">
        <v>45995</v>
      </c>
      <c r="F202" t="s">
        <v>884</v>
      </c>
      <c r="G202" s="1">
        <v>46015</v>
      </c>
      <c r="H202" s="1" t="str">
        <f t="shared" si="6"/>
        <v>Wednesday</v>
      </c>
      <c r="I202">
        <v>45</v>
      </c>
      <c r="J202" t="s">
        <v>15</v>
      </c>
      <c r="K202">
        <v>0</v>
      </c>
      <c r="L202">
        <v>0</v>
      </c>
      <c r="M202">
        <v>0</v>
      </c>
      <c r="N202">
        <v>0</v>
      </c>
      <c r="O202">
        <v>0</v>
      </c>
      <c r="P202" t="str">
        <f t="shared" si="7"/>
        <v>Non Chronic</v>
      </c>
      <c r="Q202">
        <v>0</v>
      </c>
      <c r="R202">
        <v>1</v>
      </c>
      <c r="S202" t="s">
        <v>0</v>
      </c>
    </row>
    <row r="203" spans="1:19" x14ac:dyDescent="0.3">
      <c r="A203">
        <v>500202</v>
      </c>
      <c r="B203">
        <v>33040</v>
      </c>
      <c r="C203" t="s">
        <v>4</v>
      </c>
      <c r="D203" t="s">
        <v>3</v>
      </c>
      <c r="E203" s="1">
        <v>46131</v>
      </c>
      <c r="F203" t="s">
        <v>883</v>
      </c>
      <c r="G203" s="1">
        <v>46151</v>
      </c>
      <c r="H203" s="1" t="str">
        <f t="shared" si="6"/>
        <v>Saturday</v>
      </c>
      <c r="I203">
        <v>49</v>
      </c>
      <c r="J203" t="s">
        <v>10</v>
      </c>
      <c r="K203">
        <v>0</v>
      </c>
      <c r="L203">
        <v>0</v>
      </c>
      <c r="M203">
        <v>0</v>
      </c>
      <c r="N203">
        <v>0</v>
      </c>
      <c r="O203">
        <v>0</v>
      </c>
      <c r="P203" t="str">
        <f t="shared" si="7"/>
        <v>Non Chronic</v>
      </c>
      <c r="Q203">
        <v>1</v>
      </c>
      <c r="R203">
        <v>0</v>
      </c>
      <c r="S203" t="s">
        <v>0</v>
      </c>
    </row>
    <row r="204" spans="1:19" x14ac:dyDescent="0.3">
      <c r="A204">
        <v>500203</v>
      </c>
      <c r="B204">
        <v>24064</v>
      </c>
      <c r="C204" t="s">
        <v>8</v>
      </c>
      <c r="D204" t="s">
        <v>25</v>
      </c>
      <c r="E204" s="1">
        <v>46118</v>
      </c>
      <c r="F204" t="s">
        <v>882</v>
      </c>
      <c r="G204" s="1">
        <v>46133</v>
      </c>
      <c r="H204" s="1" t="str">
        <f t="shared" si="6"/>
        <v>Tuesday</v>
      </c>
      <c r="I204">
        <v>59</v>
      </c>
      <c r="J204" t="s">
        <v>10</v>
      </c>
      <c r="K204">
        <v>1</v>
      </c>
      <c r="L204">
        <v>0</v>
      </c>
      <c r="M204">
        <v>1</v>
      </c>
      <c r="N204">
        <v>0</v>
      </c>
      <c r="O204">
        <v>0</v>
      </c>
      <c r="P204" t="str">
        <f t="shared" si="7"/>
        <v>Chronic</v>
      </c>
      <c r="Q204">
        <v>1</v>
      </c>
      <c r="R204">
        <v>0</v>
      </c>
      <c r="S204" t="s">
        <v>0</v>
      </c>
    </row>
    <row r="205" spans="1:19" x14ac:dyDescent="0.3">
      <c r="A205">
        <v>500204</v>
      </c>
      <c r="B205">
        <v>94972</v>
      </c>
      <c r="C205" t="s">
        <v>8</v>
      </c>
      <c r="D205" t="s">
        <v>28</v>
      </c>
      <c r="E205" s="1">
        <v>46145</v>
      </c>
      <c r="F205" t="s">
        <v>881</v>
      </c>
      <c r="G205" s="1">
        <v>46160</v>
      </c>
      <c r="H205" s="1" t="str">
        <f t="shared" si="6"/>
        <v>Monday</v>
      </c>
      <c r="I205">
        <v>59</v>
      </c>
      <c r="J205" t="s">
        <v>17</v>
      </c>
      <c r="K205">
        <v>1</v>
      </c>
      <c r="L205">
        <v>0</v>
      </c>
      <c r="M205">
        <v>0</v>
      </c>
      <c r="N205">
        <v>0</v>
      </c>
      <c r="O205">
        <v>0</v>
      </c>
      <c r="P205" t="str">
        <f t="shared" si="7"/>
        <v>Non Chronic</v>
      </c>
      <c r="Q205">
        <v>0</v>
      </c>
      <c r="R205">
        <v>0</v>
      </c>
      <c r="S205" t="s">
        <v>0</v>
      </c>
    </row>
    <row r="206" spans="1:19" x14ac:dyDescent="0.3">
      <c r="A206">
        <v>500205</v>
      </c>
      <c r="B206">
        <v>77538</v>
      </c>
      <c r="C206" t="s">
        <v>8</v>
      </c>
      <c r="D206" t="s">
        <v>58</v>
      </c>
      <c r="E206" s="1">
        <v>46015</v>
      </c>
      <c r="F206" t="s">
        <v>880</v>
      </c>
      <c r="G206" s="1">
        <v>46025</v>
      </c>
      <c r="H206" s="1" t="str">
        <f t="shared" si="6"/>
        <v>Saturday</v>
      </c>
      <c r="I206">
        <v>10</v>
      </c>
      <c r="J206" t="s">
        <v>23</v>
      </c>
      <c r="K206">
        <v>0</v>
      </c>
      <c r="L206">
        <v>0</v>
      </c>
      <c r="M206">
        <v>0</v>
      </c>
      <c r="N206">
        <v>0</v>
      </c>
      <c r="O206">
        <v>0</v>
      </c>
      <c r="P206" t="str">
        <f t="shared" si="7"/>
        <v>Non Chronic</v>
      </c>
      <c r="Q206">
        <v>1</v>
      </c>
      <c r="R206">
        <v>1</v>
      </c>
      <c r="S206" t="s">
        <v>30</v>
      </c>
    </row>
    <row r="207" spans="1:19" x14ac:dyDescent="0.3">
      <c r="A207">
        <v>500206</v>
      </c>
      <c r="B207">
        <v>52415</v>
      </c>
      <c r="C207" t="s">
        <v>4</v>
      </c>
      <c r="D207" t="s">
        <v>36</v>
      </c>
      <c r="E207" s="1">
        <v>45993</v>
      </c>
      <c r="F207" t="s">
        <v>409</v>
      </c>
      <c r="G207" s="1">
        <v>45995</v>
      </c>
      <c r="H207" s="1" t="str">
        <f t="shared" si="6"/>
        <v>Thursday</v>
      </c>
      <c r="I207">
        <v>19</v>
      </c>
      <c r="J207" t="s">
        <v>5</v>
      </c>
      <c r="K207">
        <v>1</v>
      </c>
      <c r="L207">
        <v>0</v>
      </c>
      <c r="M207">
        <v>0</v>
      </c>
      <c r="N207">
        <v>0</v>
      </c>
      <c r="O207">
        <v>0</v>
      </c>
      <c r="P207" t="str">
        <f t="shared" si="7"/>
        <v>Non Chronic</v>
      </c>
      <c r="Q207">
        <v>0</v>
      </c>
      <c r="R207">
        <v>0</v>
      </c>
      <c r="S207" t="s">
        <v>22</v>
      </c>
    </row>
    <row r="208" spans="1:19" x14ac:dyDescent="0.3">
      <c r="A208">
        <v>500207</v>
      </c>
      <c r="B208">
        <v>49576</v>
      </c>
      <c r="C208" t="s">
        <v>4</v>
      </c>
      <c r="D208" t="s">
        <v>25</v>
      </c>
      <c r="E208" s="1">
        <v>46090</v>
      </c>
      <c r="F208" t="s">
        <v>833</v>
      </c>
      <c r="G208" s="1">
        <v>46093</v>
      </c>
      <c r="H208" s="1" t="str">
        <f t="shared" si="6"/>
        <v>Thursday</v>
      </c>
      <c r="I208">
        <v>48</v>
      </c>
      <c r="J208" t="s">
        <v>20</v>
      </c>
      <c r="K208">
        <v>0</v>
      </c>
      <c r="L208">
        <v>1</v>
      </c>
      <c r="M208">
        <v>1</v>
      </c>
      <c r="N208">
        <v>0</v>
      </c>
      <c r="O208">
        <v>0</v>
      </c>
      <c r="P208" t="str">
        <f t="shared" si="7"/>
        <v>Chronic</v>
      </c>
      <c r="Q208">
        <v>1</v>
      </c>
      <c r="R208">
        <v>0</v>
      </c>
      <c r="S208" t="s">
        <v>0</v>
      </c>
    </row>
    <row r="209" spans="1:19" x14ac:dyDescent="0.3">
      <c r="A209">
        <v>500208</v>
      </c>
      <c r="B209">
        <v>50760</v>
      </c>
      <c r="C209" t="s">
        <v>4</v>
      </c>
      <c r="D209" t="s">
        <v>25</v>
      </c>
      <c r="E209" s="1">
        <v>46091</v>
      </c>
      <c r="F209" t="s">
        <v>879</v>
      </c>
      <c r="G209" s="1">
        <v>46101</v>
      </c>
      <c r="H209" s="1" t="str">
        <f t="shared" si="6"/>
        <v>Friday</v>
      </c>
      <c r="I209">
        <v>48</v>
      </c>
      <c r="J209" t="s">
        <v>20</v>
      </c>
      <c r="K209">
        <v>0</v>
      </c>
      <c r="L209">
        <v>1</v>
      </c>
      <c r="M209">
        <v>1</v>
      </c>
      <c r="N209">
        <v>0</v>
      </c>
      <c r="O209">
        <v>0</v>
      </c>
      <c r="P209" t="str">
        <f t="shared" si="7"/>
        <v>Chronic</v>
      </c>
      <c r="Q209">
        <v>1</v>
      </c>
      <c r="R209">
        <v>0</v>
      </c>
      <c r="S209" t="s">
        <v>0</v>
      </c>
    </row>
    <row r="210" spans="1:19" x14ac:dyDescent="0.3">
      <c r="A210">
        <v>500209</v>
      </c>
      <c r="B210">
        <v>81989</v>
      </c>
      <c r="C210" t="s">
        <v>8</v>
      </c>
      <c r="D210" t="s">
        <v>14</v>
      </c>
      <c r="E210" s="1">
        <v>46136</v>
      </c>
      <c r="F210" t="s">
        <v>738</v>
      </c>
      <c r="G210" s="1">
        <v>46156</v>
      </c>
      <c r="H210" s="1" t="str">
        <f t="shared" si="6"/>
        <v>Thursday</v>
      </c>
      <c r="I210">
        <v>48</v>
      </c>
      <c r="J210" t="s">
        <v>45</v>
      </c>
      <c r="K210">
        <v>0</v>
      </c>
      <c r="L210">
        <v>0</v>
      </c>
      <c r="M210">
        <v>0</v>
      </c>
      <c r="N210">
        <v>0</v>
      </c>
      <c r="O210">
        <v>0</v>
      </c>
      <c r="P210" t="str">
        <f t="shared" si="7"/>
        <v>Non Chronic</v>
      </c>
      <c r="Q210">
        <v>1</v>
      </c>
      <c r="R210">
        <v>0</v>
      </c>
      <c r="S210" t="s">
        <v>0</v>
      </c>
    </row>
    <row r="211" spans="1:19" x14ac:dyDescent="0.3">
      <c r="A211">
        <v>500210</v>
      </c>
      <c r="B211">
        <v>76255</v>
      </c>
      <c r="C211" t="s">
        <v>4</v>
      </c>
      <c r="D211" t="s">
        <v>28</v>
      </c>
      <c r="E211" s="1">
        <v>46101</v>
      </c>
      <c r="F211" t="s">
        <v>756</v>
      </c>
      <c r="G211" s="1">
        <v>46106</v>
      </c>
      <c r="H211" s="1" t="str">
        <f t="shared" si="6"/>
        <v>Wednesday</v>
      </c>
      <c r="I211">
        <v>90</v>
      </c>
      <c r="J211" t="s">
        <v>31</v>
      </c>
      <c r="K211">
        <v>1</v>
      </c>
      <c r="L211">
        <v>0</v>
      </c>
      <c r="M211">
        <v>0</v>
      </c>
      <c r="N211">
        <v>0</v>
      </c>
      <c r="O211">
        <v>0</v>
      </c>
      <c r="P211" t="str">
        <f t="shared" si="7"/>
        <v>Non Chronic</v>
      </c>
      <c r="Q211">
        <v>0</v>
      </c>
      <c r="R211">
        <v>0</v>
      </c>
      <c r="S211" t="s">
        <v>9</v>
      </c>
    </row>
    <row r="212" spans="1:19" x14ac:dyDescent="0.3">
      <c r="A212">
        <v>500211</v>
      </c>
      <c r="B212">
        <v>17292</v>
      </c>
      <c r="C212" t="s">
        <v>8</v>
      </c>
      <c r="D212" t="s">
        <v>28</v>
      </c>
      <c r="E212" s="1">
        <v>45998</v>
      </c>
      <c r="F212" t="s">
        <v>640</v>
      </c>
      <c r="G212" s="1">
        <v>46013</v>
      </c>
      <c r="H212" s="1" t="str">
        <f t="shared" si="6"/>
        <v>Monday</v>
      </c>
      <c r="I212">
        <v>49</v>
      </c>
      <c r="J212" t="s">
        <v>12</v>
      </c>
      <c r="K212">
        <v>1</v>
      </c>
      <c r="L212">
        <v>0</v>
      </c>
      <c r="M212">
        <v>1</v>
      </c>
      <c r="N212">
        <v>0</v>
      </c>
      <c r="O212">
        <v>0</v>
      </c>
      <c r="P212" t="str">
        <f t="shared" si="7"/>
        <v>Chronic</v>
      </c>
      <c r="Q212">
        <v>0</v>
      </c>
      <c r="R212">
        <v>1</v>
      </c>
      <c r="S212" t="s">
        <v>0</v>
      </c>
    </row>
    <row r="213" spans="1:19" x14ac:dyDescent="0.3">
      <c r="A213">
        <v>500212</v>
      </c>
      <c r="B213">
        <v>10395</v>
      </c>
      <c r="C213" t="s">
        <v>4</v>
      </c>
      <c r="D213" t="s">
        <v>58</v>
      </c>
      <c r="E213" s="1">
        <v>46037</v>
      </c>
      <c r="F213" t="s">
        <v>581</v>
      </c>
      <c r="G213" s="1">
        <v>46037</v>
      </c>
      <c r="H213" s="1" t="str">
        <f t="shared" si="6"/>
        <v>Thursday</v>
      </c>
      <c r="I213">
        <v>60</v>
      </c>
      <c r="J213" t="s">
        <v>17</v>
      </c>
      <c r="K213">
        <v>1</v>
      </c>
      <c r="L213">
        <v>1</v>
      </c>
      <c r="M213">
        <v>1</v>
      </c>
      <c r="N213">
        <v>0</v>
      </c>
      <c r="O213">
        <v>0</v>
      </c>
      <c r="P213" t="str">
        <f t="shared" si="7"/>
        <v>Chronic</v>
      </c>
      <c r="Q213">
        <v>0</v>
      </c>
      <c r="R213">
        <v>1</v>
      </c>
      <c r="S213" t="s">
        <v>0</v>
      </c>
    </row>
    <row r="214" spans="1:19" x14ac:dyDescent="0.3">
      <c r="A214">
        <v>500213</v>
      </c>
      <c r="B214">
        <v>63591</v>
      </c>
      <c r="C214" t="s">
        <v>4</v>
      </c>
      <c r="D214" t="s">
        <v>28</v>
      </c>
      <c r="E214" s="1">
        <v>46052</v>
      </c>
      <c r="F214" t="s">
        <v>679</v>
      </c>
      <c r="G214" s="1">
        <v>46055</v>
      </c>
      <c r="H214" s="1" t="str">
        <f t="shared" si="6"/>
        <v>Monday</v>
      </c>
      <c r="I214">
        <v>57</v>
      </c>
      <c r="J214" t="s">
        <v>23</v>
      </c>
      <c r="K214">
        <v>1</v>
      </c>
      <c r="L214">
        <v>0</v>
      </c>
      <c r="M214">
        <v>0</v>
      </c>
      <c r="N214">
        <v>0</v>
      </c>
      <c r="O214">
        <v>0</v>
      </c>
      <c r="P214" t="str">
        <f t="shared" si="7"/>
        <v>Non Chronic</v>
      </c>
      <c r="Q214">
        <v>1</v>
      </c>
      <c r="R214">
        <v>0</v>
      </c>
      <c r="S214" t="s">
        <v>0</v>
      </c>
    </row>
    <row r="215" spans="1:19" x14ac:dyDescent="0.3">
      <c r="A215">
        <v>500214</v>
      </c>
      <c r="B215">
        <v>80687</v>
      </c>
      <c r="C215" t="s">
        <v>4</v>
      </c>
      <c r="D215" t="s">
        <v>19</v>
      </c>
      <c r="E215" s="1">
        <v>46002</v>
      </c>
      <c r="F215" t="s">
        <v>878</v>
      </c>
      <c r="G215" s="1">
        <v>46032</v>
      </c>
      <c r="H215" s="1" t="str">
        <f t="shared" si="6"/>
        <v>Saturday</v>
      </c>
      <c r="I215">
        <v>51</v>
      </c>
      <c r="J215" t="s">
        <v>15</v>
      </c>
      <c r="K215">
        <v>0</v>
      </c>
      <c r="L215">
        <v>0</v>
      </c>
      <c r="M215">
        <v>0</v>
      </c>
      <c r="N215">
        <v>0</v>
      </c>
      <c r="O215">
        <v>0</v>
      </c>
      <c r="P215" t="str">
        <f t="shared" si="7"/>
        <v>Non Chronic</v>
      </c>
      <c r="Q215">
        <v>0</v>
      </c>
      <c r="R215">
        <v>0</v>
      </c>
      <c r="S215" t="s">
        <v>0</v>
      </c>
    </row>
    <row r="216" spans="1:19" x14ac:dyDescent="0.3">
      <c r="A216">
        <v>500215</v>
      </c>
      <c r="B216">
        <v>49107</v>
      </c>
      <c r="C216" t="s">
        <v>8</v>
      </c>
      <c r="D216" t="s">
        <v>3</v>
      </c>
      <c r="E216" s="1">
        <v>46082</v>
      </c>
      <c r="F216" t="s">
        <v>427</v>
      </c>
      <c r="G216" s="1">
        <v>46084</v>
      </c>
      <c r="H216" s="1" t="str">
        <f t="shared" si="6"/>
        <v>Tuesday</v>
      </c>
      <c r="I216">
        <v>31</v>
      </c>
      <c r="J216" t="s">
        <v>12</v>
      </c>
      <c r="K216">
        <v>1</v>
      </c>
      <c r="L216">
        <v>0</v>
      </c>
      <c r="M216">
        <v>0</v>
      </c>
      <c r="N216">
        <v>0</v>
      </c>
      <c r="O216">
        <v>0</v>
      </c>
      <c r="P216" t="str">
        <f t="shared" si="7"/>
        <v>Non Chronic</v>
      </c>
      <c r="Q216">
        <v>1</v>
      </c>
      <c r="R216">
        <v>0</v>
      </c>
      <c r="S216" t="s">
        <v>22</v>
      </c>
    </row>
    <row r="217" spans="1:19" x14ac:dyDescent="0.3">
      <c r="A217">
        <v>500216</v>
      </c>
      <c r="B217">
        <v>24790</v>
      </c>
      <c r="C217" t="s">
        <v>4</v>
      </c>
      <c r="D217" t="s">
        <v>3</v>
      </c>
      <c r="E217" s="1">
        <v>46147</v>
      </c>
      <c r="F217" t="s">
        <v>877</v>
      </c>
      <c r="G217" s="1">
        <v>46152</v>
      </c>
      <c r="H217" s="1" t="str">
        <f t="shared" si="6"/>
        <v>Sunday</v>
      </c>
      <c r="I217">
        <v>53</v>
      </c>
      <c r="J217" t="s">
        <v>1</v>
      </c>
      <c r="K217">
        <v>0</v>
      </c>
      <c r="L217">
        <v>1</v>
      </c>
      <c r="M217">
        <v>1</v>
      </c>
      <c r="N217">
        <v>0</v>
      </c>
      <c r="O217">
        <v>0</v>
      </c>
      <c r="P217" t="str">
        <f t="shared" si="7"/>
        <v>Chronic</v>
      </c>
      <c r="Q217">
        <v>1</v>
      </c>
      <c r="R217">
        <v>0</v>
      </c>
      <c r="S217" t="s">
        <v>0</v>
      </c>
    </row>
    <row r="218" spans="1:19" x14ac:dyDescent="0.3">
      <c r="A218">
        <v>500217</v>
      </c>
      <c r="B218">
        <v>42077</v>
      </c>
      <c r="C218" t="s">
        <v>4</v>
      </c>
      <c r="D218" t="s">
        <v>3</v>
      </c>
      <c r="E218" s="1">
        <v>46139</v>
      </c>
      <c r="F218" t="s">
        <v>329</v>
      </c>
      <c r="G218" s="1">
        <v>46149</v>
      </c>
      <c r="H218" s="1" t="str">
        <f t="shared" si="6"/>
        <v>Thursday</v>
      </c>
      <c r="I218">
        <v>22</v>
      </c>
      <c r="J218" t="s">
        <v>10</v>
      </c>
      <c r="K218">
        <v>0</v>
      </c>
      <c r="L218">
        <v>0</v>
      </c>
      <c r="M218">
        <v>0</v>
      </c>
      <c r="N218">
        <v>0</v>
      </c>
      <c r="O218">
        <v>0</v>
      </c>
      <c r="P218" t="str">
        <f t="shared" si="7"/>
        <v>Non Chronic</v>
      </c>
      <c r="Q218">
        <v>0</v>
      </c>
      <c r="R218">
        <v>1</v>
      </c>
      <c r="S218" t="s">
        <v>22</v>
      </c>
    </row>
    <row r="219" spans="1:19" x14ac:dyDescent="0.3">
      <c r="A219">
        <v>500218</v>
      </c>
      <c r="B219">
        <v>47914</v>
      </c>
      <c r="C219" t="s">
        <v>4</v>
      </c>
      <c r="D219" t="s">
        <v>19</v>
      </c>
      <c r="E219" s="1">
        <v>46130</v>
      </c>
      <c r="F219" t="s">
        <v>439</v>
      </c>
      <c r="G219" s="1">
        <v>46150</v>
      </c>
      <c r="H219" s="1" t="str">
        <f t="shared" si="6"/>
        <v>Friday</v>
      </c>
      <c r="I219">
        <v>33</v>
      </c>
      <c r="J219" t="s">
        <v>1</v>
      </c>
      <c r="K219">
        <v>1</v>
      </c>
      <c r="L219">
        <v>0</v>
      </c>
      <c r="M219">
        <v>0</v>
      </c>
      <c r="N219">
        <v>0</v>
      </c>
      <c r="O219">
        <v>0</v>
      </c>
      <c r="P219" t="str">
        <f t="shared" si="7"/>
        <v>Non Chronic</v>
      </c>
      <c r="Q219">
        <v>0</v>
      </c>
      <c r="R219">
        <v>0</v>
      </c>
      <c r="S219" t="s">
        <v>22</v>
      </c>
    </row>
    <row r="220" spans="1:19" x14ac:dyDescent="0.3">
      <c r="A220">
        <v>500219</v>
      </c>
      <c r="B220">
        <v>64206</v>
      </c>
      <c r="C220" t="s">
        <v>8</v>
      </c>
      <c r="D220" t="s">
        <v>25</v>
      </c>
      <c r="E220" s="1">
        <v>46128</v>
      </c>
      <c r="F220" t="s">
        <v>732</v>
      </c>
      <c r="G220" s="1">
        <v>46131</v>
      </c>
      <c r="H220" s="1" t="str">
        <f t="shared" si="6"/>
        <v>Sunday</v>
      </c>
      <c r="I220">
        <v>28</v>
      </c>
      <c r="J220" t="s">
        <v>17</v>
      </c>
      <c r="K220">
        <v>0</v>
      </c>
      <c r="L220">
        <v>0</v>
      </c>
      <c r="M220">
        <v>0</v>
      </c>
      <c r="N220">
        <v>0</v>
      </c>
      <c r="O220">
        <v>0</v>
      </c>
      <c r="P220" t="str">
        <f t="shared" si="7"/>
        <v>Non Chronic</v>
      </c>
      <c r="Q220">
        <v>1</v>
      </c>
      <c r="R220">
        <v>0</v>
      </c>
      <c r="S220" t="s">
        <v>22</v>
      </c>
    </row>
    <row r="221" spans="1:19" x14ac:dyDescent="0.3">
      <c r="A221">
        <v>500220</v>
      </c>
      <c r="B221">
        <v>94320</v>
      </c>
      <c r="C221" t="s">
        <v>8</v>
      </c>
      <c r="D221" t="s">
        <v>19</v>
      </c>
      <c r="E221" s="1">
        <v>46083</v>
      </c>
      <c r="F221" t="s">
        <v>876</v>
      </c>
      <c r="G221" s="1">
        <v>46086</v>
      </c>
      <c r="H221" s="1" t="str">
        <f t="shared" si="6"/>
        <v>Thursday</v>
      </c>
      <c r="I221">
        <v>39</v>
      </c>
      <c r="J221" t="s">
        <v>23</v>
      </c>
      <c r="K221">
        <v>1</v>
      </c>
      <c r="L221">
        <v>0</v>
      </c>
      <c r="M221">
        <v>0</v>
      </c>
      <c r="N221">
        <v>0</v>
      </c>
      <c r="O221">
        <v>0</v>
      </c>
      <c r="P221" t="str">
        <f t="shared" si="7"/>
        <v>Non Chronic</v>
      </c>
      <c r="Q221">
        <v>0</v>
      </c>
      <c r="R221">
        <v>0</v>
      </c>
      <c r="S221" t="s">
        <v>22</v>
      </c>
    </row>
    <row r="222" spans="1:19" x14ac:dyDescent="0.3">
      <c r="A222">
        <v>500221</v>
      </c>
      <c r="B222">
        <v>39536</v>
      </c>
      <c r="C222" t="s">
        <v>8</v>
      </c>
      <c r="D222" t="s">
        <v>28</v>
      </c>
      <c r="E222" s="1">
        <v>45999</v>
      </c>
      <c r="F222" t="s">
        <v>599</v>
      </c>
      <c r="G222" s="1">
        <v>46001</v>
      </c>
      <c r="H222" s="1" t="str">
        <f t="shared" si="6"/>
        <v>Wednesday</v>
      </c>
      <c r="I222">
        <v>84</v>
      </c>
      <c r="J222" t="s">
        <v>10</v>
      </c>
      <c r="K222">
        <v>0</v>
      </c>
      <c r="L222">
        <v>0</v>
      </c>
      <c r="M222">
        <v>0</v>
      </c>
      <c r="N222">
        <v>0</v>
      </c>
      <c r="O222">
        <v>0</v>
      </c>
      <c r="P222" t="str">
        <f t="shared" si="7"/>
        <v>Non Chronic</v>
      </c>
      <c r="Q222">
        <v>1</v>
      </c>
      <c r="R222">
        <v>0</v>
      </c>
      <c r="S222" t="s">
        <v>9</v>
      </c>
    </row>
    <row r="223" spans="1:19" x14ac:dyDescent="0.3">
      <c r="A223">
        <v>500222</v>
      </c>
      <c r="B223">
        <v>68954</v>
      </c>
      <c r="C223" t="s">
        <v>8</v>
      </c>
      <c r="D223" t="s">
        <v>58</v>
      </c>
      <c r="E223" s="1">
        <v>46112</v>
      </c>
      <c r="F223" t="s">
        <v>875</v>
      </c>
      <c r="G223" s="1">
        <v>46122</v>
      </c>
      <c r="H223" s="1" t="str">
        <f t="shared" si="6"/>
        <v>Friday</v>
      </c>
      <c r="I223">
        <v>0</v>
      </c>
      <c r="J223" t="s">
        <v>12</v>
      </c>
      <c r="K223">
        <v>0</v>
      </c>
      <c r="L223">
        <v>0</v>
      </c>
      <c r="M223">
        <v>0</v>
      </c>
      <c r="N223">
        <v>0</v>
      </c>
      <c r="O223">
        <v>0</v>
      </c>
      <c r="P223" t="str">
        <f t="shared" si="7"/>
        <v>Non Chronic</v>
      </c>
      <c r="Q223">
        <v>1</v>
      </c>
      <c r="R223">
        <v>0</v>
      </c>
      <c r="S223" t="s">
        <v>30</v>
      </c>
    </row>
    <row r="224" spans="1:19" x14ac:dyDescent="0.3">
      <c r="A224">
        <v>500223</v>
      </c>
      <c r="B224">
        <v>98299</v>
      </c>
      <c r="C224" t="s">
        <v>4</v>
      </c>
      <c r="D224" t="s">
        <v>58</v>
      </c>
      <c r="E224" s="1">
        <v>46068</v>
      </c>
      <c r="F224" t="s">
        <v>874</v>
      </c>
      <c r="G224" s="1">
        <v>46098</v>
      </c>
      <c r="H224" s="1" t="str">
        <f t="shared" si="6"/>
        <v>Tuesday</v>
      </c>
      <c r="I224">
        <v>51</v>
      </c>
      <c r="J224" t="s">
        <v>45</v>
      </c>
      <c r="K224">
        <v>0</v>
      </c>
      <c r="L224">
        <v>0</v>
      </c>
      <c r="M224">
        <v>0</v>
      </c>
      <c r="N224">
        <v>0</v>
      </c>
      <c r="O224">
        <v>0</v>
      </c>
      <c r="P224" t="str">
        <f t="shared" si="7"/>
        <v>Non Chronic</v>
      </c>
      <c r="Q224">
        <v>1</v>
      </c>
      <c r="R224">
        <v>0</v>
      </c>
      <c r="S224" t="s">
        <v>0</v>
      </c>
    </row>
    <row r="225" spans="1:19" x14ac:dyDescent="0.3">
      <c r="A225">
        <v>500224</v>
      </c>
      <c r="B225">
        <v>25376</v>
      </c>
      <c r="C225" t="s">
        <v>8</v>
      </c>
      <c r="D225" t="s">
        <v>14</v>
      </c>
      <c r="E225" s="1">
        <v>45991</v>
      </c>
      <c r="F225" t="s">
        <v>873</v>
      </c>
      <c r="G225" s="1">
        <v>46001</v>
      </c>
      <c r="H225" s="1" t="str">
        <f t="shared" si="6"/>
        <v>Wednesday</v>
      </c>
      <c r="I225">
        <v>5</v>
      </c>
      <c r="J225" t="s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 t="str">
        <f t="shared" si="7"/>
        <v>Non Chronic</v>
      </c>
      <c r="Q225">
        <v>1</v>
      </c>
      <c r="R225">
        <v>0</v>
      </c>
      <c r="S225" t="s">
        <v>30</v>
      </c>
    </row>
    <row r="226" spans="1:19" x14ac:dyDescent="0.3">
      <c r="A226">
        <v>500225</v>
      </c>
      <c r="B226">
        <v>52154</v>
      </c>
      <c r="C226" t="s">
        <v>8</v>
      </c>
      <c r="D226" t="s">
        <v>3</v>
      </c>
      <c r="E226" s="1">
        <v>46045</v>
      </c>
      <c r="F226" t="s">
        <v>872</v>
      </c>
      <c r="G226" s="1">
        <v>46048</v>
      </c>
      <c r="H226" s="1" t="str">
        <f t="shared" si="6"/>
        <v>Monday</v>
      </c>
      <c r="I226">
        <v>28</v>
      </c>
      <c r="J226" t="s">
        <v>10</v>
      </c>
      <c r="K226">
        <v>1</v>
      </c>
      <c r="L226">
        <v>0</v>
      </c>
      <c r="M226">
        <v>0</v>
      </c>
      <c r="N226">
        <v>0</v>
      </c>
      <c r="O226">
        <v>0</v>
      </c>
      <c r="P226" t="str">
        <f t="shared" si="7"/>
        <v>Non Chronic</v>
      </c>
      <c r="Q226">
        <v>0</v>
      </c>
      <c r="R226">
        <v>0</v>
      </c>
      <c r="S226" t="s">
        <v>22</v>
      </c>
    </row>
    <row r="227" spans="1:19" x14ac:dyDescent="0.3">
      <c r="A227">
        <v>500226</v>
      </c>
      <c r="B227">
        <v>71537</v>
      </c>
      <c r="C227" t="s">
        <v>8</v>
      </c>
      <c r="D227" t="s">
        <v>14</v>
      </c>
      <c r="E227" s="1">
        <v>46096</v>
      </c>
      <c r="F227" t="s">
        <v>454</v>
      </c>
      <c r="G227" s="1">
        <v>46098</v>
      </c>
      <c r="H227" s="1" t="str">
        <f t="shared" si="6"/>
        <v>Tuesday</v>
      </c>
      <c r="I227">
        <v>59</v>
      </c>
      <c r="J227" t="s">
        <v>20</v>
      </c>
      <c r="K227">
        <v>1</v>
      </c>
      <c r="L227">
        <v>0</v>
      </c>
      <c r="M227">
        <v>0</v>
      </c>
      <c r="N227">
        <v>0</v>
      </c>
      <c r="O227">
        <v>0</v>
      </c>
      <c r="P227" t="str">
        <f t="shared" si="7"/>
        <v>Non Chronic</v>
      </c>
      <c r="Q227">
        <v>0</v>
      </c>
      <c r="R227">
        <v>0</v>
      </c>
      <c r="S227" t="s">
        <v>0</v>
      </c>
    </row>
    <row r="228" spans="1:19" x14ac:dyDescent="0.3">
      <c r="A228">
        <v>500227</v>
      </c>
      <c r="B228">
        <v>64732</v>
      </c>
      <c r="C228" t="s">
        <v>8</v>
      </c>
      <c r="D228" t="s">
        <v>28</v>
      </c>
      <c r="E228" s="1">
        <v>46157</v>
      </c>
      <c r="F228" t="s">
        <v>641</v>
      </c>
      <c r="G228" s="1">
        <v>46164</v>
      </c>
      <c r="H228" s="1" t="str">
        <f t="shared" si="6"/>
        <v>Friday</v>
      </c>
      <c r="I228">
        <v>39</v>
      </c>
      <c r="J228" t="s">
        <v>45</v>
      </c>
      <c r="K228">
        <v>1</v>
      </c>
      <c r="L228">
        <v>0</v>
      </c>
      <c r="M228">
        <v>0</v>
      </c>
      <c r="N228">
        <v>0</v>
      </c>
      <c r="O228">
        <v>0</v>
      </c>
      <c r="P228" t="str">
        <f t="shared" si="7"/>
        <v>Non Chronic</v>
      </c>
      <c r="Q228">
        <v>1</v>
      </c>
      <c r="R228">
        <v>0</v>
      </c>
      <c r="S228" t="s">
        <v>22</v>
      </c>
    </row>
    <row r="229" spans="1:19" x14ac:dyDescent="0.3">
      <c r="A229">
        <v>500228</v>
      </c>
      <c r="B229">
        <v>99764</v>
      </c>
      <c r="C229" t="s">
        <v>8</v>
      </c>
      <c r="D229" t="s">
        <v>25</v>
      </c>
      <c r="E229" s="1">
        <v>46072</v>
      </c>
      <c r="F229" t="s">
        <v>718</v>
      </c>
      <c r="G229" s="1">
        <v>46102</v>
      </c>
      <c r="H229" s="1" t="str">
        <f t="shared" si="6"/>
        <v>Saturday</v>
      </c>
      <c r="I229">
        <v>16</v>
      </c>
      <c r="J229" t="s">
        <v>10</v>
      </c>
      <c r="K229">
        <v>0</v>
      </c>
      <c r="L229">
        <v>0</v>
      </c>
      <c r="M229">
        <v>0</v>
      </c>
      <c r="N229">
        <v>0</v>
      </c>
      <c r="O229">
        <v>0</v>
      </c>
      <c r="P229" t="str">
        <f t="shared" si="7"/>
        <v>Non Chronic</v>
      </c>
      <c r="Q229">
        <v>1</v>
      </c>
      <c r="R229">
        <v>0</v>
      </c>
      <c r="S229" t="s">
        <v>30</v>
      </c>
    </row>
    <row r="230" spans="1:19" x14ac:dyDescent="0.3">
      <c r="A230">
        <v>500229</v>
      </c>
      <c r="B230">
        <v>32050</v>
      </c>
      <c r="C230" t="s">
        <v>8</v>
      </c>
      <c r="D230" t="s">
        <v>28</v>
      </c>
      <c r="E230" s="1">
        <v>45996</v>
      </c>
      <c r="F230" t="s">
        <v>871</v>
      </c>
      <c r="G230" s="1">
        <v>46016</v>
      </c>
      <c r="H230" s="1" t="str">
        <f t="shared" si="6"/>
        <v>Thursday</v>
      </c>
      <c r="I230">
        <v>23</v>
      </c>
      <c r="J230" t="s">
        <v>31</v>
      </c>
      <c r="K230">
        <v>1</v>
      </c>
      <c r="L230">
        <v>0</v>
      </c>
      <c r="M230">
        <v>0</v>
      </c>
      <c r="N230">
        <v>0</v>
      </c>
      <c r="O230">
        <v>0</v>
      </c>
      <c r="P230" t="str">
        <f t="shared" si="7"/>
        <v>Non Chronic</v>
      </c>
      <c r="Q230">
        <v>0</v>
      </c>
      <c r="R230">
        <v>0</v>
      </c>
      <c r="S230" t="s">
        <v>22</v>
      </c>
    </row>
    <row r="231" spans="1:19" x14ac:dyDescent="0.3">
      <c r="A231">
        <v>500230</v>
      </c>
      <c r="B231">
        <v>78674</v>
      </c>
      <c r="C231" t="s">
        <v>4</v>
      </c>
      <c r="D231" t="s">
        <v>58</v>
      </c>
      <c r="E231" s="1">
        <v>45992</v>
      </c>
      <c r="F231" t="s">
        <v>870</v>
      </c>
      <c r="G231" s="1">
        <v>46002</v>
      </c>
      <c r="H231" s="1" t="str">
        <f t="shared" si="6"/>
        <v>Thursday</v>
      </c>
      <c r="I231">
        <v>51</v>
      </c>
      <c r="J231" t="s">
        <v>17</v>
      </c>
      <c r="K231">
        <v>0</v>
      </c>
      <c r="L231">
        <v>0</v>
      </c>
      <c r="M231">
        <v>0</v>
      </c>
      <c r="N231">
        <v>0</v>
      </c>
      <c r="O231">
        <v>0</v>
      </c>
      <c r="P231" t="str">
        <f t="shared" si="7"/>
        <v>Non Chronic</v>
      </c>
      <c r="Q231">
        <v>1</v>
      </c>
      <c r="R231">
        <v>0</v>
      </c>
      <c r="S231" t="s">
        <v>0</v>
      </c>
    </row>
    <row r="232" spans="1:19" x14ac:dyDescent="0.3">
      <c r="A232">
        <v>500231</v>
      </c>
      <c r="B232">
        <v>58916</v>
      </c>
      <c r="C232" t="s">
        <v>4</v>
      </c>
      <c r="D232" t="s">
        <v>7</v>
      </c>
      <c r="E232" s="1">
        <v>46085</v>
      </c>
      <c r="F232" t="s">
        <v>869</v>
      </c>
      <c r="G232" s="1">
        <v>46090</v>
      </c>
      <c r="H232" s="1" t="str">
        <f t="shared" si="6"/>
        <v>Monday</v>
      </c>
      <c r="I232">
        <v>23</v>
      </c>
      <c r="J232" t="s">
        <v>10</v>
      </c>
      <c r="K232">
        <v>0</v>
      </c>
      <c r="L232">
        <v>0</v>
      </c>
      <c r="M232">
        <v>0</v>
      </c>
      <c r="N232">
        <v>1</v>
      </c>
      <c r="O232">
        <v>0</v>
      </c>
      <c r="P232" t="str">
        <f t="shared" si="7"/>
        <v>Non Chronic</v>
      </c>
      <c r="Q232">
        <v>1</v>
      </c>
      <c r="R232">
        <v>0</v>
      </c>
      <c r="S232" t="s">
        <v>22</v>
      </c>
    </row>
    <row r="233" spans="1:19" x14ac:dyDescent="0.3">
      <c r="A233">
        <v>500232</v>
      </c>
      <c r="B233">
        <v>46010</v>
      </c>
      <c r="C233" t="s">
        <v>8</v>
      </c>
      <c r="D233" t="s">
        <v>36</v>
      </c>
      <c r="E233" s="1">
        <v>46067</v>
      </c>
      <c r="F233" t="s">
        <v>868</v>
      </c>
      <c r="G233" s="1">
        <v>46068</v>
      </c>
      <c r="H233" s="1" t="str">
        <f t="shared" si="6"/>
        <v>Sunday</v>
      </c>
      <c r="I233">
        <v>42</v>
      </c>
      <c r="J233" t="s">
        <v>12</v>
      </c>
      <c r="K233">
        <v>1</v>
      </c>
      <c r="L233">
        <v>0</v>
      </c>
      <c r="M233">
        <v>0</v>
      </c>
      <c r="N233">
        <v>0</v>
      </c>
      <c r="O233">
        <v>0</v>
      </c>
      <c r="P233" t="str">
        <f t="shared" si="7"/>
        <v>Non Chronic</v>
      </c>
      <c r="Q233">
        <v>1</v>
      </c>
      <c r="R233">
        <v>1</v>
      </c>
      <c r="S233" t="s">
        <v>0</v>
      </c>
    </row>
    <row r="234" spans="1:19" x14ac:dyDescent="0.3">
      <c r="A234">
        <v>500233</v>
      </c>
      <c r="B234">
        <v>35156</v>
      </c>
      <c r="C234" t="s">
        <v>8</v>
      </c>
      <c r="D234" t="s">
        <v>19</v>
      </c>
      <c r="E234" s="1">
        <v>46125</v>
      </c>
      <c r="F234" t="s">
        <v>867</v>
      </c>
      <c r="G234" s="1">
        <v>46155</v>
      </c>
      <c r="H234" s="1" t="str">
        <f t="shared" si="6"/>
        <v>Wednesday</v>
      </c>
      <c r="I234">
        <v>38</v>
      </c>
      <c r="J234" t="s">
        <v>5</v>
      </c>
      <c r="K234">
        <v>1</v>
      </c>
      <c r="L234">
        <v>0</v>
      </c>
      <c r="M234">
        <v>0</v>
      </c>
      <c r="N234">
        <v>1</v>
      </c>
      <c r="O234">
        <v>0</v>
      </c>
      <c r="P234" t="str">
        <f t="shared" si="7"/>
        <v>Non Chronic</v>
      </c>
      <c r="Q234">
        <v>1</v>
      </c>
      <c r="R234">
        <v>1</v>
      </c>
      <c r="S234" t="s">
        <v>22</v>
      </c>
    </row>
    <row r="235" spans="1:19" x14ac:dyDescent="0.3">
      <c r="A235">
        <v>500234</v>
      </c>
      <c r="B235">
        <v>39603</v>
      </c>
      <c r="C235" t="s">
        <v>8</v>
      </c>
      <c r="D235" t="s">
        <v>58</v>
      </c>
      <c r="E235" s="1">
        <v>45998</v>
      </c>
      <c r="F235" t="s">
        <v>866</v>
      </c>
      <c r="G235" s="1">
        <v>46001</v>
      </c>
      <c r="H235" s="1" t="str">
        <f t="shared" si="6"/>
        <v>Wednesday</v>
      </c>
      <c r="I235">
        <v>24</v>
      </c>
      <c r="J235" t="s">
        <v>17</v>
      </c>
      <c r="K235">
        <v>0</v>
      </c>
      <c r="L235">
        <v>0</v>
      </c>
      <c r="M235">
        <v>0</v>
      </c>
      <c r="N235">
        <v>0</v>
      </c>
      <c r="O235">
        <v>0</v>
      </c>
      <c r="P235" t="str">
        <f t="shared" si="7"/>
        <v>Non Chronic</v>
      </c>
      <c r="Q235">
        <v>1</v>
      </c>
      <c r="R235">
        <v>0</v>
      </c>
      <c r="S235" t="s">
        <v>22</v>
      </c>
    </row>
    <row r="236" spans="1:19" x14ac:dyDescent="0.3">
      <c r="A236">
        <v>500235</v>
      </c>
      <c r="B236">
        <v>32463</v>
      </c>
      <c r="C236" t="s">
        <v>4</v>
      </c>
      <c r="D236" t="s">
        <v>7</v>
      </c>
      <c r="E236" s="1">
        <v>46117</v>
      </c>
      <c r="F236" t="s">
        <v>865</v>
      </c>
      <c r="G236" s="1">
        <v>46117</v>
      </c>
      <c r="H236" s="1" t="str">
        <f t="shared" si="6"/>
        <v>Sunday</v>
      </c>
      <c r="I236">
        <v>80</v>
      </c>
      <c r="J236" t="s">
        <v>23</v>
      </c>
      <c r="K236">
        <v>1</v>
      </c>
      <c r="L236">
        <v>0</v>
      </c>
      <c r="M236">
        <v>0</v>
      </c>
      <c r="N236">
        <v>0</v>
      </c>
      <c r="O236">
        <v>0</v>
      </c>
      <c r="P236" t="str">
        <f t="shared" si="7"/>
        <v>Non Chronic</v>
      </c>
      <c r="Q236">
        <v>1</v>
      </c>
      <c r="R236">
        <v>0</v>
      </c>
      <c r="S236" t="s">
        <v>9</v>
      </c>
    </row>
    <row r="237" spans="1:19" x14ac:dyDescent="0.3">
      <c r="A237">
        <v>500236</v>
      </c>
      <c r="B237">
        <v>84289</v>
      </c>
      <c r="C237" t="s">
        <v>8</v>
      </c>
      <c r="D237" t="s">
        <v>25</v>
      </c>
      <c r="E237" s="1">
        <v>46017</v>
      </c>
      <c r="F237" t="s">
        <v>523</v>
      </c>
      <c r="G237" s="1">
        <v>46024</v>
      </c>
      <c r="H237" s="1" t="str">
        <f t="shared" si="6"/>
        <v>Friday</v>
      </c>
      <c r="I237">
        <v>50</v>
      </c>
      <c r="J237" t="s">
        <v>17</v>
      </c>
      <c r="K237">
        <v>0</v>
      </c>
      <c r="L237">
        <v>0</v>
      </c>
      <c r="M237">
        <v>0</v>
      </c>
      <c r="N237">
        <v>0</v>
      </c>
      <c r="O237">
        <v>0</v>
      </c>
      <c r="P237" t="str">
        <f t="shared" si="7"/>
        <v>Non Chronic</v>
      </c>
      <c r="Q237">
        <v>1</v>
      </c>
      <c r="R237">
        <v>0</v>
      </c>
      <c r="S237" t="s">
        <v>0</v>
      </c>
    </row>
    <row r="238" spans="1:19" x14ac:dyDescent="0.3">
      <c r="A238">
        <v>500237</v>
      </c>
      <c r="B238">
        <v>12052</v>
      </c>
      <c r="C238" t="s">
        <v>4</v>
      </c>
      <c r="D238" t="s">
        <v>28</v>
      </c>
      <c r="E238" s="1">
        <v>46098</v>
      </c>
      <c r="F238" t="s">
        <v>859</v>
      </c>
      <c r="G238" s="1">
        <v>46118</v>
      </c>
      <c r="H238" s="1" t="str">
        <f t="shared" si="6"/>
        <v>Monday</v>
      </c>
      <c r="I238">
        <v>0</v>
      </c>
      <c r="J238" t="s">
        <v>23</v>
      </c>
      <c r="K238">
        <v>0</v>
      </c>
      <c r="L238">
        <v>0</v>
      </c>
      <c r="M238">
        <v>0</v>
      </c>
      <c r="N238">
        <v>0</v>
      </c>
      <c r="O238">
        <v>0</v>
      </c>
      <c r="P238" t="str">
        <f t="shared" si="7"/>
        <v>Non Chronic</v>
      </c>
      <c r="Q238">
        <v>1</v>
      </c>
      <c r="R238">
        <v>0</v>
      </c>
      <c r="S238" t="s">
        <v>30</v>
      </c>
    </row>
    <row r="239" spans="1:19" x14ac:dyDescent="0.3">
      <c r="A239">
        <v>500238</v>
      </c>
      <c r="B239">
        <v>84277</v>
      </c>
      <c r="C239" t="s">
        <v>8</v>
      </c>
      <c r="D239" t="s">
        <v>19</v>
      </c>
      <c r="E239" s="1">
        <v>46104</v>
      </c>
      <c r="F239" t="s">
        <v>817</v>
      </c>
      <c r="G239" s="1">
        <v>46104</v>
      </c>
      <c r="H239" s="1" t="str">
        <f t="shared" si="6"/>
        <v>Monday</v>
      </c>
      <c r="I239">
        <v>41</v>
      </c>
      <c r="J239" t="s">
        <v>23</v>
      </c>
      <c r="K239">
        <v>0</v>
      </c>
      <c r="L239">
        <v>0</v>
      </c>
      <c r="M239">
        <v>0</v>
      </c>
      <c r="N239">
        <v>0</v>
      </c>
      <c r="O239">
        <v>0</v>
      </c>
      <c r="P239" t="str">
        <f t="shared" si="7"/>
        <v>Non Chronic</v>
      </c>
      <c r="Q239">
        <v>0</v>
      </c>
      <c r="R239">
        <v>0</v>
      </c>
      <c r="S239" t="s">
        <v>0</v>
      </c>
    </row>
    <row r="240" spans="1:19" x14ac:dyDescent="0.3">
      <c r="A240">
        <v>500239</v>
      </c>
      <c r="B240">
        <v>22803</v>
      </c>
      <c r="C240" t="s">
        <v>8</v>
      </c>
      <c r="D240" t="s">
        <v>14</v>
      </c>
      <c r="E240" s="1">
        <v>46125</v>
      </c>
      <c r="F240" t="s">
        <v>864</v>
      </c>
      <c r="G240" s="1">
        <v>46132</v>
      </c>
      <c r="H240" s="1" t="str">
        <f t="shared" si="6"/>
        <v>Monday</v>
      </c>
      <c r="I240">
        <v>24</v>
      </c>
      <c r="J240" t="s">
        <v>15</v>
      </c>
      <c r="K240">
        <v>1</v>
      </c>
      <c r="L240">
        <v>0</v>
      </c>
      <c r="M240">
        <v>0</v>
      </c>
      <c r="N240">
        <v>0</v>
      </c>
      <c r="O240">
        <v>0</v>
      </c>
      <c r="P240" t="str">
        <f t="shared" si="7"/>
        <v>Non Chronic</v>
      </c>
      <c r="Q240">
        <v>1</v>
      </c>
      <c r="R240">
        <v>0</v>
      </c>
      <c r="S240" t="s">
        <v>22</v>
      </c>
    </row>
    <row r="241" spans="1:19" x14ac:dyDescent="0.3">
      <c r="A241">
        <v>500240</v>
      </c>
      <c r="B241">
        <v>52778</v>
      </c>
      <c r="C241" t="s">
        <v>4</v>
      </c>
      <c r="D241" t="s">
        <v>25</v>
      </c>
      <c r="E241" s="1">
        <v>46127</v>
      </c>
      <c r="F241" t="s">
        <v>863</v>
      </c>
      <c r="G241" s="1">
        <v>46128</v>
      </c>
      <c r="H241" s="1" t="str">
        <f t="shared" si="6"/>
        <v>Thursday</v>
      </c>
      <c r="I241">
        <v>55</v>
      </c>
      <c r="J241" t="s">
        <v>10</v>
      </c>
      <c r="K241">
        <v>1</v>
      </c>
      <c r="L241">
        <v>1</v>
      </c>
      <c r="M241">
        <v>0</v>
      </c>
      <c r="N241">
        <v>0</v>
      </c>
      <c r="O241">
        <v>0</v>
      </c>
      <c r="P241" t="str">
        <f t="shared" si="7"/>
        <v>Chronic</v>
      </c>
      <c r="Q241">
        <v>1</v>
      </c>
      <c r="R241">
        <v>0</v>
      </c>
      <c r="S241" t="s">
        <v>0</v>
      </c>
    </row>
    <row r="242" spans="1:19" x14ac:dyDescent="0.3">
      <c r="A242">
        <v>500241</v>
      </c>
      <c r="B242">
        <v>91083</v>
      </c>
      <c r="C242" t="s">
        <v>8</v>
      </c>
      <c r="D242" t="s">
        <v>14</v>
      </c>
      <c r="E242" s="1">
        <v>46011</v>
      </c>
      <c r="F242" t="s">
        <v>862</v>
      </c>
      <c r="G242" s="1">
        <v>46014</v>
      </c>
      <c r="H242" s="1" t="str">
        <f t="shared" si="6"/>
        <v>Tuesday</v>
      </c>
      <c r="I242">
        <v>22</v>
      </c>
      <c r="J242" t="s">
        <v>15</v>
      </c>
      <c r="K242">
        <v>0</v>
      </c>
      <c r="L242">
        <v>0</v>
      </c>
      <c r="M242">
        <v>0</v>
      </c>
      <c r="N242">
        <v>0</v>
      </c>
      <c r="O242">
        <v>0</v>
      </c>
      <c r="P242" t="str">
        <f t="shared" si="7"/>
        <v>Non Chronic</v>
      </c>
      <c r="Q242">
        <v>0</v>
      </c>
      <c r="R242">
        <v>1</v>
      </c>
      <c r="S242" t="s">
        <v>22</v>
      </c>
    </row>
    <row r="243" spans="1:19" x14ac:dyDescent="0.3">
      <c r="A243">
        <v>500242</v>
      </c>
      <c r="B243">
        <v>61068</v>
      </c>
      <c r="C243" t="s">
        <v>8</v>
      </c>
      <c r="D243" t="s">
        <v>19</v>
      </c>
      <c r="E243" s="1">
        <v>46066</v>
      </c>
      <c r="F243" t="s">
        <v>861</v>
      </c>
      <c r="G243" s="1">
        <v>46068</v>
      </c>
      <c r="H243" s="1" t="str">
        <f t="shared" si="6"/>
        <v>Sunday</v>
      </c>
      <c r="I243">
        <v>35</v>
      </c>
      <c r="J243" t="s">
        <v>15</v>
      </c>
      <c r="K243">
        <v>0</v>
      </c>
      <c r="L243">
        <v>0</v>
      </c>
      <c r="M243">
        <v>0</v>
      </c>
      <c r="N243">
        <v>1</v>
      </c>
      <c r="O243">
        <v>0</v>
      </c>
      <c r="P243" t="str">
        <f t="shared" si="7"/>
        <v>Non Chronic</v>
      </c>
      <c r="Q243">
        <v>1</v>
      </c>
      <c r="R243">
        <v>0</v>
      </c>
      <c r="S243" t="s">
        <v>22</v>
      </c>
    </row>
    <row r="244" spans="1:19" x14ac:dyDescent="0.3">
      <c r="A244">
        <v>500243</v>
      </c>
      <c r="B244">
        <v>27367</v>
      </c>
      <c r="C244" t="s">
        <v>4</v>
      </c>
      <c r="D244" t="s">
        <v>28</v>
      </c>
      <c r="E244" s="1">
        <v>46043</v>
      </c>
      <c r="F244" t="s">
        <v>209</v>
      </c>
      <c r="G244" s="1">
        <v>46044</v>
      </c>
      <c r="H244" s="1" t="str">
        <f t="shared" si="6"/>
        <v>Thursday</v>
      </c>
      <c r="I244">
        <v>48</v>
      </c>
      <c r="J244" t="s">
        <v>23</v>
      </c>
      <c r="K244">
        <v>1</v>
      </c>
      <c r="L244">
        <v>0</v>
      </c>
      <c r="M244">
        <v>0</v>
      </c>
      <c r="N244">
        <v>0</v>
      </c>
      <c r="O244">
        <v>0</v>
      </c>
      <c r="P244" t="str">
        <f t="shared" si="7"/>
        <v>Non Chronic</v>
      </c>
      <c r="Q244">
        <v>1</v>
      </c>
      <c r="R244">
        <v>0</v>
      </c>
      <c r="S244" t="s">
        <v>0</v>
      </c>
    </row>
    <row r="245" spans="1:19" x14ac:dyDescent="0.3">
      <c r="A245">
        <v>500244</v>
      </c>
      <c r="B245">
        <v>52523</v>
      </c>
      <c r="C245" t="s">
        <v>8</v>
      </c>
      <c r="D245" t="s">
        <v>36</v>
      </c>
      <c r="E245" s="1">
        <v>46099</v>
      </c>
      <c r="F245" t="s">
        <v>309</v>
      </c>
      <c r="G245" s="1">
        <v>46119</v>
      </c>
      <c r="H245" s="1" t="str">
        <f t="shared" si="6"/>
        <v>Tuesday</v>
      </c>
      <c r="I245">
        <v>55</v>
      </c>
      <c r="J245" t="s">
        <v>5</v>
      </c>
      <c r="K245">
        <v>1</v>
      </c>
      <c r="L245">
        <v>0</v>
      </c>
      <c r="M245">
        <v>1</v>
      </c>
      <c r="N245">
        <v>0</v>
      </c>
      <c r="O245">
        <v>0</v>
      </c>
      <c r="P245" t="str">
        <f t="shared" si="7"/>
        <v>Chronic</v>
      </c>
      <c r="Q245">
        <v>0</v>
      </c>
      <c r="R245">
        <v>0</v>
      </c>
      <c r="S245" t="s">
        <v>0</v>
      </c>
    </row>
    <row r="246" spans="1:19" x14ac:dyDescent="0.3">
      <c r="A246">
        <v>500245</v>
      </c>
      <c r="B246">
        <v>32227</v>
      </c>
      <c r="C246" t="s">
        <v>8</v>
      </c>
      <c r="D246" t="s">
        <v>28</v>
      </c>
      <c r="E246" s="1">
        <v>46045</v>
      </c>
      <c r="F246" t="s">
        <v>860</v>
      </c>
      <c r="G246" s="1">
        <v>46047</v>
      </c>
      <c r="H246" s="1" t="str">
        <f t="shared" si="6"/>
        <v>Sunday</v>
      </c>
      <c r="I246">
        <v>13</v>
      </c>
      <c r="J246" t="s">
        <v>31</v>
      </c>
      <c r="K246">
        <v>0</v>
      </c>
      <c r="L246">
        <v>0</v>
      </c>
      <c r="M246">
        <v>0</v>
      </c>
      <c r="N246">
        <v>0</v>
      </c>
      <c r="O246">
        <v>0</v>
      </c>
      <c r="P246" t="str">
        <f t="shared" si="7"/>
        <v>Non Chronic</v>
      </c>
      <c r="Q246">
        <v>1</v>
      </c>
      <c r="R246">
        <v>1</v>
      </c>
      <c r="S246" t="s">
        <v>30</v>
      </c>
    </row>
    <row r="247" spans="1:19" x14ac:dyDescent="0.3">
      <c r="A247">
        <v>500246</v>
      </c>
      <c r="B247">
        <v>31916</v>
      </c>
      <c r="C247" t="s">
        <v>8</v>
      </c>
      <c r="D247" t="s">
        <v>25</v>
      </c>
      <c r="E247" s="1">
        <v>46119</v>
      </c>
      <c r="F247" t="s">
        <v>859</v>
      </c>
      <c r="G247" s="1">
        <v>46119</v>
      </c>
      <c r="H247" s="1" t="str">
        <f t="shared" si="6"/>
        <v>Tuesday</v>
      </c>
      <c r="I247">
        <v>31</v>
      </c>
      <c r="J247" t="s">
        <v>23</v>
      </c>
      <c r="K247">
        <v>1</v>
      </c>
      <c r="L247">
        <v>0</v>
      </c>
      <c r="M247">
        <v>0</v>
      </c>
      <c r="N247">
        <v>0</v>
      </c>
      <c r="O247">
        <v>0</v>
      </c>
      <c r="P247" t="str">
        <f t="shared" si="7"/>
        <v>Non Chronic</v>
      </c>
      <c r="Q247">
        <v>1</v>
      </c>
      <c r="R247">
        <v>0</v>
      </c>
      <c r="S247" t="s">
        <v>22</v>
      </c>
    </row>
    <row r="248" spans="1:19" x14ac:dyDescent="0.3">
      <c r="A248">
        <v>500247</v>
      </c>
      <c r="B248">
        <v>91924</v>
      </c>
      <c r="C248" t="s">
        <v>8</v>
      </c>
      <c r="D248" t="s">
        <v>14</v>
      </c>
      <c r="E248" s="1">
        <v>46043</v>
      </c>
      <c r="F248" t="s">
        <v>809</v>
      </c>
      <c r="G248" s="1">
        <v>46043</v>
      </c>
      <c r="H248" s="1" t="str">
        <f t="shared" si="6"/>
        <v>Wednesday</v>
      </c>
      <c r="I248">
        <v>28</v>
      </c>
      <c r="J248" t="s">
        <v>10</v>
      </c>
      <c r="K248">
        <v>0</v>
      </c>
      <c r="L248">
        <v>0</v>
      </c>
      <c r="M248">
        <v>0</v>
      </c>
      <c r="N248">
        <v>0</v>
      </c>
      <c r="O248">
        <v>0</v>
      </c>
      <c r="P248" t="str">
        <f t="shared" si="7"/>
        <v>Non Chronic</v>
      </c>
      <c r="Q248">
        <v>1</v>
      </c>
      <c r="R248">
        <v>0</v>
      </c>
      <c r="S248" t="s">
        <v>22</v>
      </c>
    </row>
    <row r="249" spans="1:19" x14ac:dyDescent="0.3">
      <c r="A249">
        <v>500248</v>
      </c>
      <c r="B249">
        <v>59792</v>
      </c>
      <c r="C249" t="s">
        <v>8</v>
      </c>
      <c r="D249" t="s">
        <v>7</v>
      </c>
      <c r="E249" s="1">
        <v>46134</v>
      </c>
      <c r="F249" t="s">
        <v>458</v>
      </c>
      <c r="G249" s="1">
        <v>46149</v>
      </c>
      <c r="H249" s="1" t="str">
        <f t="shared" si="6"/>
        <v>Thursday</v>
      </c>
      <c r="I249">
        <v>24</v>
      </c>
      <c r="J249" t="s">
        <v>20</v>
      </c>
      <c r="K249">
        <v>1</v>
      </c>
      <c r="L249">
        <v>0</v>
      </c>
      <c r="M249">
        <v>0</v>
      </c>
      <c r="N249">
        <v>0</v>
      </c>
      <c r="O249">
        <v>0</v>
      </c>
      <c r="P249" t="str">
        <f t="shared" si="7"/>
        <v>Non Chronic</v>
      </c>
      <c r="Q249">
        <v>0</v>
      </c>
      <c r="R249">
        <v>1</v>
      </c>
      <c r="S249" t="s">
        <v>22</v>
      </c>
    </row>
    <row r="250" spans="1:19" x14ac:dyDescent="0.3">
      <c r="A250">
        <v>500249</v>
      </c>
      <c r="B250">
        <v>52030</v>
      </c>
      <c r="C250" t="s">
        <v>4</v>
      </c>
      <c r="D250" t="s">
        <v>7</v>
      </c>
      <c r="E250" s="1">
        <v>46013</v>
      </c>
      <c r="F250" t="s">
        <v>858</v>
      </c>
      <c r="G250" s="1">
        <v>46018</v>
      </c>
      <c r="H250" s="1" t="str">
        <f t="shared" si="6"/>
        <v>Saturday</v>
      </c>
      <c r="I250">
        <v>73</v>
      </c>
      <c r="J250" t="s">
        <v>20</v>
      </c>
      <c r="K250">
        <v>0</v>
      </c>
      <c r="L250">
        <v>0</v>
      </c>
      <c r="M250">
        <v>0</v>
      </c>
      <c r="N250">
        <v>0</v>
      </c>
      <c r="O250">
        <v>0</v>
      </c>
      <c r="P250" t="str">
        <f t="shared" si="7"/>
        <v>Non Chronic</v>
      </c>
      <c r="Q250">
        <v>1</v>
      </c>
      <c r="R250">
        <v>0</v>
      </c>
      <c r="S250" t="s">
        <v>9</v>
      </c>
    </row>
    <row r="251" spans="1:19" x14ac:dyDescent="0.3">
      <c r="A251">
        <v>500250</v>
      </c>
      <c r="B251">
        <v>59290</v>
      </c>
      <c r="C251" t="s">
        <v>8</v>
      </c>
      <c r="D251" t="s">
        <v>3</v>
      </c>
      <c r="E251" s="1">
        <v>46137</v>
      </c>
      <c r="F251" t="s">
        <v>857</v>
      </c>
      <c r="G251" s="1">
        <v>46138</v>
      </c>
      <c r="H251" s="1" t="str">
        <f t="shared" si="6"/>
        <v>Sunday</v>
      </c>
      <c r="I251">
        <v>46</v>
      </c>
      <c r="J251" t="s">
        <v>20</v>
      </c>
      <c r="K251">
        <v>0</v>
      </c>
      <c r="L251">
        <v>0</v>
      </c>
      <c r="M251">
        <v>1</v>
      </c>
      <c r="N251">
        <v>0</v>
      </c>
      <c r="O251">
        <v>0</v>
      </c>
      <c r="P251" t="str">
        <f t="shared" si="7"/>
        <v>Chronic</v>
      </c>
      <c r="Q251">
        <v>0</v>
      </c>
      <c r="R251">
        <v>1</v>
      </c>
      <c r="S251" t="s">
        <v>0</v>
      </c>
    </row>
    <row r="252" spans="1:19" x14ac:dyDescent="0.3">
      <c r="A252">
        <v>500251</v>
      </c>
      <c r="B252">
        <v>70505</v>
      </c>
      <c r="C252" t="s">
        <v>4</v>
      </c>
      <c r="D252" t="s">
        <v>7</v>
      </c>
      <c r="E252" s="1">
        <v>46158</v>
      </c>
      <c r="F252" t="s">
        <v>465</v>
      </c>
      <c r="G252" s="1">
        <v>46173</v>
      </c>
      <c r="H252" s="1" t="str">
        <f t="shared" si="6"/>
        <v>Sunday</v>
      </c>
      <c r="I252">
        <v>12</v>
      </c>
      <c r="J252" t="s">
        <v>5</v>
      </c>
      <c r="K252">
        <v>0</v>
      </c>
      <c r="L252">
        <v>0</v>
      </c>
      <c r="M252">
        <v>0</v>
      </c>
      <c r="N252">
        <v>0</v>
      </c>
      <c r="O252">
        <v>0</v>
      </c>
      <c r="P252" t="str">
        <f t="shared" si="7"/>
        <v>Non Chronic</v>
      </c>
      <c r="Q252">
        <v>1</v>
      </c>
      <c r="R252">
        <v>0</v>
      </c>
      <c r="S252" t="s">
        <v>30</v>
      </c>
    </row>
    <row r="253" spans="1:19" x14ac:dyDescent="0.3">
      <c r="A253">
        <v>500252</v>
      </c>
      <c r="B253">
        <v>63627</v>
      </c>
      <c r="C253" t="s">
        <v>8</v>
      </c>
      <c r="D253" t="s">
        <v>28</v>
      </c>
      <c r="E253" s="1">
        <v>46084</v>
      </c>
      <c r="F253" t="s">
        <v>856</v>
      </c>
      <c r="G253" s="1">
        <v>46089</v>
      </c>
      <c r="H253" s="1" t="str">
        <f t="shared" si="6"/>
        <v>Sunday</v>
      </c>
      <c r="I253">
        <v>56</v>
      </c>
      <c r="J253" t="s">
        <v>5</v>
      </c>
      <c r="K253">
        <v>0</v>
      </c>
      <c r="L253">
        <v>1</v>
      </c>
      <c r="M253">
        <v>1</v>
      </c>
      <c r="N253">
        <v>0</v>
      </c>
      <c r="O253">
        <v>0</v>
      </c>
      <c r="P253" t="str">
        <f t="shared" si="7"/>
        <v>Chronic</v>
      </c>
      <c r="Q253">
        <v>1</v>
      </c>
      <c r="R253">
        <v>0</v>
      </c>
      <c r="S253" t="s">
        <v>0</v>
      </c>
    </row>
    <row r="254" spans="1:19" x14ac:dyDescent="0.3">
      <c r="A254">
        <v>500253</v>
      </c>
      <c r="B254">
        <v>80040</v>
      </c>
      <c r="C254" t="s">
        <v>8</v>
      </c>
      <c r="D254" t="s">
        <v>36</v>
      </c>
      <c r="E254" s="1">
        <v>46092</v>
      </c>
      <c r="F254" t="s">
        <v>114</v>
      </c>
      <c r="G254" s="1">
        <v>46099</v>
      </c>
      <c r="H254" s="1" t="str">
        <f t="shared" si="6"/>
        <v>Wednesday</v>
      </c>
      <c r="I254">
        <v>80</v>
      </c>
      <c r="J254" t="s">
        <v>20</v>
      </c>
      <c r="K254">
        <v>0</v>
      </c>
      <c r="L254">
        <v>1</v>
      </c>
      <c r="M254">
        <v>0</v>
      </c>
      <c r="N254">
        <v>0</v>
      </c>
      <c r="O254">
        <v>0</v>
      </c>
      <c r="P254" t="str">
        <f t="shared" si="7"/>
        <v>Chronic</v>
      </c>
      <c r="Q254">
        <v>1</v>
      </c>
      <c r="R254">
        <v>0</v>
      </c>
      <c r="S254" t="s">
        <v>9</v>
      </c>
    </row>
    <row r="255" spans="1:19" x14ac:dyDescent="0.3">
      <c r="A255">
        <v>500254</v>
      </c>
      <c r="B255">
        <v>94769</v>
      </c>
      <c r="C255" t="s">
        <v>8</v>
      </c>
      <c r="D255" t="s">
        <v>19</v>
      </c>
      <c r="E255" s="1">
        <v>46022</v>
      </c>
      <c r="F255" t="s">
        <v>591</v>
      </c>
      <c r="G255" s="1">
        <v>46029</v>
      </c>
      <c r="H255" s="1" t="str">
        <f t="shared" si="6"/>
        <v>Wednesday</v>
      </c>
      <c r="I255">
        <v>58</v>
      </c>
      <c r="J255" t="s">
        <v>23</v>
      </c>
      <c r="K255">
        <v>0</v>
      </c>
      <c r="L255">
        <v>1</v>
      </c>
      <c r="M255">
        <v>0</v>
      </c>
      <c r="N255">
        <v>0</v>
      </c>
      <c r="O255">
        <v>0</v>
      </c>
      <c r="P255" t="str">
        <f t="shared" si="7"/>
        <v>Chronic</v>
      </c>
      <c r="Q255">
        <v>1</v>
      </c>
      <c r="R255">
        <v>0</v>
      </c>
      <c r="S255" t="s">
        <v>0</v>
      </c>
    </row>
    <row r="256" spans="1:19" x14ac:dyDescent="0.3">
      <c r="A256">
        <v>500255</v>
      </c>
      <c r="B256">
        <v>61266</v>
      </c>
      <c r="C256" t="s">
        <v>8</v>
      </c>
      <c r="D256" t="s">
        <v>28</v>
      </c>
      <c r="E256" s="1">
        <v>46139</v>
      </c>
      <c r="F256" t="s">
        <v>855</v>
      </c>
      <c r="G256" s="1">
        <v>46169</v>
      </c>
      <c r="H256" s="1" t="str">
        <f t="shared" si="6"/>
        <v>Wednesday</v>
      </c>
      <c r="I256">
        <v>7</v>
      </c>
      <c r="J256" t="s">
        <v>20</v>
      </c>
      <c r="K256">
        <v>0</v>
      </c>
      <c r="L256">
        <v>0</v>
      </c>
      <c r="M256">
        <v>0</v>
      </c>
      <c r="N256">
        <v>0</v>
      </c>
      <c r="O256">
        <v>0</v>
      </c>
      <c r="P256" t="str">
        <f t="shared" si="7"/>
        <v>Non Chronic</v>
      </c>
      <c r="Q256">
        <v>1</v>
      </c>
      <c r="R256">
        <v>1</v>
      </c>
      <c r="S256" t="s">
        <v>30</v>
      </c>
    </row>
    <row r="257" spans="1:19" x14ac:dyDescent="0.3">
      <c r="A257">
        <v>500256</v>
      </c>
      <c r="B257">
        <v>21253</v>
      </c>
      <c r="C257" t="s">
        <v>4</v>
      </c>
      <c r="D257" t="s">
        <v>28</v>
      </c>
      <c r="E257" s="1">
        <v>46150</v>
      </c>
      <c r="F257" t="s">
        <v>446</v>
      </c>
      <c r="G257" s="1">
        <v>46165</v>
      </c>
      <c r="H257" s="1" t="str">
        <f t="shared" si="6"/>
        <v>Saturday</v>
      </c>
      <c r="I257">
        <v>28</v>
      </c>
      <c r="J257" t="s">
        <v>20</v>
      </c>
      <c r="K257">
        <v>1</v>
      </c>
      <c r="L257">
        <v>0</v>
      </c>
      <c r="M257">
        <v>0</v>
      </c>
      <c r="N257">
        <v>0</v>
      </c>
      <c r="O257">
        <v>0</v>
      </c>
      <c r="P257" t="str">
        <f t="shared" si="7"/>
        <v>Non Chronic</v>
      </c>
      <c r="Q257">
        <v>1</v>
      </c>
      <c r="R257">
        <v>1</v>
      </c>
      <c r="S257" t="s">
        <v>22</v>
      </c>
    </row>
    <row r="258" spans="1:19" x14ac:dyDescent="0.3">
      <c r="A258">
        <v>500257</v>
      </c>
      <c r="B258">
        <v>22795</v>
      </c>
      <c r="C258" t="s">
        <v>8</v>
      </c>
      <c r="D258" t="s">
        <v>7</v>
      </c>
      <c r="E258" s="1">
        <v>46097</v>
      </c>
      <c r="F258" t="s">
        <v>613</v>
      </c>
      <c r="G258" s="1">
        <v>46104</v>
      </c>
      <c r="H258" s="1" t="str">
        <f t="shared" si="6"/>
        <v>Monday</v>
      </c>
      <c r="I258">
        <v>63</v>
      </c>
      <c r="J258" t="s">
        <v>20</v>
      </c>
      <c r="K258">
        <v>0</v>
      </c>
      <c r="L258">
        <v>1</v>
      </c>
      <c r="M258">
        <v>0</v>
      </c>
      <c r="N258">
        <v>0</v>
      </c>
      <c r="O258">
        <v>0</v>
      </c>
      <c r="P258" t="str">
        <f t="shared" si="7"/>
        <v>Chronic</v>
      </c>
      <c r="Q258">
        <v>1</v>
      </c>
      <c r="R258">
        <v>0</v>
      </c>
      <c r="S258" t="s">
        <v>9</v>
      </c>
    </row>
    <row r="259" spans="1:19" x14ac:dyDescent="0.3">
      <c r="A259">
        <v>500258</v>
      </c>
      <c r="B259">
        <v>41970</v>
      </c>
      <c r="C259" t="s">
        <v>4</v>
      </c>
      <c r="D259" t="s">
        <v>28</v>
      </c>
      <c r="E259" s="1">
        <v>46074</v>
      </c>
      <c r="F259" t="s">
        <v>854</v>
      </c>
      <c r="G259" s="1">
        <v>46076</v>
      </c>
      <c r="H259" s="1" t="str">
        <f t="shared" ref="H259:H322" si="8">TEXT(G259,"dddd")</f>
        <v>Monday</v>
      </c>
      <c r="I259">
        <v>23</v>
      </c>
      <c r="J259" t="s">
        <v>20</v>
      </c>
      <c r="K259">
        <v>1</v>
      </c>
      <c r="L259">
        <v>0</v>
      </c>
      <c r="M259">
        <v>0</v>
      </c>
      <c r="N259">
        <v>0</v>
      </c>
      <c r="O259">
        <v>0</v>
      </c>
      <c r="P259" t="str">
        <f t="shared" ref="P259:P322" si="9">IF(OR(L259=1,M259=1),"Chronic","Non Chronic")</f>
        <v>Non Chronic</v>
      </c>
      <c r="Q259">
        <v>1</v>
      </c>
      <c r="R259">
        <v>1</v>
      </c>
      <c r="S259" t="s">
        <v>22</v>
      </c>
    </row>
    <row r="260" spans="1:19" x14ac:dyDescent="0.3">
      <c r="A260">
        <v>500259</v>
      </c>
      <c r="B260">
        <v>93948</v>
      </c>
      <c r="C260" t="s">
        <v>8</v>
      </c>
      <c r="D260" t="s">
        <v>3</v>
      </c>
      <c r="E260" s="1">
        <v>46132</v>
      </c>
      <c r="F260" t="s">
        <v>853</v>
      </c>
      <c r="G260" s="1">
        <v>46134</v>
      </c>
      <c r="H260" s="1" t="str">
        <f t="shared" si="8"/>
        <v>Wednesday</v>
      </c>
      <c r="I260">
        <v>46</v>
      </c>
      <c r="J260" t="s">
        <v>17</v>
      </c>
      <c r="K260">
        <v>0</v>
      </c>
      <c r="L260">
        <v>0</v>
      </c>
      <c r="M260">
        <v>0</v>
      </c>
      <c r="N260">
        <v>1</v>
      </c>
      <c r="O260">
        <v>0</v>
      </c>
      <c r="P260" t="str">
        <f t="shared" si="9"/>
        <v>Non Chronic</v>
      </c>
      <c r="Q260">
        <v>1</v>
      </c>
      <c r="R260">
        <v>0</v>
      </c>
      <c r="S260" t="s">
        <v>0</v>
      </c>
    </row>
    <row r="261" spans="1:19" x14ac:dyDescent="0.3">
      <c r="A261">
        <v>500260</v>
      </c>
      <c r="B261">
        <v>18200</v>
      </c>
      <c r="C261" t="s">
        <v>4</v>
      </c>
      <c r="D261" t="s">
        <v>28</v>
      </c>
      <c r="E261" s="1">
        <v>46123</v>
      </c>
      <c r="F261" t="s">
        <v>246</v>
      </c>
      <c r="G261" s="1">
        <v>46128</v>
      </c>
      <c r="H261" s="1" t="str">
        <f t="shared" si="8"/>
        <v>Thursday</v>
      </c>
      <c r="I261">
        <v>53</v>
      </c>
      <c r="J261" t="s">
        <v>20</v>
      </c>
      <c r="K261">
        <v>1</v>
      </c>
      <c r="L261">
        <v>1</v>
      </c>
      <c r="M261">
        <v>1</v>
      </c>
      <c r="N261">
        <v>0</v>
      </c>
      <c r="O261">
        <v>0</v>
      </c>
      <c r="P261" t="str">
        <f t="shared" si="9"/>
        <v>Chronic</v>
      </c>
      <c r="Q261">
        <v>0</v>
      </c>
      <c r="R261">
        <v>1</v>
      </c>
      <c r="S261" t="s">
        <v>0</v>
      </c>
    </row>
    <row r="262" spans="1:19" x14ac:dyDescent="0.3">
      <c r="A262">
        <v>500261</v>
      </c>
      <c r="B262">
        <v>60939</v>
      </c>
      <c r="C262" t="s">
        <v>8</v>
      </c>
      <c r="D262" t="s">
        <v>58</v>
      </c>
      <c r="E262" s="1">
        <v>46069</v>
      </c>
      <c r="F262" t="s">
        <v>852</v>
      </c>
      <c r="G262" s="1">
        <v>46084</v>
      </c>
      <c r="H262" s="1" t="str">
        <f t="shared" si="8"/>
        <v>Tuesday</v>
      </c>
      <c r="I262">
        <v>19</v>
      </c>
      <c r="J262" t="s">
        <v>20</v>
      </c>
      <c r="K262">
        <v>1</v>
      </c>
      <c r="L262">
        <v>0</v>
      </c>
      <c r="M262">
        <v>0</v>
      </c>
      <c r="N262">
        <v>0</v>
      </c>
      <c r="O262">
        <v>0</v>
      </c>
      <c r="P262" t="str">
        <f t="shared" si="9"/>
        <v>Non Chronic</v>
      </c>
      <c r="Q262">
        <v>1</v>
      </c>
      <c r="R262">
        <v>0</v>
      </c>
      <c r="S262" t="s">
        <v>22</v>
      </c>
    </row>
    <row r="263" spans="1:19" x14ac:dyDescent="0.3">
      <c r="A263">
        <v>500262</v>
      </c>
      <c r="B263">
        <v>48986</v>
      </c>
      <c r="C263" t="s">
        <v>4</v>
      </c>
      <c r="D263" t="s">
        <v>28</v>
      </c>
      <c r="E263" s="1">
        <v>46039</v>
      </c>
      <c r="F263" t="s">
        <v>565</v>
      </c>
      <c r="G263" s="1">
        <v>46040</v>
      </c>
      <c r="H263" s="1" t="str">
        <f t="shared" si="8"/>
        <v>Sunday</v>
      </c>
      <c r="I263">
        <v>36</v>
      </c>
      <c r="J263" t="s">
        <v>20</v>
      </c>
      <c r="K263">
        <v>0</v>
      </c>
      <c r="L263">
        <v>0</v>
      </c>
      <c r="M263">
        <v>0</v>
      </c>
      <c r="N263">
        <v>0</v>
      </c>
      <c r="O263">
        <v>0</v>
      </c>
      <c r="P263" t="str">
        <f t="shared" si="9"/>
        <v>Non Chronic</v>
      </c>
      <c r="Q263">
        <v>1</v>
      </c>
      <c r="R263">
        <v>1</v>
      </c>
      <c r="S263" t="s">
        <v>22</v>
      </c>
    </row>
    <row r="264" spans="1:19" x14ac:dyDescent="0.3">
      <c r="A264">
        <v>500263</v>
      </c>
      <c r="B264">
        <v>60916</v>
      </c>
      <c r="C264" t="s">
        <v>8</v>
      </c>
      <c r="D264" t="s">
        <v>28</v>
      </c>
      <c r="E264" s="1">
        <v>45990</v>
      </c>
      <c r="F264" t="s">
        <v>851</v>
      </c>
      <c r="G264" s="1">
        <v>45993</v>
      </c>
      <c r="H264" s="1" t="str">
        <f t="shared" si="8"/>
        <v>Tuesday</v>
      </c>
      <c r="I264">
        <v>0</v>
      </c>
      <c r="J264" t="s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 t="str">
        <f t="shared" si="9"/>
        <v>Non Chronic</v>
      </c>
      <c r="Q264">
        <v>1</v>
      </c>
      <c r="R264">
        <v>0</v>
      </c>
      <c r="S264" t="s">
        <v>30</v>
      </c>
    </row>
    <row r="265" spans="1:19" x14ac:dyDescent="0.3">
      <c r="A265">
        <v>500264</v>
      </c>
      <c r="B265">
        <v>94575</v>
      </c>
      <c r="C265" t="s">
        <v>4</v>
      </c>
      <c r="D265" t="s">
        <v>28</v>
      </c>
      <c r="E265" s="1">
        <v>46051</v>
      </c>
      <c r="F265" t="s">
        <v>850</v>
      </c>
      <c r="G265" s="1">
        <v>46053</v>
      </c>
      <c r="H265" s="1" t="str">
        <f t="shared" si="8"/>
        <v>Saturday</v>
      </c>
      <c r="I265">
        <v>17</v>
      </c>
      <c r="J265" t="s">
        <v>10</v>
      </c>
      <c r="K265">
        <v>0</v>
      </c>
      <c r="L265">
        <v>0</v>
      </c>
      <c r="M265">
        <v>0</v>
      </c>
      <c r="N265">
        <v>0</v>
      </c>
      <c r="O265">
        <v>0</v>
      </c>
      <c r="P265" t="str">
        <f t="shared" si="9"/>
        <v>Non Chronic</v>
      </c>
      <c r="Q265">
        <v>1</v>
      </c>
      <c r="R265">
        <v>0</v>
      </c>
      <c r="S265" t="s">
        <v>30</v>
      </c>
    </row>
    <row r="266" spans="1:19" x14ac:dyDescent="0.3">
      <c r="A266">
        <v>500265</v>
      </c>
      <c r="B266">
        <v>91187</v>
      </c>
      <c r="C266" t="s">
        <v>4</v>
      </c>
      <c r="D266" t="s">
        <v>19</v>
      </c>
      <c r="E266" s="1">
        <v>46009</v>
      </c>
      <c r="F266" t="s">
        <v>849</v>
      </c>
      <c r="G266" s="1">
        <v>46024</v>
      </c>
      <c r="H266" s="1" t="str">
        <f t="shared" si="8"/>
        <v>Friday</v>
      </c>
      <c r="I266">
        <v>32</v>
      </c>
      <c r="J266" t="s">
        <v>17</v>
      </c>
      <c r="K266">
        <v>1</v>
      </c>
      <c r="L266">
        <v>0</v>
      </c>
      <c r="M266">
        <v>0</v>
      </c>
      <c r="N266">
        <v>0</v>
      </c>
      <c r="O266">
        <v>0</v>
      </c>
      <c r="P266" t="str">
        <f t="shared" si="9"/>
        <v>Non Chronic</v>
      </c>
      <c r="Q266">
        <v>0</v>
      </c>
      <c r="R266">
        <v>0</v>
      </c>
      <c r="S266" t="s">
        <v>22</v>
      </c>
    </row>
    <row r="267" spans="1:19" x14ac:dyDescent="0.3">
      <c r="A267">
        <v>500266</v>
      </c>
      <c r="B267">
        <v>74876</v>
      </c>
      <c r="C267" t="s">
        <v>8</v>
      </c>
      <c r="D267" t="s">
        <v>7</v>
      </c>
      <c r="E267" s="1">
        <v>46060</v>
      </c>
      <c r="F267" t="s">
        <v>848</v>
      </c>
      <c r="G267" s="1">
        <v>46070</v>
      </c>
      <c r="H267" s="1" t="str">
        <f t="shared" si="8"/>
        <v>Tuesday</v>
      </c>
      <c r="I267">
        <v>13</v>
      </c>
      <c r="J267" t="s">
        <v>23</v>
      </c>
      <c r="K267">
        <v>0</v>
      </c>
      <c r="L267">
        <v>0</v>
      </c>
      <c r="M267">
        <v>0</v>
      </c>
      <c r="N267">
        <v>0</v>
      </c>
      <c r="O267">
        <v>0</v>
      </c>
      <c r="P267" t="str">
        <f t="shared" si="9"/>
        <v>Non Chronic</v>
      </c>
      <c r="Q267">
        <v>1</v>
      </c>
      <c r="R267">
        <v>1</v>
      </c>
      <c r="S267" t="s">
        <v>30</v>
      </c>
    </row>
    <row r="268" spans="1:19" x14ac:dyDescent="0.3">
      <c r="A268">
        <v>500267</v>
      </c>
      <c r="B268">
        <v>84107</v>
      </c>
      <c r="C268" t="s">
        <v>4</v>
      </c>
      <c r="D268" t="s">
        <v>14</v>
      </c>
      <c r="E268" s="1">
        <v>46162</v>
      </c>
      <c r="F268" t="s">
        <v>594</v>
      </c>
      <c r="G268" s="1">
        <v>46172</v>
      </c>
      <c r="H268" s="1" t="str">
        <f t="shared" si="8"/>
        <v>Saturday</v>
      </c>
      <c r="I268">
        <v>70</v>
      </c>
      <c r="J268" t="s">
        <v>5</v>
      </c>
      <c r="K268">
        <v>0</v>
      </c>
      <c r="L268">
        <v>1</v>
      </c>
      <c r="M268">
        <v>0</v>
      </c>
      <c r="N268">
        <v>0</v>
      </c>
      <c r="O268">
        <v>0</v>
      </c>
      <c r="P268" t="str">
        <f t="shared" si="9"/>
        <v>Chronic</v>
      </c>
      <c r="Q268">
        <v>0</v>
      </c>
      <c r="R268">
        <v>0</v>
      </c>
      <c r="S268" t="s">
        <v>9</v>
      </c>
    </row>
    <row r="269" spans="1:19" x14ac:dyDescent="0.3">
      <c r="A269">
        <v>500268</v>
      </c>
      <c r="B269">
        <v>24838</v>
      </c>
      <c r="C269" t="s">
        <v>4</v>
      </c>
      <c r="D269" t="s">
        <v>25</v>
      </c>
      <c r="E269" s="1">
        <v>46143</v>
      </c>
      <c r="F269" t="s">
        <v>451</v>
      </c>
      <c r="G269" s="1">
        <v>46158</v>
      </c>
      <c r="H269" s="1" t="str">
        <f t="shared" si="8"/>
        <v>Saturday</v>
      </c>
      <c r="I269">
        <v>9</v>
      </c>
      <c r="J269" t="s">
        <v>12</v>
      </c>
      <c r="K269">
        <v>0</v>
      </c>
      <c r="L269">
        <v>0</v>
      </c>
      <c r="M269">
        <v>0</v>
      </c>
      <c r="N269">
        <v>0</v>
      </c>
      <c r="O269">
        <v>0</v>
      </c>
      <c r="P269" t="str">
        <f t="shared" si="9"/>
        <v>Non Chronic</v>
      </c>
      <c r="Q269">
        <v>1</v>
      </c>
      <c r="R269">
        <v>0</v>
      </c>
      <c r="S269" t="s">
        <v>30</v>
      </c>
    </row>
    <row r="270" spans="1:19" x14ac:dyDescent="0.3">
      <c r="A270">
        <v>500269</v>
      </c>
      <c r="B270">
        <v>15453</v>
      </c>
      <c r="C270" t="s">
        <v>8</v>
      </c>
      <c r="D270" t="s">
        <v>14</v>
      </c>
      <c r="E270" s="1">
        <v>46119</v>
      </c>
      <c r="F270" t="s">
        <v>847</v>
      </c>
      <c r="G270" s="1">
        <v>46126</v>
      </c>
      <c r="H270" s="1" t="str">
        <f t="shared" si="8"/>
        <v>Tuesday</v>
      </c>
      <c r="I270">
        <v>29</v>
      </c>
      <c r="J270" t="s">
        <v>23</v>
      </c>
      <c r="K270">
        <v>0</v>
      </c>
      <c r="L270">
        <v>0</v>
      </c>
      <c r="M270">
        <v>0</v>
      </c>
      <c r="N270">
        <v>0</v>
      </c>
      <c r="O270">
        <v>0</v>
      </c>
      <c r="P270" t="str">
        <f t="shared" si="9"/>
        <v>Non Chronic</v>
      </c>
      <c r="Q270">
        <v>1</v>
      </c>
      <c r="R270">
        <v>0</v>
      </c>
      <c r="S270" t="s">
        <v>22</v>
      </c>
    </row>
    <row r="271" spans="1:19" x14ac:dyDescent="0.3">
      <c r="A271">
        <v>500270</v>
      </c>
      <c r="B271">
        <v>14224</v>
      </c>
      <c r="C271" t="s">
        <v>8</v>
      </c>
      <c r="D271" t="s">
        <v>25</v>
      </c>
      <c r="E271" s="1">
        <v>46038</v>
      </c>
      <c r="F271" t="s">
        <v>508</v>
      </c>
      <c r="G271" s="1">
        <v>46068</v>
      </c>
      <c r="H271" s="1" t="str">
        <f t="shared" si="8"/>
        <v>Sunday</v>
      </c>
      <c r="I271">
        <v>40</v>
      </c>
      <c r="J271" t="s">
        <v>20</v>
      </c>
      <c r="K271">
        <v>0</v>
      </c>
      <c r="L271">
        <v>0</v>
      </c>
      <c r="M271">
        <v>0</v>
      </c>
      <c r="N271">
        <v>0</v>
      </c>
      <c r="O271">
        <v>0</v>
      </c>
      <c r="P271" t="str">
        <f t="shared" si="9"/>
        <v>Non Chronic</v>
      </c>
      <c r="Q271">
        <v>0</v>
      </c>
      <c r="R271">
        <v>1</v>
      </c>
      <c r="S271" t="s">
        <v>22</v>
      </c>
    </row>
    <row r="272" spans="1:19" x14ac:dyDescent="0.3">
      <c r="A272">
        <v>500271</v>
      </c>
      <c r="B272">
        <v>87060</v>
      </c>
      <c r="C272" t="s">
        <v>8</v>
      </c>
      <c r="D272" t="s">
        <v>3</v>
      </c>
      <c r="E272" s="1">
        <v>46064</v>
      </c>
      <c r="F272" t="s">
        <v>846</v>
      </c>
      <c r="G272" s="1">
        <v>46069</v>
      </c>
      <c r="H272" s="1" t="str">
        <f t="shared" si="8"/>
        <v>Monday</v>
      </c>
      <c r="I272">
        <v>66</v>
      </c>
      <c r="J272" t="s">
        <v>31</v>
      </c>
      <c r="K272">
        <v>0</v>
      </c>
      <c r="L272">
        <v>0</v>
      </c>
      <c r="M272">
        <v>0</v>
      </c>
      <c r="N272">
        <v>0</v>
      </c>
      <c r="O272">
        <v>0</v>
      </c>
      <c r="P272" t="str">
        <f t="shared" si="9"/>
        <v>Non Chronic</v>
      </c>
      <c r="Q272">
        <v>1</v>
      </c>
      <c r="R272">
        <v>0</v>
      </c>
      <c r="S272" t="s">
        <v>9</v>
      </c>
    </row>
    <row r="273" spans="1:19" x14ac:dyDescent="0.3">
      <c r="A273">
        <v>500272</v>
      </c>
      <c r="B273">
        <v>48356</v>
      </c>
      <c r="C273" t="s">
        <v>8</v>
      </c>
      <c r="D273" t="s">
        <v>25</v>
      </c>
      <c r="E273" s="1">
        <v>46021</v>
      </c>
      <c r="F273" t="s">
        <v>192</v>
      </c>
      <c r="G273" s="1">
        <v>46051</v>
      </c>
      <c r="H273" s="1" t="str">
        <f t="shared" si="8"/>
        <v>Thursday</v>
      </c>
      <c r="I273">
        <v>9</v>
      </c>
      <c r="J273" t="s">
        <v>12</v>
      </c>
      <c r="K273">
        <v>0</v>
      </c>
      <c r="L273">
        <v>0</v>
      </c>
      <c r="M273">
        <v>0</v>
      </c>
      <c r="N273">
        <v>0</v>
      </c>
      <c r="O273">
        <v>0</v>
      </c>
      <c r="P273" t="str">
        <f t="shared" si="9"/>
        <v>Non Chronic</v>
      </c>
      <c r="Q273">
        <v>1</v>
      </c>
      <c r="R273">
        <v>1</v>
      </c>
      <c r="S273" t="s">
        <v>30</v>
      </c>
    </row>
    <row r="274" spans="1:19" x14ac:dyDescent="0.3">
      <c r="A274">
        <v>500273</v>
      </c>
      <c r="B274">
        <v>63948</v>
      </c>
      <c r="C274" t="s">
        <v>4</v>
      </c>
      <c r="D274" t="s">
        <v>25</v>
      </c>
      <c r="E274" s="1">
        <v>46011</v>
      </c>
      <c r="F274" t="s">
        <v>132</v>
      </c>
      <c r="G274" s="1">
        <v>46021</v>
      </c>
      <c r="H274" s="1" t="str">
        <f t="shared" si="8"/>
        <v>Tuesday</v>
      </c>
      <c r="I274">
        <v>61</v>
      </c>
      <c r="J274" t="s">
        <v>31</v>
      </c>
      <c r="K274">
        <v>0</v>
      </c>
      <c r="L274">
        <v>1</v>
      </c>
      <c r="M274">
        <v>0</v>
      </c>
      <c r="N274">
        <v>0</v>
      </c>
      <c r="O274">
        <v>0</v>
      </c>
      <c r="P274" t="str">
        <f t="shared" si="9"/>
        <v>Chronic</v>
      </c>
      <c r="Q274">
        <v>1</v>
      </c>
      <c r="R274">
        <v>0</v>
      </c>
      <c r="S274" t="s">
        <v>9</v>
      </c>
    </row>
    <row r="275" spans="1:19" x14ac:dyDescent="0.3">
      <c r="A275">
        <v>500274</v>
      </c>
      <c r="B275">
        <v>45221</v>
      </c>
      <c r="C275" t="s">
        <v>8</v>
      </c>
      <c r="D275" t="s">
        <v>3</v>
      </c>
      <c r="E275" s="1">
        <v>46019</v>
      </c>
      <c r="F275" t="s">
        <v>26</v>
      </c>
      <c r="G275" s="1">
        <v>46039</v>
      </c>
      <c r="H275" s="1" t="str">
        <f t="shared" si="8"/>
        <v>Saturday</v>
      </c>
      <c r="I275">
        <v>38</v>
      </c>
      <c r="J275" t="s">
        <v>10</v>
      </c>
      <c r="K275">
        <v>0</v>
      </c>
      <c r="L275">
        <v>0</v>
      </c>
      <c r="M275">
        <v>0</v>
      </c>
      <c r="N275">
        <v>0</v>
      </c>
      <c r="O275">
        <v>0</v>
      </c>
      <c r="P275" t="str">
        <f t="shared" si="9"/>
        <v>Non Chronic</v>
      </c>
      <c r="Q275">
        <v>1</v>
      </c>
      <c r="R275">
        <v>0</v>
      </c>
      <c r="S275" t="s">
        <v>22</v>
      </c>
    </row>
    <row r="276" spans="1:19" x14ac:dyDescent="0.3">
      <c r="A276">
        <v>500275</v>
      </c>
      <c r="B276">
        <v>46467</v>
      </c>
      <c r="C276" t="s">
        <v>8</v>
      </c>
      <c r="D276" t="s">
        <v>7</v>
      </c>
      <c r="E276" s="1">
        <v>46055</v>
      </c>
      <c r="F276" t="s">
        <v>573</v>
      </c>
      <c r="G276" s="1">
        <v>46058</v>
      </c>
      <c r="H276" s="1" t="str">
        <f t="shared" si="8"/>
        <v>Thursday</v>
      </c>
      <c r="I276">
        <v>18</v>
      </c>
      <c r="J276" t="s">
        <v>10</v>
      </c>
      <c r="K276">
        <v>0</v>
      </c>
      <c r="L276">
        <v>0</v>
      </c>
      <c r="M276">
        <v>0</v>
      </c>
      <c r="N276">
        <v>0</v>
      </c>
      <c r="O276">
        <v>0</v>
      </c>
      <c r="P276" t="str">
        <f t="shared" si="9"/>
        <v>Non Chronic</v>
      </c>
      <c r="Q276">
        <v>1</v>
      </c>
      <c r="R276">
        <v>0</v>
      </c>
      <c r="S276" t="s">
        <v>30</v>
      </c>
    </row>
    <row r="277" spans="1:19" x14ac:dyDescent="0.3">
      <c r="A277">
        <v>500276</v>
      </c>
      <c r="B277">
        <v>22208</v>
      </c>
      <c r="C277" t="s">
        <v>8</v>
      </c>
      <c r="D277" t="s">
        <v>19</v>
      </c>
      <c r="E277" s="1">
        <v>46143</v>
      </c>
      <c r="F277" t="s">
        <v>845</v>
      </c>
      <c r="G277" s="1">
        <v>46145</v>
      </c>
      <c r="H277" s="1" t="str">
        <f t="shared" si="8"/>
        <v>Sunday</v>
      </c>
      <c r="I277">
        <v>47</v>
      </c>
      <c r="J277" t="s">
        <v>15</v>
      </c>
      <c r="K277">
        <v>1</v>
      </c>
      <c r="L277">
        <v>1</v>
      </c>
      <c r="M277">
        <v>0</v>
      </c>
      <c r="N277">
        <v>0</v>
      </c>
      <c r="O277">
        <v>0</v>
      </c>
      <c r="P277" t="str">
        <f t="shared" si="9"/>
        <v>Chronic</v>
      </c>
      <c r="Q277">
        <v>0</v>
      </c>
      <c r="R277">
        <v>0</v>
      </c>
      <c r="S277" t="s">
        <v>0</v>
      </c>
    </row>
    <row r="278" spans="1:19" x14ac:dyDescent="0.3">
      <c r="A278">
        <v>500277</v>
      </c>
      <c r="B278">
        <v>85750</v>
      </c>
      <c r="C278" t="s">
        <v>4</v>
      </c>
      <c r="D278" t="s">
        <v>7</v>
      </c>
      <c r="E278" s="1">
        <v>46136</v>
      </c>
      <c r="F278" t="s">
        <v>110</v>
      </c>
      <c r="G278" s="1">
        <v>46151</v>
      </c>
      <c r="H278" s="1" t="str">
        <f t="shared" si="8"/>
        <v>Saturday</v>
      </c>
      <c r="I278">
        <v>41</v>
      </c>
      <c r="J278" t="s">
        <v>20</v>
      </c>
      <c r="K278">
        <v>0</v>
      </c>
      <c r="L278">
        <v>0</v>
      </c>
      <c r="M278">
        <v>1</v>
      </c>
      <c r="N278">
        <v>0</v>
      </c>
      <c r="O278">
        <v>0</v>
      </c>
      <c r="P278" t="str">
        <f t="shared" si="9"/>
        <v>Chronic</v>
      </c>
      <c r="Q278">
        <v>1</v>
      </c>
      <c r="R278">
        <v>0</v>
      </c>
      <c r="S278" t="s">
        <v>0</v>
      </c>
    </row>
    <row r="279" spans="1:19" x14ac:dyDescent="0.3">
      <c r="A279">
        <v>500278</v>
      </c>
      <c r="B279">
        <v>30707</v>
      </c>
      <c r="C279" t="s">
        <v>8</v>
      </c>
      <c r="D279" t="s">
        <v>7</v>
      </c>
      <c r="E279" s="1">
        <v>46040</v>
      </c>
      <c r="F279" t="s">
        <v>844</v>
      </c>
      <c r="G279" s="1">
        <v>46050</v>
      </c>
      <c r="H279" s="1" t="str">
        <f t="shared" si="8"/>
        <v>Wednesday</v>
      </c>
      <c r="I279">
        <v>25</v>
      </c>
      <c r="J279" t="s">
        <v>17</v>
      </c>
      <c r="K279">
        <v>1</v>
      </c>
      <c r="L279">
        <v>0</v>
      </c>
      <c r="M279">
        <v>0</v>
      </c>
      <c r="N279">
        <v>0</v>
      </c>
      <c r="O279">
        <v>0</v>
      </c>
      <c r="P279" t="str">
        <f t="shared" si="9"/>
        <v>Non Chronic</v>
      </c>
      <c r="Q279">
        <v>1</v>
      </c>
      <c r="R279">
        <v>0</v>
      </c>
      <c r="S279" t="s">
        <v>22</v>
      </c>
    </row>
    <row r="280" spans="1:19" x14ac:dyDescent="0.3">
      <c r="A280">
        <v>500279</v>
      </c>
      <c r="B280">
        <v>30837</v>
      </c>
      <c r="C280" t="s">
        <v>8</v>
      </c>
      <c r="D280" t="s">
        <v>58</v>
      </c>
      <c r="E280" s="1">
        <v>46054</v>
      </c>
      <c r="F280" t="s">
        <v>166</v>
      </c>
      <c r="G280" s="1">
        <v>46064</v>
      </c>
      <c r="H280" s="1" t="str">
        <f t="shared" si="8"/>
        <v>Wednesday</v>
      </c>
      <c r="I280">
        <v>39</v>
      </c>
      <c r="J280" t="s">
        <v>20</v>
      </c>
      <c r="K280">
        <v>1</v>
      </c>
      <c r="L280">
        <v>0</v>
      </c>
      <c r="M280">
        <v>0</v>
      </c>
      <c r="N280">
        <v>0</v>
      </c>
      <c r="O280">
        <v>0</v>
      </c>
      <c r="P280" t="str">
        <f t="shared" si="9"/>
        <v>Non Chronic</v>
      </c>
      <c r="Q280">
        <v>1</v>
      </c>
      <c r="R280">
        <v>1</v>
      </c>
      <c r="S280" t="s">
        <v>22</v>
      </c>
    </row>
    <row r="281" spans="1:19" x14ac:dyDescent="0.3">
      <c r="A281">
        <v>500280</v>
      </c>
      <c r="B281">
        <v>91999</v>
      </c>
      <c r="C281" t="s">
        <v>8</v>
      </c>
      <c r="D281" t="s">
        <v>14</v>
      </c>
      <c r="E281" s="1">
        <v>46128</v>
      </c>
      <c r="F281" t="s">
        <v>650</v>
      </c>
      <c r="G281" s="1">
        <v>46128</v>
      </c>
      <c r="H281" s="1" t="str">
        <f t="shared" si="8"/>
        <v>Thursday</v>
      </c>
      <c r="I281">
        <v>30</v>
      </c>
      <c r="J281" t="s">
        <v>23</v>
      </c>
      <c r="K281">
        <v>0</v>
      </c>
      <c r="L281">
        <v>0</v>
      </c>
      <c r="M281">
        <v>0</v>
      </c>
      <c r="N281">
        <v>0</v>
      </c>
      <c r="O281">
        <v>0</v>
      </c>
      <c r="P281" t="str">
        <f t="shared" si="9"/>
        <v>Non Chronic</v>
      </c>
      <c r="Q281">
        <v>1</v>
      </c>
      <c r="R281">
        <v>0</v>
      </c>
      <c r="S281" t="s">
        <v>22</v>
      </c>
    </row>
    <row r="282" spans="1:19" x14ac:dyDescent="0.3">
      <c r="A282">
        <v>500281</v>
      </c>
      <c r="B282">
        <v>39647</v>
      </c>
      <c r="C282" t="s">
        <v>8</v>
      </c>
      <c r="D282" t="s">
        <v>36</v>
      </c>
      <c r="E282" s="1">
        <v>46004</v>
      </c>
      <c r="F282" t="s">
        <v>843</v>
      </c>
      <c r="G282" s="1">
        <v>46034</v>
      </c>
      <c r="H282" s="1" t="str">
        <f t="shared" si="8"/>
        <v>Monday</v>
      </c>
      <c r="I282">
        <v>40</v>
      </c>
      <c r="J282" t="s">
        <v>17</v>
      </c>
      <c r="K282">
        <v>1</v>
      </c>
      <c r="L282">
        <v>0</v>
      </c>
      <c r="M282">
        <v>0</v>
      </c>
      <c r="N282">
        <v>0</v>
      </c>
      <c r="O282">
        <v>0</v>
      </c>
      <c r="P282" t="str">
        <f t="shared" si="9"/>
        <v>Non Chronic</v>
      </c>
      <c r="Q282">
        <v>1</v>
      </c>
      <c r="R282">
        <v>1</v>
      </c>
      <c r="S282" t="s">
        <v>22</v>
      </c>
    </row>
    <row r="283" spans="1:19" x14ac:dyDescent="0.3">
      <c r="A283">
        <v>500282</v>
      </c>
      <c r="B283">
        <v>19283</v>
      </c>
      <c r="C283" t="s">
        <v>4</v>
      </c>
      <c r="D283" t="s">
        <v>3</v>
      </c>
      <c r="E283" s="1">
        <v>46121</v>
      </c>
      <c r="F283" t="s">
        <v>842</v>
      </c>
      <c r="G283" s="1">
        <v>46124</v>
      </c>
      <c r="H283" s="1" t="str">
        <f t="shared" si="8"/>
        <v>Sunday</v>
      </c>
      <c r="I283">
        <v>51</v>
      </c>
      <c r="J283" t="s">
        <v>15</v>
      </c>
      <c r="K283">
        <v>0</v>
      </c>
      <c r="L283">
        <v>1</v>
      </c>
      <c r="M283">
        <v>0</v>
      </c>
      <c r="N283">
        <v>0</v>
      </c>
      <c r="O283">
        <v>0</v>
      </c>
      <c r="P283" t="str">
        <f t="shared" si="9"/>
        <v>Chronic</v>
      </c>
      <c r="Q283">
        <v>0</v>
      </c>
      <c r="R283">
        <v>0</v>
      </c>
      <c r="S283" t="s">
        <v>0</v>
      </c>
    </row>
    <row r="284" spans="1:19" x14ac:dyDescent="0.3">
      <c r="A284">
        <v>500283</v>
      </c>
      <c r="B284">
        <v>94092</v>
      </c>
      <c r="C284" t="s">
        <v>4</v>
      </c>
      <c r="D284" t="s">
        <v>58</v>
      </c>
      <c r="E284" s="1">
        <v>46121</v>
      </c>
      <c r="F284" t="s">
        <v>85</v>
      </c>
      <c r="G284" s="1">
        <v>46131</v>
      </c>
      <c r="H284" s="1" t="str">
        <f t="shared" si="8"/>
        <v>Sunday</v>
      </c>
      <c r="I284">
        <v>69</v>
      </c>
      <c r="J284" t="s">
        <v>12</v>
      </c>
      <c r="K284">
        <v>0</v>
      </c>
      <c r="L284">
        <v>0</v>
      </c>
      <c r="M284">
        <v>1</v>
      </c>
      <c r="N284">
        <v>0</v>
      </c>
      <c r="O284">
        <v>0</v>
      </c>
      <c r="P284" t="str">
        <f t="shared" si="9"/>
        <v>Chronic</v>
      </c>
      <c r="Q284">
        <v>0</v>
      </c>
      <c r="R284">
        <v>0</v>
      </c>
      <c r="S284" t="s">
        <v>9</v>
      </c>
    </row>
    <row r="285" spans="1:19" x14ac:dyDescent="0.3">
      <c r="A285">
        <v>500284</v>
      </c>
      <c r="B285">
        <v>67984</v>
      </c>
      <c r="C285" t="s">
        <v>4</v>
      </c>
      <c r="D285" t="s">
        <v>58</v>
      </c>
      <c r="E285" s="1">
        <v>46078</v>
      </c>
      <c r="F285" t="s">
        <v>533</v>
      </c>
      <c r="G285" s="1">
        <v>46079</v>
      </c>
      <c r="H285" s="1" t="str">
        <f t="shared" si="8"/>
        <v>Thursday</v>
      </c>
      <c r="I285">
        <v>13</v>
      </c>
      <c r="J285" t="s">
        <v>15</v>
      </c>
      <c r="K285">
        <v>0</v>
      </c>
      <c r="L285">
        <v>0</v>
      </c>
      <c r="M285">
        <v>0</v>
      </c>
      <c r="N285">
        <v>0</v>
      </c>
      <c r="O285">
        <v>0</v>
      </c>
      <c r="P285" t="str">
        <f t="shared" si="9"/>
        <v>Non Chronic</v>
      </c>
      <c r="Q285">
        <v>1</v>
      </c>
      <c r="R285">
        <v>0</v>
      </c>
      <c r="S285" t="s">
        <v>30</v>
      </c>
    </row>
    <row r="286" spans="1:19" x14ac:dyDescent="0.3">
      <c r="A286">
        <v>500285</v>
      </c>
      <c r="B286">
        <v>56076</v>
      </c>
      <c r="C286" t="s">
        <v>8</v>
      </c>
      <c r="D286" t="s">
        <v>19</v>
      </c>
      <c r="E286" s="1">
        <v>46035</v>
      </c>
      <c r="F286" t="s">
        <v>841</v>
      </c>
      <c r="G286" s="1">
        <v>46042</v>
      </c>
      <c r="H286" s="1" t="str">
        <f t="shared" si="8"/>
        <v>Tuesday</v>
      </c>
      <c r="I286">
        <v>80</v>
      </c>
      <c r="J286" t="s">
        <v>31</v>
      </c>
      <c r="K286">
        <v>0</v>
      </c>
      <c r="L286">
        <v>1</v>
      </c>
      <c r="M286">
        <v>1</v>
      </c>
      <c r="N286">
        <v>0</v>
      </c>
      <c r="O286">
        <v>0</v>
      </c>
      <c r="P286" t="str">
        <f t="shared" si="9"/>
        <v>Chronic</v>
      </c>
      <c r="Q286">
        <v>0</v>
      </c>
      <c r="R286">
        <v>0</v>
      </c>
      <c r="S286" t="s">
        <v>9</v>
      </c>
    </row>
    <row r="287" spans="1:19" x14ac:dyDescent="0.3">
      <c r="A287">
        <v>500286</v>
      </c>
      <c r="B287">
        <v>96298</v>
      </c>
      <c r="C287" t="s">
        <v>8</v>
      </c>
      <c r="D287" t="s">
        <v>14</v>
      </c>
      <c r="E287" s="1">
        <v>46071</v>
      </c>
      <c r="F287" t="s">
        <v>798</v>
      </c>
      <c r="G287" s="1">
        <v>46078</v>
      </c>
      <c r="H287" s="1" t="str">
        <f t="shared" si="8"/>
        <v>Wednesday</v>
      </c>
      <c r="I287">
        <v>0</v>
      </c>
      <c r="J287" t="s">
        <v>12</v>
      </c>
      <c r="K287">
        <v>0</v>
      </c>
      <c r="L287">
        <v>0</v>
      </c>
      <c r="M287">
        <v>0</v>
      </c>
      <c r="N287">
        <v>0</v>
      </c>
      <c r="O287">
        <v>0</v>
      </c>
      <c r="P287" t="str">
        <f t="shared" si="9"/>
        <v>Non Chronic</v>
      </c>
      <c r="Q287">
        <v>1</v>
      </c>
      <c r="R287">
        <v>0</v>
      </c>
      <c r="S287" t="s">
        <v>30</v>
      </c>
    </row>
    <row r="288" spans="1:19" x14ac:dyDescent="0.3">
      <c r="A288">
        <v>500287</v>
      </c>
      <c r="B288">
        <v>94694</v>
      </c>
      <c r="C288" t="s">
        <v>4</v>
      </c>
      <c r="D288" t="s">
        <v>14</v>
      </c>
      <c r="E288" s="1">
        <v>46001</v>
      </c>
      <c r="F288" t="s">
        <v>658</v>
      </c>
      <c r="G288" s="1">
        <v>46006</v>
      </c>
      <c r="H288" s="1" t="str">
        <f t="shared" si="8"/>
        <v>Monday</v>
      </c>
      <c r="I288">
        <v>34</v>
      </c>
      <c r="J288" t="s">
        <v>10</v>
      </c>
      <c r="K288">
        <v>1</v>
      </c>
      <c r="L288">
        <v>0</v>
      </c>
      <c r="M288">
        <v>0</v>
      </c>
      <c r="N288">
        <v>0</v>
      </c>
      <c r="O288">
        <v>0</v>
      </c>
      <c r="P288" t="str">
        <f t="shared" si="9"/>
        <v>Non Chronic</v>
      </c>
      <c r="Q288">
        <v>1</v>
      </c>
      <c r="R288">
        <v>0</v>
      </c>
      <c r="S288" t="s">
        <v>22</v>
      </c>
    </row>
    <row r="289" spans="1:19" x14ac:dyDescent="0.3">
      <c r="A289">
        <v>500288</v>
      </c>
      <c r="B289">
        <v>11581</v>
      </c>
      <c r="C289" t="s">
        <v>8</v>
      </c>
      <c r="D289" t="s">
        <v>19</v>
      </c>
      <c r="E289" s="1">
        <v>45998</v>
      </c>
      <c r="F289" t="s">
        <v>840</v>
      </c>
      <c r="G289" s="1">
        <v>46008</v>
      </c>
      <c r="H289" s="1" t="str">
        <f t="shared" si="8"/>
        <v>Wednesday</v>
      </c>
      <c r="I289">
        <v>49</v>
      </c>
      <c r="J289" t="s">
        <v>31</v>
      </c>
      <c r="K289">
        <v>1</v>
      </c>
      <c r="L289">
        <v>0</v>
      </c>
      <c r="M289">
        <v>0</v>
      </c>
      <c r="N289">
        <v>0</v>
      </c>
      <c r="O289">
        <v>0</v>
      </c>
      <c r="P289" t="str">
        <f t="shared" si="9"/>
        <v>Non Chronic</v>
      </c>
      <c r="Q289">
        <v>0</v>
      </c>
      <c r="R289">
        <v>0</v>
      </c>
      <c r="S289" t="s">
        <v>0</v>
      </c>
    </row>
    <row r="290" spans="1:19" x14ac:dyDescent="0.3">
      <c r="A290">
        <v>500289</v>
      </c>
      <c r="B290">
        <v>19567</v>
      </c>
      <c r="C290" t="s">
        <v>4</v>
      </c>
      <c r="D290" t="s">
        <v>58</v>
      </c>
      <c r="E290" s="1">
        <v>46001</v>
      </c>
      <c r="F290" t="s">
        <v>839</v>
      </c>
      <c r="G290" s="1">
        <v>46031</v>
      </c>
      <c r="H290" s="1" t="str">
        <f t="shared" si="8"/>
        <v>Friday</v>
      </c>
      <c r="I290">
        <v>43</v>
      </c>
      <c r="J290" t="s">
        <v>17</v>
      </c>
      <c r="K290">
        <v>1</v>
      </c>
      <c r="L290">
        <v>0</v>
      </c>
      <c r="M290">
        <v>1</v>
      </c>
      <c r="N290">
        <v>0</v>
      </c>
      <c r="O290">
        <v>0</v>
      </c>
      <c r="P290" t="str">
        <f t="shared" si="9"/>
        <v>Chronic</v>
      </c>
      <c r="Q290">
        <v>1</v>
      </c>
      <c r="R290">
        <v>0</v>
      </c>
      <c r="S290" t="s">
        <v>0</v>
      </c>
    </row>
    <row r="291" spans="1:19" x14ac:dyDescent="0.3">
      <c r="A291">
        <v>500290</v>
      </c>
      <c r="B291">
        <v>75673</v>
      </c>
      <c r="C291" t="s">
        <v>8</v>
      </c>
      <c r="D291" t="s">
        <v>3</v>
      </c>
      <c r="E291" s="1">
        <v>46162</v>
      </c>
      <c r="F291" t="s">
        <v>838</v>
      </c>
      <c r="G291" s="1">
        <v>46167</v>
      </c>
      <c r="H291" s="1" t="str">
        <f t="shared" si="8"/>
        <v>Monday</v>
      </c>
      <c r="I291">
        <v>25</v>
      </c>
      <c r="J291" t="s">
        <v>23</v>
      </c>
      <c r="K291">
        <v>0</v>
      </c>
      <c r="L291">
        <v>0</v>
      </c>
      <c r="M291">
        <v>0</v>
      </c>
      <c r="N291">
        <v>0</v>
      </c>
      <c r="O291">
        <v>0</v>
      </c>
      <c r="P291" t="str">
        <f t="shared" si="9"/>
        <v>Non Chronic</v>
      </c>
      <c r="Q291">
        <v>1</v>
      </c>
      <c r="R291">
        <v>1</v>
      </c>
      <c r="S291" t="s">
        <v>22</v>
      </c>
    </row>
    <row r="292" spans="1:19" x14ac:dyDescent="0.3">
      <c r="A292">
        <v>500291</v>
      </c>
      <c r="B292">
        <v>20357</v>
      </c>
      <c r="C292" t="s">
        <v>4</v>
      </c>
      <c r="D292" t="s">
        <v>28</v>
      </c>
      <c r="E292" s="1">
        <v>46104</v>
      </c>
      <c r="F292" t="s">
        <v>837</v>
      </c>
      <c r="G292" s="1">
        <v>46111</v>
      </c>
      <c r="H292" s="1" t="str">
        <f t="shared" si="8"/>
        <v>Monday</v>
      </c>
      <c r="I292">
        <v>33</v>
      </c>
      <c r="J292" t="s">
        <v>12</v>
      </c>
      <c r="K292">
        <v>1</v>
      </c>
      <c r="L292">
        <v>0</v>
      </c>
      <c r="M292">
        <v>0</v>
      </c>
      <c r="N292">
        <v>0</v>
      </c>
      <c r="O292">
        <v>0</v>
      </c>
      <c r="P292" t="str">
        <f t="shared" si="9"/>
        <v>Non Chronic</v>
      </c>
      <c r="Q292">
        <v>0</v>
      </c>
      <c r="R292">
        <v>0</v>
      </c>
      <c r="S292" t="s">
        <v>22</v>
      </c>
    </row>
    <row r="293" spans="1:19" x14ac:dyDescent="0.3">
      <c r="A293">
        <v>500292</v>
      </c>
      <c r="B293">
        <v>18665</v>
      </c>
      <c r="C293" t="s">
        <v>8</v>
      </c>
      <c r="D293" t="s">
        <v>3</v>
      </c>
      <c r="E293" s="1">
        <v>46044</v>
      </c>
      <c r="F293" t="s">
        <v>836</v>
      </c>
      <c r="G293" s="1">
        <v>46064</v>
      </c>
      <c r="H293" s="1" t="str">
        <f t="shared" si="8"/>
        <v>Wednesday</v>
      </c>
      <c r="I293">
        <v>28</v>
      </c>
      <c r="J293" t="s">
        <v>45</v>
      </c>
      <c r="K293">
        <v>0</v>
      </c>
      <c r="L293">
        <v>0</v>
      </c>
      <c r="M293">
        <v>0</v>
      </c>
      <c r="N293">
        <v>0</v>
      </c>
      <c r="O293">
        <v>0</v>
      </c>
      <c r="P293" t="str">
        <f t="shared" si="9"/>
        <v>Non Chronic</v>
      </c>
      <c r="Q293">
        <v>1</v>
      </c>
      <c r="R293">
        <v>0</v>
      </c>
      <c r="S293" t="s">
        <v>22</v>
      </c>
    </row>
    <row r="294" spans="1:19" x14ac:dyDescent="0.3">
      <c r="A294">
        <v>500293</v>
      </c>
      <c r="B294">
        <v>17212</v>
      </c>
      <c r="C294" t="s">
        <v>8</v>
      </c>
      <c r="D294" t="s">
        <v>28</v>
      </c>
      <c r="E294" s="1">
        <v>46051</v>
      </c>
      <c r="F294" t="s">
        <v>835</v>
      </c>
      <c r="G294" s="1">
        <v>46061</v>
      </c>
      <c r="H294" s="1" t="str">
        <f t="shared" si="8"/>
        <v>Sunday</v>
      </c>
      <c r="I294">
        <v>26</v>
      </c>
      <c r="J294" t="s">
        <v>15</v>
      </c>
      <c r="K294">
        <v>0</v>
      </c>
      <c r="L294">
        <v>0</v>
      </c>
      <c r="M294">
        <v>0</v>
      </c>
      <c r="N294">
        <v>0</v>
      </c>
      <c r="O294">
        <v>0</v>
      </c>
      <c r="P294" t="str">
        <f t="shared" si="9"/>
        <v>Non Chronic</v>
      </c>
      <c r="Q294">
        <v>1</v>
      </c>
      <c r="R294">
        <v>0</v>
      </c>
      <c r="S294" t="s">
        <v>22</v>
      </c>
    </row>
    <row r="295" spans="1:19" x14ac:dyDescent="0.3">
      <c r="A295">
        <v>500294</v>
      </c>
      <c r="B295">
        <v>78551</v>
      </c>
      <c r="C295" t="s">
        <v>8</v>
      </c>
      <c r="D295" t="s">
        <v>28</v>
      </c>
      <c r="E295" s="1">
        <v>46090</v>
      </c>
      <c r="F295" t="s">
        <v>315</v>
      </c>
      <c r="G295" s="1">
        <v>46091</v>
      </c>
      <c r="H295" s="1" t="str">
        <f t="shared" si="8"/>
        <v>Tuesday</v>
      </c>
      <c r="I295">
        <v>54</v>
      </c>
      <c r="J295" t="s">
        <v>20</v>
      </c>
      <c r="K295">
        <v>0</v>
      </c>
      <c r="L295">
        <v>0</v>
      </c>
      <c r="M295">
        <v>0</v>
      </c>
      <c r="N295">
        <v>0</v>
      </c>
      <c r="O295">
        <v>0</v>
      </c>
      <c r="P295" t="str">
        <f t="shared" si="9"/>
        <v>Non Chronic</v>
      </c>
      <c r="Q295">
        <v>0</v>
      </c>
      <c r="R295">
        <v>1</v>
      </c>
      <c r="S295" t="s">
        <v>0</v>
      </c>
    </row>
    <row r="296" spans="1:19" x14ac:dyDescent="0.3">
      <c r="A296">
        <v>500295</v>
      </c>
      <c r="B296">
        <v>66272</v>
      </c>
      <c r="C296" t="s">
        <v>8</v>
      </c>
      <c r="D296" t="s">
        <v>58</v>
      </c>
      <c r="E296" s="1">
        <v>46113</v>
      </c>
      <c r="F296" t="s">
        <v>606</v>
      </c>
      <c r="G296" s="1">
        <v>46113</v>
      </c>
      <c r="H296" s="1" t="str">
        <f t="shared" si="8"/>
        <v>Wednesday</v>
      </c>
      <c r="I296">
        <v>45</v>
      </c>
      <c r="J296" t="s">
        <v>5</v>
      </c>
      <c r="K296">
        <v>0</v>
      </c>
      <c r="L296">
        <v>0</v>
      </c>
      <c r="M296">
        <v>0</v>
      </c>
      <c r="N296">
        <v>0</v>
      </c>
      <c r="O296">
        <v>0</v>
      </c>
      <c r="P296" t="str">
        <f t="shared" si="9"/>
        <v>Non Chronic</v>
      </c>
      <c r="Q296">
        <v>0</v>
      </c>
      <c r="R296">
        <v>1</v>
      </c>
      <c r="S296" t="s">
        <v>0</v>
      </c>
    </row>
    <row r="297" spans="1:19" x14ac:dyDescent="0.3">
      <c r="A297">
        <v>500296</v>
      </c>
      <c r="B297">
        <v>30618</v>
      </c>
      <c r="C297" t="s">
        <v>8</v>
      </c>
      <c r="D297" t="s">
        <v>58</v>
      </c>
      <c r="E297" s="1">
        <v>46139</v>
      </c>
      <c r="F297" t="s">
        <v>93</v>
      </c>
      <c r="G297" s="1">
        <v>46144</v>
      </c>
      <c r="H297" s="1" t="str">
        <f t="shared" si="8"/>
        <v>Saturday</v>
      </c>
      <c r="I297">
        <v>24</v>
      </c>
      <c r="J297" t="s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 t="str">
        <f t="shared" si="9"/>
        <v>Non Chronic</v>
      </c>
      <c r="Q297">
        <v>1</v>
      </c>
      <c r="R297">
        <v>0</v>
      </c>
      <c r="S297" t="s">
        <v>22</v>
      </c>
    </row>
    <row r="298" spans="1:19" x14ac:dyDescent="0.3">
      <c r="A298">
        <v>500297</v>
      </c>
      <c r="B298">
        <v>42053</v>
      </c>
      <c r="C298" t="s">
        <v>4</v>
      </c>
      <c r="D298" t="s">
        <v>7</v>
      </c>
      <c r="E298" s="1">
        <v>46144</v>
      </c>
      <c r="F298" t="s">
        <v>834</v>
      </c>
      <c r="G298" s="1">
        <v>46144</v>
      </c>
      <c r="H298" s="1" t="str">
        <f t="shared" si="8"/>
        <v>Saturday</v>
      </c>
      <c r="I298">
        <v>55</v>
      </c>
      <c r="J298" t="s">
        <v>20</v>
      </c>
      <c r="K298">
        <v>1</v>
      </c>
      <c r="L298">
        <v>0</v>
      </c>
      <c r="M298">
        <v>1</v>
      </c>
      <c r="N298">
        <v>0</v>
      </c>
      <c r="O298">
        <v>0</v>
      </c>
      <c r="P298" t="str">
        <f t="shared" si="9"/>
        <v>Chronic</v>
      </c>
      <c r="Q298">
        <v>0</v>
      </c>
      <c r="R298">
        <v>0</v>
      </c>
      <c r="S298" t="s">
        <v>0</v>
      </c>
    </row>
    <row r="299" spans="1:19" x14ac:dyDescent="0.3">
      <c r="A299">
        <v>500298</v>
      </c>
      <c r="B299">
        <v>95944</v>
      </c>
      <c r="C299" t="s">
        <v>8</v>
      </c>
      <c r="D299" t="s">
        <v>14</v>
      </c>
      <c r="E299" s="1">
        <v>46064</v>
      </c>
      <c r="F299" t="s">
        <v>833</v>
      </c>
      <c r="G299" s="1">
        <v>46066</v>
      </c>
      <c r="H299" s="1" t="str">
        <f t="shared" si="8"/>
        <v>Friday</v>
      </c>
      <c r="I299">
        <v>44</v>
      </c>
      <c r="J299" t="s">
        <v>20</v>
      </c>
      <c r="K299">
        <v>0</v>
      </c>
      <c r="L299">
        <v>0</v>
      </c>
      <c r="M299">
        <v>0</v>
      </c>
      <c r="N299">
        <v>0</v>
      </c>
      <c r="O299">
        <v>0</v>
      </c>
      <c r="P299" t="str">
        <f t="shared" si="9"/>
        <v>Non Chronic</v>
      </c>
      <c r="Q299">
        <v>1</v>
      </c>
      <c r="R299">
        <v>0</v>
      </c>
      <c r="S299" t="s">
        <v>0</v>
      </c>
    </row>
    <row r="300" spans="1:19" x14ac:dyDescent="0.3">
      <c r="A300">
        <v>500299</v>
      </c>
      <c r="B300">
        <v>75803</v>
      </c>
      <c r="C300" t="s">
        <v>4</v>
      </c>
      <c r="D300" t="s">
        <v>28</v>
      </c>
      <c r="E300" s="1">
        <v>45984</v>
      </c>
      <c r="F300" t="s">
        <v>240</v>
      </c>
      <c r="G300" s="1">
        <v>45986</v>
      </c>
      <c r="H300" s="1" t="str">
        <f t="shared" si="8"/>
        <v>Tuesday</v>
      </c>
      <c r="I300">
        <v>54</v>
      </c>
      <c r="J300" t="s">
        <v>45</v>
      </c>
      <c r="K300">
        <v>0</v>
      </c>
      <c r="L300">
        <v>0</v>
      </c>
      <c r="M300">
        <v>1</v>
      </c>
      <c r="N300">
        <v>0</v>
      </c>
      <c r="O300">
        <v>0</v>
      </c>
      <c r="P300" t="str">
        <f t="shared" si="9"/>
        <v>Chronic</v>
      </c>
      <c r="Q300">
        <v>0</v>
      </c>
      <c r="R300">
        <v>0</v>
      </c>
      <c r="S300" t="s">
        <v>0</v>
      </c>
    </row>
    <row r="301" spans="1:19" x14ac:dyDescent="0.3">
      <c r="A301">
        <v>500300</v>
      </c>
      <c r="B301">
        <v>82494</v>
      </c>
      <c r="C301" t="s">
        <v>8</v>
      </c>
      <c r="D301" t="s">
        <v>36</v>
      </c>
      <c r="E301" s="1">
        <v>46142</v>
      </c>
      <c r="F301" t="s">
        <v>350</v>
      </c>
      <c r="G301" s="1">
        <v>46144</v>
      </c>
      <c r="H301" s="1" t="str">
        <f t="shared" si="8"/>
        <v>Saturday</v>
      </c>
      <c r="I301">
        <v>50</v>
      </c>
      <c r="J301" t="s">
        <v>20</v>
      </c>
      <c r="K301">
        <v>0</v>
      </c>
      <c r="L301">
        <v>1</v>
      </c>
      <c r="M301">
        <v>0</v>
      </c>
      <c r="N301">
        <v>0</v>
      </c>
      <c r="O301">
        <v>0</v>
      </c>
      <c r="P301" t="str">
        <f t="shared" si="9"/>
        <v>Chronic</v>
      </c>
      <c r="Q301">
        <v>1</v>
      </c>
      <c r="R301">
        <v>0</v>
      </c>
      <c r="S301" t="s">
        <v>0</v>
      </c>
    </row>
    <row r="302" spans="1:19" x14ac:dyDescent="0.3">
      <c r="A302">
        <v>500301</v>
      </c>
      <c r="B302">
        <v>35614</v>
      </c>
      <c r="C302" t="s">
        <v>4</v>
      </c>
      <c r="D302" t="s">
        <v>28</v>
      </c>
      <c r="E302" s="1">
        <v>46014</v>
      </c>
      <c r="F302" t="s">
        <v>326</v>
      </c>
      <c r="G302" s="1">
        <v>46019</v>
      </c>
      <c r="H302" s="1" t="str">
        <f t="shared" si="8"/>
        <v>Sunday</v>
      </c>
      <c r="I302">
        <v>21</v>
      </c>
      <c r="J302" t="s">
        <v>17</v>
      </c>
      <c r="K302">
        <v>1</v>
      </c>
      <c r="L302">
        <v>0</v>
      </c>
      <c r="M302">
        <v>0</v>
      </c>
      <c r="N302">
        <v>1</v>
      </c>
      <c r="O302">
        <v>0</v>
      </c>
      <c r="P302" t="str">
        <f t="shared" si="9"/>
        <v>Non Chronic</v>
      </c>
      <c r="Q302">
        <v>1</v>
      </c>
      <c r="R302">
        <v>0</v>
      </c>
      <c r="S302" t="s">
        <v>22</v>
      </c>
    </row>
    <row r="303" spans="1:19" x14ac:dyDescent="0.3">
      <c r="A303">
        <v>500302</v>
      </c>
      <c r="B303">
        <v>11257</v>
      </c>
      <c r="C303" t="s">
        <v>8</v>
      </c>
      <c r="D303" t="s">
        <v>36</v>
      </c>
      <c r="E303" s="1">
        <v>46099</v>
      </c>
      <c r="F303" t="s">
        <v>250</v>
      </c>
      <c r="G303" s="1">
        <v>46104</v>
      </c>
      <c r="H303" s="1" t="str">
        <f t="shared" si="8"/>
        <v>Monday</v>
      </c>
      <c r="I303">
        <v>26</v>
      </c>
      <c r="J303" t="s">
        <v>23</v>
      </c>
      <c r="K303">
        <v>1</v>
      </c>
      <c r="L303">
        <v>0</v>
      </c>
      <c r="M303">
        <v>0</v>
      </c>
      <c r="N303">
        <v>0</v>
      </c>
      <c r="O303">
        <v>0</v>
      </c>
      <c r="P303" t="str">
        <f t="shared" si="9"/>
        <v>Non Chronic</v>
      </c>
      <c r="Q303">
        <v>1</v>
      </c>
      <c r="R303">
        <v>0</v>
      </c>
      <c r="S303" t="s">
        <v>22</v>
      </c>
    </row>
    <row r="304" spans="1:19" x14ac:dyDescent="0.3">
      <c r="A304">
        <v>500303</v>
      </c>
      <c r="B304">
        <v>17850</v>
      </c>
      <c r="C304" t="s">
        <v>4</v>
      </c>
      <c r="D304" t="s">
        <v>25</v>
      </c>
      <c r="E304" s="1">
        <v>46094</v>
      </c>
      <c r="F304" t="s">
        <v>832</v>
      </c>
      <c r="G304" s="1">
        <v>46104</v>
      </c>
      <c r="H304" s="1" t="str">
        <f t="shared" si="8"/>
        <v>Monday</v>
      </c>
      <c r="I304">
        <v>52</v>
      </c>
      <c r="J304" t="s">
        <v>15</v>
      </c>
      <c r="K304">
        <v>0</v>
      </c>
      <c r="L304">
        <v>0</v>
      </c>
      <c r="M304">
        <v>0</v>
      </c>
      <c r="N304">
        <v>0</v>
      </c>
      <c r="O304">
        <v>0</v>
      </c>
      <c r="P304" t="str">
        <f t="shared" si="9"/>
        <v>Non Chronic</v>
      </c>
      <c r="Q304">
        <v>1</v>
      </c>
      <c r="R304">
        <v>0</v>
      </c>
      <c r="S304" t="s">
        <v>0</v>
      </c>
    </row>
    <row r="305" spans="1:19" x14ac:dyDescent="0.3">
      <c r="A305">
        <v>500304</v>
      </c>
      <c r="B305">
        <v>21128</v>
      </c>
      <c r="C305" t="s">
        <v>4</v>
      </c>
      <c r="D305" t="s">
        <v>28</v>
      </c>
      <c r="E305" s="1">
        <v>46142</v>
      </c>
      <c r="F305" t="s">
        <v>49</v>
      </c>
      <c r="G305" s="1">
        <v>46143</v>
      </c>
      <c r="H305" s="1" t="str">
        <f t="shared" si="8"/>
        <v>Friday</v>
      </c>
      <c r="I305">
        <v>50</v>
      </c>
      <c r="J305" t="s">
        <v>23</v>
      </c>
      <c r="K305">
        <v>0</v>
      </c>
      <c r="L305">
        <v>0</v>
      </c>
      <c r="M305">
        <v>1</v>
      </c>
      <c r="N305">
        <v>0</v>
      </c>
      <c r="O305">
        <v>0</v>
      </c>
      <c r="P305" t="str">
        <f t="shared" si="9"/>
        <v>Chronic</v>
      </c>
      <c r="Q305">
        <v>1</v>
      </c>
      <c r="R305">
        <v>0</v>
      </c>
      <c r="S305" t="s">
        <v>0</v>
      </c>
    </row>
    <row r="306" spans="1:19" x14ac:dyDescent="0.3">
      <c r="A306">
        <v>500305</v>
      </c>
      <c r="B306">
        <v>61505</v>
      </c>
      <c r="C306" t="s">
        <v>8</v>
      </c>
      <c r="D306" t="s">
        <v>19</v>
      </c>
      <c r="E306" s="1">
        <v>46002</v>
      </c>
      <c r="F306" t="s">
        <v>831</v>
      </c>
      <c r="G306" s="1">
        <v>46022</v>
      </c>
      <c r="H306" s="1" t="str">
        <f t="shared" si="8"/>
        <v>Wednesday</v>
      </c>
      <c r="I306">
        <v>37</v>
      </c>
      <c r="J306" t="s">
        <v>10</v>
      </c>
      <c r="K306">
        <v>1</v>
      </c>
      <c r="L306">
        <v>0</v>
      </c>
      <c r="M306">
        <v>0</v>
      </c>
      <c r="N306">
        <v>0</v>
      </c>
      <c r="O306">
        <v>0</v>
      </c>
      <c r="P306" t="str">
        <f t="shared" si="9"/>
        <v>Non Chronic</v>
      </c>
      <c r="Q306">
        <v>1</v>
      </c>
      <c r="R306">
        <v>0</v>
      </c>
      <c r="S306" t="s">
        <v>22</v>
      </c>
    </row>
    <row r="307" spans="1:19" x14ac:dyDescent="0.3">
      <c r="A307">
        <v>500306</v>
      </c>
      <c r="B307">
        <v>24283</v>
      </c>
      <c r="C307" t="s">
        <v>4</v>
      </c>
      <c r="D307" t="s">
        <v>58</v>
      </c>
      <c r="E307" s="1">
        <v>45983</v>
      </c>
      <c r="F307" t="s">
        <v>830</v>
      </c>
      <c r="G307" s="1">
        <v>45986</v>
      </c>
      <c r="H307" s="1" t="str">
        <f t="shared" si="8"/>
        <v>Tuesday</v>
      </c>
      <c r="I307">
        <v>40</v>
      </c>
      <c r="J307" t="s">
        <v>31</v>
      </c>
      <c r="K307">
        <v>1</v>
      </c>
      <c r="L307">
        <v>0</v>
      </c>
      <c r="M307">
        <v>0</v>
      </c>
      <c r="N307">
        <v>0</v>
      </c>
      <c r="O307">
        <v>0</v>
      </c>
      <c r="P307" t="str">
        <f t="shared" si="9"/>
        <v>Non Chronic</v>
      </c>
      <c r="Q307">
        <v>1</v>
      </c>
      <c r="R307">
        <v>0</v>
      </c>
      <c r="S307" t="s">
        <v>22</v>
      </c>
    </row>
    <row r="308" spans="1:19" x14ac:dyDescent="0.3">
      <c r="A308">
        <v>500307</v>
      </c>
      <c r="B308">
        <v>37215</v>
      </c>
      <c r="C308" t="s">
        <v>8</v>
      </c>
      <c r="D308" t="s">
        <v>25</v>
      </c>
      <c r="E308" s="1">
        <v>46106</v>
      </c>
      <c r="F308" t="s">
        <v>635</v>
      </c>
      <c r="G308" s="1">
        <v>46116</v>
      </c>
      <c r="H308" s="1" t="str">
        <f t="shared" si="8"/>
        <v>Saturday</v>
      </c>
      <c r="I308">
        <v>63</v>
      </c>
      <c r="J308" t="s">
        <v>10</v>
      </c>
      <c r="K308">
        <v>1</v>
      </c>
      <c r="L308">
        <v>0</v>
      </c>
      <c r="M308">
        <v>1</v>
      </c>
      <c r="N308">
        <v>0</v>
      </c>
      <c r="O308">
        <v>0</v>
      </c>
      <c r="P308" t="str">
        <f t="shared" si="9"/>
        <v>Chronic</v>
      </c>
      <c r="Q308">
        <v>1</v>
      </c>
      <c r="R308">
        <v>0</v>
      </c>
      <c r="S308" t="s">
        <v>9</v>
      </c>
    </row>
    <row r="309" spans="1:19" x14ac:dyDescent="0.3">
      <c r="A309">
        <v>500308</v>
      </c>
      <c r="B309">
        <v>52964</v>
      </c>
      <c r="C309" t="s">
        <v>4</v>
      </c>
      <c r="D309" t="s">
        <v>58</v>
      </c>
      <c r="E309" s="1">
        <v>46014</v>
      </c>
      <c r="F309" t="s">
        <v>829</v>
      </c>
      <c r="G309" s="1">
        <v>46014</v>
      </c>
      <c r="H309" s="1" t="str">
        <f t="shared" si="8"/>
        <v>Tuesday</v>
      </c>
      <c r="I309">
        <v>26</v>
      </c>
      <c r="J309" t="s">
        <v>45</v>
      </c>
      <c r="K309">
        <v>1</v>
      </c>
      <c r="L309">
        <v>0</v>
      </c>
      <c r="M309">
        <v>0</v>
      </c>
      <c r="N309">
        <v>0</v>
      </c>
      <c r="O309">
        <v>0</v>
      </c>
      <c r="P309" t="str">
        <f t="shared" si="9"/>
        <v>Non Chronic</v>
      </c>
      <c r="Q309">
        <v>1</v>
      </c>
      <c r="R309">
        <v>0</v>
      </c>
      <c r="S309" t="s">
        <v>22</v>
      </c>
    </row>
    <row r="310" spans="1:19" x14ac:dyDescent="0.3">
      <c r="A310">
        <v>500309</v>
      </c>
      <c r="B310">
        <v>32789</v>
      </c>
      <c r="C310" t="s">
        <v>4</v>
      </c>
      <c r="D310" t="s">
        <v>3</v>
      </c>
      <c r="E310" s="1">
        <v>45984</v>
      </c>
      <c r="F310" t="s">
        <v>828</v>
      </c>
      <c r="G310" s="1">
        <v>45985</v>
      </c>
      <c r="H310" s="1" t="str">
        <f t="shared" si="8"/>
        <v>Monday</v>
      </c>
      <c r="I310">
        <v>48</v>
      </c>
      <c r="J310" t="s">
        <v>10</v>
      </c>
      <c r="K310">
        <v>0</v>
      </c>
      <c r="L310">
        <v>1</v>
      </c>
      <c r="M310">
        <v>1</v>
      </c>
      <c r="N310">
        <v>0</v>
      </c>
      <c r="O310">
        <v>0</v>
      </c>
      <c r="P310" t="str">
        <f t="shared" si="9"/>
        <v>Chronic</v>
      </c>
      <c r="Q310">
        <v>1</v>
      </c>
      <c r="R310">
        <v>0</v>
      </c>
      <c r="S310" t="s">
        <v>0</v>
      </c>
    </row>
    <row r="311" spans="1:19" x14ac:dyDescent="0.3">
      <c r="A311">
        <v>500310</v>
      </c>
      <c r="B311">
        <v>39135</v>
      </c>
      <c r="C311" t="s">
        <v>4</v>
      </c>
      <c r="D311" t="s">
        <v>14</v>
      </c>
      <c r="E311" s="1">
        <v>46103</v>
      </c>
      <c r="F311" t="s">
        <v>350</v>
      </c>
      <c r="G311" s="1">
        <v>46123</v>
      </c>
      <c r="H311" s="1" t="str">
        <f t="shared" si="8"/>
        <v>Saturday</v>
      </c>
      <c r="I311">
        <v>33</v>
      </c>
      <c r="J311" t="s">
        <v>23</v>
      </c>
      <c r="K311">
        <v>1</v>
      </c>
      <c r="L311">
        <v>0</v>
      </c>
      <c r="M311">
        <v>0</v>
      </c>
      <c r="N311">
        <v>0</v>
      </c>
      <c r="O311">
        <v>0</v>
      </c>
      <c r="P311" t="str">
        <f t="shared" si="9"/>
        <v>Non Chronic</v>
      </c>
      <c r="Q311">
        <v>1</v>
      </c>
      <c r="R311">
        <v>0</v>
      </c>
      <c r="S311" t="s">
        <v>22</v>
      </c>
    </row>
    <row r="312" spans="1:19" x14ac:dyDescent="0.3">
      <c r="A312">
        <v>500311</v>
      </c>
      <c r="B312">
        <v>19828</v>
      </c>
      <c r="C312" t="s">
        <v>4</v>
      </c>
      <c r="D312" t="s">
        <v>58</v>
      </c>
      <c r="E312" s="1">
        <v>46108</v>
      </c>
      <c r="F312" t="s">
        <v>398</v>
      </c>
      <c r="G312" s="1">
        <v>46109</v>
      </c>
      <c r="H312" s="1" t="str">
        <f t="shared" si="8"/>
        <v>Saturday</v>
      </c>
      <c r="I312">
        <v>33</v>
      </c>
      <c r="J312" t="s">
        <v>45</v>
      </c>
      <c r="K312">
        <v>1</v>
      </c>
      <c r="L312">
        <v>0</v>
      </c>
      <c r="M312">
        <v>0</v>
      </c>
      <c r="N312">
        <v>0</v>
      </c>
      <c r="O312">
        <v>0</v>
      </c>
      <c r="P312" t="str">
        <f t="shared" si="9"/>
        <v>Non Chronic</v>
      </c>
      <c r="Q312">
        <v>0</v>
      </c>
      <c r="R312">
        <v>0</v>
      </c>
      <c r="S312" t="s">
        <v>22</v>
      </c>
    </row>
    <row r="313" spans="1:19" x14ac:dyDescent="0.3">
      <c r="A313">
        <v>500312</v>
      </c>
      <c r="B313">
        <v>26059</v>
      </c>
      <c r="C313" t="s">
        <v>4</v>
      </c>
      <c r="D313" t="s">
        <v>7</v>
      </c>
      <c r="E313" s="1">
        <v>46090</v>
      </c>
      <c r="F313" t="s">
        <v>459</v>
      </c>
      <c r="G313" s="1">
        <v>46093</v>
      </c>
      <c r="H313" s="1" t="str">
        <f t="shared" si="8"/>
        <v>Thursday</v>
      </c>
      <c r="I313">
        <v>59</v>
      </c>
      <c r="J313" t="s">
        <v>17</v>
      </c>
      <c r="K313">
        <v>0</v>
      </c>
      <c r="L313">
        <v>0</v>
      </c>
      <c r="M313">
        <v>0</v>
      </c>
      <c r="N313">
        <v>0</v>
      </c>
      <c r="O313">
        <v>0</v>
      </c>
      <c r="P313" t="str">
        <f t="shared" si="9"/>
        <v>Non Chronic</v>
      </c>
      <c r="Q313">
        <v>1</v>
      </c>
      <c r="R313">
        <v>0</v>
      </c>
      <c r="S313" t="s">
        <v>0</v>
      </c>
    </row>
    <row r="314" spans="1:19" x14ac:dyDescent="0.3">
      <c r="A314">
        <v>500313</v>
      </c>
      <c r="B314">
        <v>34530</v>
      </c>
      <c r="C314" t="s">
        <v>8</v>
      </c>
      <c r="D314" t="s">
        <v>25</v>
      </c>
      <c r="E314" s="1">
        <v>46115</v>
      </c>
      <c r="F314" t="s">
        <v>507</v>
      </c>
      <c r="G314" s="1">
        <v>46117</v>
      </c>
      <c r="H314" s="1" t="str">
        <f t="shared" si="8"/>
        <v>Sunday</v>
      </c>
      <c r="I314">
        <v>54</v>
      </c>
      <c r="J314" t="s">
        <v>10</v>
      </c>
      <c r="K314">
        <v>0</v>
      </c>
      <c r="L314">
        <v>1</v>
      </c>
      <c r="M314">
        <v>0</v>
      </c>
      <c r="N314">
        <v>0</v>
      </c>
      <c r="O314">
        <v>0</v>
      </c>
      <c r="P314" t="str">
        <f t="shared" si="9"/>
        <v>Chronic</v>
      </c>
      <c r="Q314">
        <v>1</v>
      </c>
      <c r="R314">
        <v>0</v>
      </c>
      <c r="S314" t="s">
        <v>0</v>
      </c>
    </row>
    <row r="315" spans="1:19" x14ac:dyDescent="0.3">
      <c r="A315">
        <v>500314</v>
      </c>
      <c r="B315">
        <v>17992</v>
      </c>
      <c r="C315" t="s">
        <v>4</v>
      </c>
      <c r="D315" t="s">
        <v>25</v>
      </c>
      <c r="E315" s="1">
        <v>46049</v>
      </c>
      <c r="F315" t="s">
        <v>827</v>
      </c>
      <c r="G315" s="1">
        <v>46051</v>
      </c>
      <c r="H315" s="1" t="str">
        <f t="shared" si="8"/>
        <v>Thursday</v>
      </c>
      <c r="I315">
        <v>54</v>
      </c>
      <c r="J315" t="s">
        <v>23</v>
      </c>
      <c r="K315">
        <v>0</v>
      </c>
      <c r="L315">
        <v>0</v>
      </c>
      <c r="M315">
        <v>0</v>
      </c>
      <c r="N315">
        <v>0</v>
      </c>
      <c r="O315">
        <v>0</v>
      </c>
      <c r="P315" t="str">
        <f t="shared" si="9"/>
        <v>Non Chronic</v>
      </c>
      <c r="Q315">
        <v>0</v>
      </c>
      <c r="R315">
        <v>0</v>
      </c>
      <c r="S315" t="s">
        <v>0</v>
      </c>
    </row>
    <row r="316" spans="1:19" x14ac:dyDescent="0.3">
      <c r="A316">
        <v>500315</v>
      </c>
      <c r="B316">
        <v>12559</v>
      </c>
      <c r="C316" t="s">
        <v>8</v>
      </c>
      <c r="D316" t="s">
        <v>19</v>
      </c>
      <c r="E316" s="1">
        <v>46161</v>
      </c>
      <c r="F316" t="s">
        <v>826</v>
      </c>
      <c r="G316" s="1">
        <v>46161</v>
      </c>
      <c r="H316" s="1" t="str">
        <f t="shared" si="8"/>
        <v>Tuesday</v>
      </c>
      <c r="I316">
        <v>64</v>
      </c>
      <c r="J316" t="s">
        <v>10</v>
      </c>
      <c r="K316">
        <v>1</v>
      </c>
      <c r="L316">
        <v>1</v>
      </c>
      <c r="M316">
        <v>0</v>
      </c>
      <c r="N316">
        <v>0</v>
      </c>
      <c r="O316">
        <v>0</v>
      </c>
      <c r="P316" t="str">
        <f t="shared" si="9"/>
        <v>Chronic</v>
      </c>
      <c r="Q316">
        <v>1</v>
      </c>
      <c r="R316">
        <v>1</v>
      </c>
      <c r="S316" t="s">
        <v>9</v>
      </c>
    </row>
    <row r="317" spans="1:19" x14ac:dyDescent="0.3">
      <c r="A317">
        <v>500316</v>
      </c>
      <c r="B317">
        <v>46822</v>
      </c>
      <c r="C317" t="s">
        <v>4</v>
      </c>
      <c r="D317" t="s">
        <v>7</v>
      </c>
      <c r="E317" s="1">
        <v>46035</v>
      </c>
      <c r="F317" t="s">
        <v>825</v>
      </c>
      <c r="G317" s="1">
        <v>46065</v>
      </c>
      <c r="H317" s="1" t="str">
        <f t="shared" si="8"/>
        <v>Thursday</v>
      </c>
      <c r="I317">
        <v>38</v>
      </c>
      <c r="J317" t="s">
        <v>12</v>
      </c>
      <c r="K317">
        <v>1</v>
      </c>
      <c r="L317">
        <v>0</v>
      </c>
      <c r="M317">
        <v>0</v>
      </c>
      <c r="N317">
        <v>0</v>
      </c>
      <c r="O317">
        <v>0</v>
      </c>
      <c r="P317" t="str">
        <f t="shared" si="9"/>
        <v>Non Chronic</v>
      </c>
      <c r="Q317">
        <v>0</v>
      </c>
      <c r="R317">
        <v>1</v>
      </c>
      <c r="S317" t="s">
        <v>22</v>
      </c>
    </row>
    <row r="318" spans="1:19" x14ac:dyDescent="0.3">
      <c r="A318">
        <v>500317</v>
      </c>
      <c r="B318">
        <v>96096</v>
      </c>
      <c r="C318" t="s">
        <v>4</v>
      </c>
      <c r="D318" t="s">
        <v>25</v>
      </c>
      <c r="E318" s="1">
        <v>45996</v>
      </c>
      <c r="F318" t="s">
        <v>824</v>
      </c>
      <c r="G318" s="1">
        <v>46026</v>
      </c>
      <c r="H318" s="1" t="str">
        <f t="shared" si="8"/>
        <v>Sunday</v>
      </c>
      <c r="I318">
        <v>51</v>
      </c>
      <c r="J318" t="s">
        <v>12</v>
      </c>
      <c r="K318">
        <v>0</v>
      </c>
      <c r="L318">
        <v>0</v>
      </c>
      <c r="M318">
        <v>0</v>
      </c>
      <c r="N318">
        <v>0</v>
      </c>
      <c r="O318">
        <v>0</v>
      </c>
      <c r="P318" t="str">
        <f t="shared" si="9"/>
        <v>Non Chronic</v>
      </c>
      <c r="Q318">
        <v>1</v>
      </c>
      <c r="R318">
        <v>0</v>
      </c>
      <c r="S318" t="s">
        <v>0</v>
      </c>
    </row>
    <row r="319" spans="1:19" x14ac:dyDescent="0.3">
      <c r="A319">
        <v>500318</v>
      </c>
      <c r="B319">
        <v>32768</v>
      </c>
      <c r="C319" t="s">
        <v>4</v>
      </c>
      <c r="D319" t="s">
        <v>14</v>
      </c>
      <c r="E319" s="1">
        <v>46058</v>
      </c>
      <c r="F319" t="s">
        <v>823</v>
      </c>
      <c r="G319" s="1">
        <v>46068</v>
      </c>
      <c r="H319" s="1" t="str">
        <f t="shared" si="8"/>
        <v>Sunday</v>
      </c>
      <c r="I319">
        <v>31</v>
      </c>
      <c r="J319" t="s">
        <v>1</v>
      </c>
      <c r="K319">
        <v>1</v>
      </c>
      <c r="L319">
        <v>0</v>
      </c>
      <c r="M319">
        <v>0</v>
      </c>
      <c r="N319">
        <v>0</v>
      </c>
      <c r="O319">
        <v>0</v>
      </c>
      <c r="P319" t="str">
        <f t="shared" si="9"/>
        <v>Non Chronic</v>
      </c>
      <c r="Q319">
        <v>0</v>
      </c>
      <c r="R319">
        <v>1</v>
      </c>
      <c r="S319" t="s">
        <v>22</v>
      </c>
    </row>
    <row r="320" spans="1:19" x14ac:dyDescent="0.3">
      <c r="A320">
        <v>500319</v>
      </c>
      <c r="B320">
        <v>56095</v>
      </c>
      <c r="C320" t="s">
        <v>4</v>
      </c>
      <c r="D320" t="s">
        <v>14</v>
      </c>
      <c r="E320" s="1">
        <v>46089</v>
      </c>
      <c r="F320" t="s">
        <v>822</v>
      </c>
      <c r="G320" s="1">
        <v>46089</v>
      </c>
      <c r="H320" s="1" t="str">
        <f t="shared" si="8"/>
        <v>Sunday</v>
      </c>
      <c r="I320">
        <v>44</v>
      </c>
      <c r="J320" t="s">
        <v>10</v>
      </c>
      <c r="K320">
        <v>1</v>
      </c>
      <c r="L320">
        <v>0</v>
      </c>
      <c r="M320">
        <v>1</v>
      </c>
      <c r="N320">
        <v>1</v>
      </c>
      <c r="O320">
        <v>0</v>
      </c>
      <c r="P320" t="str">
        <f t="shared" si="9"/>
        <v>Chronic</v>
      </c>
      <c r="Q320">
        <v>1</v>
      </c>
      <c r="R320">
        <v>1</v>
      </c>
      <c r="S320" t="s">
        <v>0</v>
      </c>
    </row>
    <row r="321" spans="1:19" x14ac:dyDescent="0.3">
      <c r="A321">
        <v>500320</v>
      </c>
      <c r="B321">
        <v>72650</v>
      </c>
      <c r="C321" t="s">
        <v>4</v>
      </c>
      <c r="D321" t="s">
        <v>19</v>
      </c>
      <c r="E321" s="1">
        <v>46147</v>
      </c>
      <c r="F321" t="s">
        <v>763</v>
      </c>
      <c r="G321" s="1">
        <v>46150</v>
      </c>
      <c r="H321" s="1" t="str">
        <f t="shared" si="8"/>
        <v>Friday</v>
      </c>
      <c r="I321">
        <v>35</v>
      </c>
      <c r="J321" t="s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 t="str">
        <f t="shared" si="9"/>
        <v>Non Chronic</v>
      </c>
      <c r="Q321">
        <v>1</v>
      </c>
      <c r="R321">
        <v>0</v>
      </c>
      <c r="S321" t="s">
        <v>22</v>
      </c>
    </row>
    <row r="322" spans="1:19" x14ac:dyDescent="0.3">
      <c r="A322">
        <v>500321</v>
      </c>
      <c r="B322">
        <v>52413</v>
      </c>
      <c r="C322" t="s">
        <v>4</v>
      </c>
      <c r="D322" t="s">
        <v>36</v>
      </c>
      <c r="E322" s="1">
        <v>45987</v>
      </c>
      <c r="F322" t="s">
        <v>821</v>
      </c>
      <c r="G322" s="1">
        <v>46002</v>
      </c>
      <c r="H322" s="1" t="str">
        <f t="shared" si="8"/>
        <v>Thursday</v>
      </c>
      <c r="I322">
        <v>39</v>
      </c>
      <c r="J322" t="s">
        <v>31</v>
      </c>
      <c r="K322">
        <v>0</v>
      </c>
      <c r="L322">
        <v>0</v>
      </c>
      <c r="M322">
        <v>0</v>
      </c>
      <c r="N322">
        <v>0</v>
      </c>
      <c r="O322">
        <v>0</v>
      </c>
      <c r="P322" t="str">
        <f t="shared" si="9"/>
        <v>Non Chronic</v>
      </c>
      <c r="Q322">
        <v>0</v>
      </c>
      <c r="R322">
        <v>0</v>
      </c>
      <c r="S322" t="s">
        <v>22</v>
      </c>
    </row>
    <row r="323" spans="1:19" x14ac:dyDescent="0.3">
      <c r="A323">
        <v>500322</v>
      </c>
      <c r="B323">
        <v>58967</v>
      </c>
      <c r="C323" t="s">
        <v>8</v>
      </c>
      <c r="D323" t="s">
        <v>58</v>
      </c>
      <c r="E323" s="1">
        <v>46011</v>
      </c>
      <c r="F323" t="s">
        <v>277</v>
      </c>
      <c r="G323" s="1">
        <v>46014</v>
      </c>
      <c r="H323" s="1" t="str">
        <f t="shared" ref="H323:H386" si="10">TEXT(G323,"dddd")</f>
        <v>Tuesday</v>
      </c>
      <c r="I323">
        <v>49</v>
      </c>
      <c r="J323" t="s">
        <v>20</v>
      </c>
      <c r="K323">
        <v>1</v>
      </c>
      <c r="L323">
        <v>1</v>
      </c>
      <c r="M323">
        <v>0</v>
      </c>
      <c r="N323">
        <v>0</v>
      </c>
      <c r="O323">
        <v>0</v>
      </c>
      <c r="P323" t="str">
        <f t="shared" ref="P323:P386" si="11">IF(OR(L323=1,M323=1),"Chronic","Non Chronic")</f>
        <v>Chronic</v>
      </c>
      <c r="Q323">
        <v>1</v>
      </c>
      <c r="R323">
        <v>0</v>
      </c>
      <c r="S323" t="s">
        <v>0</v>
      </c>
    </row>
    <row r="324" spans="1:19" x14ac:dyDescent="0.3">
      <c r="A324">
        <v>500323</v>
      </c>
      <c r="B324">
        <v>51586</v>
      </c>
      <c r="C324" t="s">
        <v>4</v>
      </c>
      <c r="D324" t="s">
        <v>19</v>
      </c>
      <c r="E324" s="1">
        <v>46163</v>
      </c>
      <c r="F324" t="s">
        <v>820</v>
      </c>
      <c r="G324" s="1">
        <v>46173</v>
      </c>
      <c r="H324" s="1" t="str">
        <f t="shared" si="10"/>
        <v>Sunday</v>
      </c>
      <c r="I324">
        <v>21</v>
      </c>
      <c r="J324" t="s">
        <v>45</v>
      </c>
      <c r="K324">
        <v>0</v>
      </c>
      <c r="L324">
        <v>0</v>
      </c>
      <c r="M324">
        <v>0</v>
      </c>
      <c r="N324">
        <v>0</v>
      </c>
      <c r="O324">
        <v>0</v>
      </c>
      <c r="P324" t="str">
        <f t="shared" si="11"/>
        <v>Non Chronic</v>
      </c>
      <c r="Q324">
        <v>1</v>
      </c>
      <c r="R324">
        <v>1</v>
      </c>
      <c r="S324" t="s">
        <v>22</v>
      </c>
    </row>
    <row r="325" spans="1:19" x14ac:dyDescent="0.3">
      <c r="A325">
        <v>500324</v>
      </c>
      <c r="B325">
        <v>10235</v>
      </c>
      <c r="C325" t="s">
        <v>8</v>
      </c>
      <c r="D325" t="s">
        <v>36</v>
      </c>
      <c r="E325" s="1">
        <v>46041</v>
      </c>
      <c r="F325" t="s">
        <v>819</v>
      </c>
      <c r="G325" s="1">
        <v>46061</v>
      </c>
      <c r="H325" s="1" t="str">
        <f t="shared" si="10"/>
        <v>Sunday</v>
      </c>
      <c r="I325">
        <v>79</v>
      </c>
      <c r="J325" t="s">
        <v>31</v>
      </c>
      <c r="K325">
        <v>1</v>
      </c>
      <c r="L325">
        <v>0</v>
      </c>
      <c r="M325">
        <v>0</v>
      </c>
      <c r="N325">
        <v>0</v>
      </c>
      <c r="O325">
        <v>0</v>
      </c>
      <c r="P325" t="str">
        <f t="shared" si="11"/>
        <v>Non Chronic</v>
      </c>
      <c r="Q325">
        <v>1</v>
      </c>
      <c r="R325">
        <v>0</v>
      </c>
      <c r="S325" t="s">
        <v>9</v>
      </c>
    </row>
    <row r="326" spans="1:19" x14ac:dyDescent="0.3">
      <c r="A326">
        <v>500325</v>
      </c>
      <c r="B326">
        <v>41194</v>
      </c>
      <c r="C326" t="s">
        <v>8</v>
      </c>
      <c r="D326" t="s">
        <v>19</v>
      </c>
      <c r="E326" s="1">
        <v>46149</v>
      </c>
      <c r="F326" t="s">
        <v>345</v>
      </c>
      <c r="G326" s="1">
        <v>46156</v>
      </c>
      <c r="H326" s="1" t="str">
        <f t="shared" si="10"/>
        <v>Thursday</v>
      </c>
      <c r="I326">
        <v>17</v>
      </c>
      <c r="J326" t="s">
        <v>31</v>
      </c>
      <c r="K326">
        <v>0</v>
      </c>
      <c r="L326">
        <v>0</v>
      </c>
      <c r="M326">
        <v>0</v>
      </c>
      <c r="N326">
        <v>0</v>
      </c>
      <c r="O326">
        <v>0</v>
      </c>
      <c r="P326" t="str">
        <f t="shared" si="11"/>
        <v>Non Chronic</v>
      </c>
      <c r="Q326">
        <v>0</v>
      </c>
      <c r="R326">
        <v>0</v>
      </c>
      <c r="S326" t="s">
        <v>30</v>
      </c>
    </row>
    <row r="327" spans="1:19" x14ac:dyDescent="0.3">
      <c r="A327">
        <v>500326</v>
      </c>
      <c r="B327">
        <v>97821</v>
      </c>
      <c r="C327" t="s">
        <v>8</v>
      </c>
      <c r="D327" t="s">
        <v>7</v>
      </c>
      <c r="E327" s="1">
        <v>46155</v>
      </c>
      <c r="F327" t="s">
        <v>818</v>
      </c>
      <c r="G327" s="1">
        <v>46157</v>
      </c>
      <c r="H327" s="1" t="str">
        <f t="shared" si="10"/>
        <v>Friday</v>
      </c>
      <c r="I327">
        <v>13</v>
      </c>
      <c r="J327" t="s">
        <v>17</v>
      </c>
      <c r="K327">
        <v>0</v>
      </c>
      <c r="L327">
        <v>0</v>
      </c>
      <c r="M327">
        <v>0</v>
      </c>
      <c r="N327">
        <v>0</v>
      </c>
      <c r="O327">
        <v>0</v>
      </c>
      <c r="P327" t="str">
        <f t="shared" si="11"/>
        <v>Non Chronic</v>
      </c>
      <c r="Q327">
        <v>1</v>
      </c>
      <c r="R327">
        <v>1</v>
      </c>
      <c r="S327" t="s">
        <v>30</v>
      </c>
    </row>
    <row r="328" spans="1:19" x14ac:dyDescent="0.3">
      <c r="A328">
        <v>500327</v>
      </c>
      <c r="B328">
        <v>43640</v>
      </c>
      <c r="C328" t="s">
        <v>4</v>
      </c>
      <c r="D328" t="s">
        <v>36</v>
      </c>
      <c r="E328" s="1">
        <v>46114</v>
      </c>
      <c r="F328" t="s">
        <v>674</v>
      </c>
      <c r="G328" s="1">
        <v>46134</v>
      </c>
      <c r="H328" s="1" t="str">
        <f t="shared" si="10"/>
        <v>Wednesday</v>
      </c>
      <c r="I328">
        <v>61</v>
      </c>
      <c r="J328" t="s">
        <v>17</v>
      </c>
      <c r="K328">
        <v>1</v>
      </c>
      <c r="L328">
        <v>0</v>
      </c>
      <c r="M328">
        <v>0</v>
      </c>
      <c r="N328">
        <v>0</v>
      </c>
      <c r="O328">
        <v>0</v>
      </c>
      <c r="P328" t="str">
        <f t="shared" si="11"/>
        <v>Non Chronic</v>
      </c>
      <c r="Q328">
        <v>1</v>
      </c>
      <c r="R328">
        <v>0</v>
      </c>
      <c r="S328" t="s">
        <v>9</v>
      </c>
    </row>
    <row r="329" spans="1:19" x14ac:dyDescent="0.3">
      <c r="A329">
        <v>500328</v>
      </c>
      <c r="B329">
        <v>72847</v>
      </c>
      <c r="C329" t="s">
        <v>4</v>
      </c>
      <c r="D329" t="s">
        <v>28</v>
      </c>
      <c r="E329" s="1">
        <v>46028</v>
      </c>
      <c r="F329" t="s">
        <v>296</v>
      </c>
      <c r="G329" s="1">
        <v>46030</v>
      </c>
      <c r="H329" s="1" t="str">
        <f t="shared" si="10"/>
        <v>Thursday</v>
      </c>
      <c r="I329">
        <v>53</v>
      </c>
      <c r="J329" t="s">
        <v>10</v>
      </c>
      <c r="K329">
        <v>0</v>
      </c>
      <c r="L329">
        <v>0</v>
      </c>
      <c r="M329">
        <v>1</v>
      </c>
      <c r="N329">
        <v>1</v>
      </c>
      <c r="O329">
        <v>0</v>
      </c>
      <c r="P329" t="str">
        <f t="shared" si="11"/>
        <v>Chronic</v>
      </c>
      <c r="Q329">
        <v>1</v>
      </c>
      <c r="R329">
        <v>0</v>
      </c>
      <c r="S329" t="s">
        <v>0</v>
      </c>
    </row>
    <row r="330" spans="1:19" x14ac:dyDescent="0.3">
      <c r="A330">
        <v>500329</v>
      </c>
      <c r="B330">
        <v>59212</v>
      </c>
      <c r="C330" t="s">
        <v>4</v>
      </c>
      <c r="D330" t="s">
        <v>58</v>
      </c>
      <c r="E330" s="1">
        <v>46140</v>
      </c>
      <c r="F330" t="s">
        <v>568</v>
      </c>
      <c r="G330" s="1">
        <v>46150</v>
      </c>
      <c r="H330" s="1" t="str">
        <f t="shared" si="10"/>
        <v>Friday</v>
      </c>
      <c r="I330">
        <v>50</v>
      </c>
      <c r="J330" t="s">
        <v>12</v>
      </c>
      <c r="K330">
        <v>0</v>
      </c>
      <c r="L330">
        <v>1</v>
      </c>
      <c r="M330">
        <v>0</v>
      </c>
      <c r="N330">
        <v>0</v>
      </c>
      <c r="O330">
        <v>0</v>
      </c>
      <c r="P330" t="str">
        <f t="shared" si="11"/>
        <v>Chronic</v>
      </c>
      <c r="Q330">
        <v>1</v>
      </c>
      <c r="R330">
        <v>0</v>
      </c>
      <c r="S330" t="s">
        <v>0</v>
      </c>
    </row>
    <row r="331" spans="1:19" x14ac:dyDescent="0.3">
      <c r="A331">
        <v>500330</v>
      </c>
      <c r="B331">
        <v>89602</v>
      </c>
      <c r="C331" t="s">
        <v>8</v>
      </c>
      <c r="D331" t="s">
        <v>28</v>
      </c>
      <c r="E331" s="1">
        <v>46047</v>
      </c>
      <c r="F331" t="s">
        <v>444</v>
      </c>
      <c r="G331" s="1">
        <v>46052</v>
      </c>
      <c r="H331" s="1" t="str">
        <f t="shared" si="10"/>
        <v>Friday</v>
      </c>
      <c r="I331">
        <v>50</v>
      </c>
      <c r="J331" t="s">
        <v>17</v>
      </c>
      <c r="K331">
        <v>0</v>
      </c>
      <c r="L331">
        <v>1</v>
      </c>
      <c r="M331">
        <v>0</v>
      </c>
      <c r="N331">
        <v>0</v>
      </c>
      <c r="O331">
        <v>0</v>
      </c>
      <c r="P331" t="str">
        <f t="shared" si="11"/>
        <v>Chronic</v>
      </c>
      <c r="Q331">
        <v>0</v>
      </c>
      <c r="R331">
        <v>0</v>
      </c>
      <c r="S331" t="s">
        <v>0</v>
      </c>
    </row>
    <row r="332" spans="1:19" x14ac:dyDescent="0.3">
      <c r="A332">
        <v>500331</v>
      </c>
      <c r="B332">
        <v>96585</v>
      </c>
      <c r="C332" t="s">
        <v>8</v>
      </c>
      <c r="D332" t="s">
        <v>25</v>
      </c>
      <c r="E332" s="1">
        <v>46046</v>
      </c>
      <c r="F332" t="s">
        <v>817</v>
      </c>
      <c r="G332" s="1">
        <v>46053</v>
      </c>
      <c r="H332" s="1" t="str">
        <f t="shared" si="10"/>
        <v>Saturday</v>
      </c>
      <c r="I332">
        <v>37</v>
      </c>
      <c r="J332" t="s">
        <v>45</v>
      </c>
      <c r="K332">
        <v>0</v>
      </c>
      <c r="L332">
        <v>0</v>
      </c>
      <c r="M332">
        <v>0</v>
      </c>
      <c r="N332">
        <v>1</v>
      </c>
      <c r="O332">
        <v>0</v>
      </c>
      <c r="P332" t="str">
        <f t="shared" si="11"/>
        <v>Non Chronic</v>
      </c>
      <c r="Q332">
        <v>0</v>
      </c>
      <c r="R332">
        <v>1</v>
      </c>
      <c r="S332" t="s">
        <v>22</v>
      </c>
    </row>
    <row r="333" spans="1:19" x14ac:dyDescent="0.3">
      <c r="A333">
        <v>500332</v>
      </c>
      <c r="B333">
        <v>57294</v>
      </c>
      <c r="C333" t="s">
        <v>4</v>
      </c>
      <c r="D333" t="s">
        <v>3</v>
      </c>
      <c r="E333" s="1">
        <v>46078</v>
      </c>
      <c r="F333" t="s">
        <v>270</v>
      </c>
      <c r="G333" s="1">
        <v>46093</v>
      </c>
      <c r="H333" s="1" t="str">
        <f t="shared" si="10"/>
        <v>Thursday</v>
      </c>
      <c r="I333">
        <v>20</v>
      </c>
      <c r="J333" t="s">
        <v>15</v>
      </c>
      <c r="K333">
        <v>1</v>
      </c>
      <c r="L333">
        <v>0</v>
      </c>
      <c r="M333">
        <v>0</v>
      </c>
      <c r="N333">
        <v>0</v>
      </c>
      <c r="O333">
        <v>0</v>
      </c>
      <c r="P333" t="str">
        <f t="shared" si="11"/>
        <v>Non Chronic</v>
      </c>
      <c r="Q333">
        <v>1</v>
      </c>
      <c r="R333">
        <v>0</v>
      </c>
      <c r="S333" t="s">
        <v>22</v>
      </c>
    </row>
    <row r="334" spans="1:19" x14ac:dyDescent="0.3">
      <c r="A334">
        <v>500333</v>
      </c>
      <c r="B334">
        <v>22712</v>
      </c>
      <c r="C334" t="s">
        <v>4</v>
      </c>
      <c r="D334" t="s">
        <v>14</v>
      </c>
      <c r="E334" s="1">
        <v>46026</v>
      </c>
      <c r="F334" t="s">
        <v>773</v>
      </c>
      <c r="G334" s="1">
        <v>46031</v>
      </c>
      <c r="H334" s="1" t="str">
        <f t="shared" si="10"/>
        <v>Friday</v>
      </c>
      <c r="I334">
        <v>39</v>
      </c>
      <c r="J334" t="s">
        <v>31</v>
      </c>
      <c r="K334">
        <v>1</v>
      </c>
      <c r="L334">
        <v>0</v>
      </c>
      <c r="M334">
        <v>0</v>
      </c>
      <c r="N334">
        <v>0</v>
      </c>
      <c r="O334">
        <v>0</v>
      </c>
      <c r="P334" t="str">
        <f t="shared" si="11"/>
        <v>Non Chronic</v>
      </c>
      <c r="Q334">
        <v>1</v>
      </c>
      <c r="R334">
        <v>0</v>
      </c>
      <c r="S334" t="s">
        <v>22</v>
      </c>
    </row>
    <row r="335" spans="1:19" x14ac:dyDescent="0.3">
      <c r="A335">
        <v>500334</v>
      </c>
      <c r="B335">
        <v>71727</v>
      </c>
      <c r="C335" t="s">
        <v>8</v>
      </c>
      <c r="D335" t="s">
        <v>25</v>
      </c>
      <c r="E335" s="1">
        <v>46155</v>
      </c>
      <c r="F335" t="s">
        <v>424</v>
      </c>
      <c r="G335" s="1">
        <v>46175</v>
      </c>
      <c r="H335" s="1" t="str">
        <f t="shared" si="10"/>
        <v>Tuesday</v>
      </c>
      <c r="I335">
        <v>24</v>
      </c>
      <c r="J335" t="s">
        <v>15</v>
      </c>
      <c r="K335">
        <v>1</v>
      </c>
      <c r="L335">
        <v>0</v>
      </c>
      <c r="M335">
        <v>0</v>
      </c>
      <c r="N335">
        <v>0</v>
      </c>
      <c r="O335">
        <v>0</v>
      </c>
      <c r="P335" t="str">
        <f t="shared" si="11"/>
        <v>Non Chronic</v>
      </c>
      <c r="Q335">
        <v>1</v>
      </c>
      <c r="R335">
        <v>0</v>
      </c>
      <c r="S335" t="s">
        <v>22</v>
      </c>
    </row>
    <row r="336" spans="1:19" x14ac:dyDescent="0.3">
      <c r="A336">
        <v>500335</v>
      </c>
      <c r="B336">
        <v>44510</v>
      </c>
      <c r="C336" t="s">
        <v>8</v>
      </c>
      <c r="D336" t="s">
        <v>7</v>
      </c>
      <c r="E336" s="1">
        <v>46058</v>
      </c>
      <c r="F336" t="s">
        <v>727</v>
      </c>
      <c r="G336" s="1">
        <v>46059</v>
      </c>
      <c r="H336" s="1" t="str">
        <f t="shared" si="10"/>
        <v>Friday</v>
      </c>
      <c r="I336">
        <v>57</v>
      </c>
      <c r="J336" t="s">
        <v>5</v>
      </c>
      <c r="K336">
        <v>0</v>
      </c>
      <c r="L336">
        <v>0</v>
      </c>
      <c r="M336">
        <v>0</v>
      </c>
      <c r="N336">
        <v>0</v>
      </c>
      <c r="O336">
        <v>0</v>
      </c>
      <c r="P336" t="str">
        <f t="shared" si="11"/>
        <v>Non Chronic</v>
      </c>
      <c r="Q336">
        <v>1</v>
      </c>
      <c r="R336">
        <v>0</v>
      </c>
      <c r="S336" t="s">
        <v>0</v>
      </c>
    </row>
    <row r="337" spans="1:19" x14ac:dyDescent="0.3">
      <c r="A337">
        <v>500336</v>
      </c>
      <c r="B337">
        <v>64262</v>
      </c>
      <c r="C337" t="s">
        <v>4</v>
      </c>
      <c r="D337" t="s">
        <v>36</v>
      </c>
      <c r="E337" s="1">
        <v>46072</v>
      </c>
      <c r="F337" t="s">
        <v>599</v>
      </c>
      <c r="G337" s="1">
        <v>46082</v>
      </c>
      <c r="H337" s="1" t="str">
        <f t="shared" si="10"/>
        <v>Sunday</v>
      </c>
      <c r="I337">
        <v>35</v>
      </c>
      <c r="J337" t="s">
        <v>23</v>
      </c>
      <c r="K337">
        <v>1</v>
      </c>
      <c r="L337">
        <v>0</v>
      </c>
      <c r="M337">
        <v>0</v>
      </c>
      <c r="N337">
        <v>0</v>
      </c>
      <c r="O337">
        <v>0</v>
      </c>
      <c r="P337" t="str">
        <f t="shared" si="11"/>
        <v>Non Chronic</v>
      </c>
      <c r="Q337">
        <v>0</v>
      </c>
      <c r="R337">
        <v>0</v>
      </c>
      <c r="S337" t="s">
        <v>22</v>
      </c>
    </row>
    <row r="338" spans="1:19" x14ac:dyDescent="0.3">
      <c r="A338">
        <v>500337</v>
      </c>
      <c r="B338">
        <v>40886</v>
      </c>
      <c r="C338" t="s">
        <v>8</v>
      </c>
      <c r="D338" t="s">
        <v>25</v>
      </c>
      <c r="E338" s="1">
        <v>46061</v>
      </c>
      <c r="F338" t="s">
        <v>816</v>
      </c>
      <c r="G338" s="1">
        <v>46071</v>
      </c>
      <c r="H338" s="1" t="str">
        <f t="shared" si="10"/>
        <v>Wednesday</v>
      </c>
      <c r="I338">
        <v>21</v>
      </c>
      <c r="J338" t="s">
        <v>15</v>
      </c>
      <c r="K338">
        <v>1</v>
      </c>
      <c r="L338">
        <v>0</v>
      </c>
      <c r="M338">
        <v>0</v>
      </c>
      <c r="N338">
        <v>0</v>
      </c>
      <c r="O338">
        <v>0</v>
      </c>
      <c r="P338" t="str">
        <f t="shared" si="11"/>
        <v>Non Chronic</v>
      </c>
      <c r="Q338">
        <v>1</v>
      </c>
      <c r="R338">
        <v>0</v>
      </c>
      <c r="S338" t="s">
        <v>22</v>
      </c>
    </row>
    <row r="339" spans="1:19" x14ac:dyDescent="0.3">
      <c r="A339">
        <v>500338</v>
      </c>
      <c r="B339">
        <v>84905</v>
      </c>
      <c r="C339" t="s">
        <v>4</v>
      </c>
      <c r="D339" t="s">
        <v>58</v>
      </c>
      <c r="E339" s="1">
        <v>46025</v>
      </c>
      <c r="F339" t="s">
        <v>815</v>
      </c>
      <c r="G339" s="1">
        <v>46026</v>
      </c>
      <c r="H339" s="1" t="str">
        <f t="shared" si="10"/>
        <v>Sunday</v>
      </c>
      <c r="I339">
        <v>31</v>
      </c>
      <c r="J339" t="s">
        <v>10</v>
      </c>
      <c r="K339">
        <v>0</v>
      </c>
      <c r="L339">
        <v>0</v>
      </c>
      <c r="M339">
        <v>0</v>
      </c>
      <c r="N339">
        <v>0</v>
      </c>
      <c r="O339">
        <v>0</v>
      </c>
      <c r="P339" t="str">
        <f t="shared" si="11"/>
        <v>Non Chronic</v>
      </c>
      <c r="Q339">
        <v>1</v>
      </c>
      <c r="R339">
        <v>0</v>
      </c>
      <c r="S339" t="s">
        <v>22</v>
      </c>
    </row>
    <row r="340" spans="1:19" x14ac:dyDescent="0.3">
      <c r="A340">
        <v>500339</v>
      </c>
      <c r="B340">
        <v>15593</v>
      </c>
      <c r="C340" t="s">
        <v>8</v>
      </c>
      <c r="D340" t="s">
        <v>58</v>
      </c>
      <c r="E340" s="1">
        <v>46074</v>
      </c>
      <c r="F340" t="s">
        <v>814</v>
      </c>
      <c r="G340" s="1">
        <v>46076</v>
      </c>
      <c r="H340" s="1" t="str">
        <f t="shared" si="10"/>
        <v>Monday</v>
      </c>
      <c r="I340">
        <v>46</v>
      </c>
      <c r="J340" t="s">
        <v>23</v>
      </c>
      <c r="K340">
        <v>0</v>
      </c>
      <c r="L340">
        <v>0</v>
      </c>
      <c r="M340">
        <v>0</v>
      </c>
      <c r="N340">
        <v>0</v>
      </c>
      <c r="O340">
        <v>0</v>
      </c>
      <c r="P340" t="str">
        <f t="shared" si="11"/>
        <v>Non Chronic</v>
      </c>
      <c r="Q340">
        <v>0</v>
      </c>
      <c r="R340">
        <v>0</v>
      </c>
      <c r="S340" t="s">
        <v>0</v>
      </c>
    </row>
    <row r="341" spans="1:19" x14ac:dyDescent="0.3">
      <c r="A341">
        <v>500340</v>
      </c>
      <c r="B341">
        <v>18783</v>
      </c>
      <c r="C341" t="s">
        <v>4</v>
      </c>
      <c r="D341" t="s">
        <v>3</v>
      </c>
      <c r="E341" s="1">
        <v>46045</v>
      </c>
      <c r="F341" t="s">
        <v>314</v>
      </c>
      <c r="G341" s="1">
        <v>46060</v>
      </c>
      <c r="H341" s="1" t="str">
        <f t="shared" si="10"/>
        <v>Saturday</v>
      </c>
      <c r="I341">
        <v>26</v>
      </c>
      <c r="J341" t="s">
        <v>12</v>
      </c>
      <c r="K341">
        <v>1</v>
      </c>
      <c r="L341">
        <v>0</v>
      </c>
      <c r="M341">
        <v>0</v>
      </c>
      <c r="N341">
        <v>0</v>
      </c>
      <c r="O341">
        <v>0</v>
      </c>
      <c r="P341" t="str">
        <f t="shared" si="11"/>
        <v>Non Chronic</v>
      </c>
      <c r="Q341">
        <v>1</v>
      </c>
      <c r="R341">
        <v>0</v>
      </c>
      <c r="S341" t="s">
        <v>22</v>
      </c>
    </row>
    <row r="342" spans="1:19" x14ac:dyDescent="0.3">
      <c r="A342">
        <v>500341</v>
      </c>
      <c r="B342">
        <v>11620</v>
      </c>
      <c r="C342" t="s">
        <v>8</v>
      </c>
      <c r="D342" t="s">
        <v>58</v>
      </c>
      <c r="E342" s="1">
        <v>46102</v>
      </c>
      <c r="F342" t="s">
        <v>492</v>
      </c>
      <c r="G342" s="1">
        <v>46109</v>
      </c>
      <c r="H342" s="1" t="str">
        <f t="shared" si="10"/>
        <v>Saturday</v>
      </c>
      <c r="I342">
        <v>21</v>
      </c>
      <c r="J342" t="s">
        <v>23</v>
      </c>
      <c r="K342">
        <v>0</v>
      </c>
      <c r="L342">
        <v>0</v>
      </c>
      <c r="M342">
        <v>0</v>
      </c>
      <c r="N342">
        <v>0</v>
      </c>
      <c r="O342">
        <v>0</v>
      </c>
      <c r="P342" t="str">
        <f t="shared" si="11"/>
        <v>Non Chronic</v>
      </c>
      <c r="Q342">
        <v>0</v>
      </c>
      <c r="R342">
        <v>0</v>
      </c>
      <c r="S342" t="s">
        <v>22</v>
      </c>
    </row>
    <row r="343" spans="1:19" x14ac:dyDescent="0.3">
      <c r="A343">
        <v>500342</v>
      </c>
      <c r="B343">
        <v>23845</v>
      </c>
      <c r="C343" t="s">
        <v>4</v>
      </c>
      <c r="D343" t="s">
        <v>25</v>
      </c>
      <c r="E343" s="1">
        <v>46048</v>
      </c>
      <c r="F343" t="s">
        <v>813</v>
      </c>
      <c r="G343" s="1">
        <v>46055</v>
      </c>
      <c r="H343" s="1" t="str">
        <f t="shared" si="10"/>
        <v>Monday</v>
      </c>
      <c r="I343">
        <v>42</v>
      </c>
      <c r="J343" t="s">
        <v>12</v>
      </c>
      <c r="K343">
        <v>1</v>
      </c>
      <c r="L343">
        <v>0</v>
      </c>
      <c r="M343">
        <v>0</v>
      </c>
      <c r="N343">
        <v>0</v>
      </c>
      <c r="O343">
        <v>0</v>
      </c>
      <c r="P343" t="str">
        <f t="shared" si="11"/>
        <v>Non Chronic</v>
      </c>
      <c r="Q343">
        <v>1</v>
      </c>
      <c r="R343">
        <v>0</v>
      </c>
      <c r="S343" t="s">
        <v>0</v>
      </c>
    </row>
    <row r="344" spans="1:19" x14ac:dyDescent="0.3">
      <c r="A344">
        <v>500343</v>
      </c>
      <c r="B344">
        <v>32570</v>
      </c>
      <c r="C344" t="s">
        <v>8</v>
      </c>
      <c r="D344" t="s">
        <v>3</v>
      </c>
      <c r="E344" s="1">
        <v>46066</v>
      </c>
      <c r="F344" t="s">
        <v>556</v>
      </c>
      <c r="G344" s="1">
        <v>46069</v>
      </c>
      <c r="H344" s="1" t="str">
        <f t="shared" si="10"/>
        <v>Monday</v>
      </c>
      <c r="I344">
        <v>42</v>
      </c>
      <c r="J344" t="s">
        <v>31</v>
      </c>
      <c r="K344">
        <v>1</v>
      </c>
      <c r="L344">
        <v>0</v>
      </c>
      <c r="M344">
        <v>1</v>
      </c>
      <c r="N344">
        <v>0</v>
      </c>
      <c r="O344">
        <v>0</v>
      </c>
      <c r="P344" t="str">
        <f t="shared" si="11"/>
        <v>Chronic</v>
      </c>
      <c r="Q344">
        <v>1</v>
      </c>
      <c r="R344">
        <v>0</v>
      </c>
      <c r="S344" t="s">
        <v>0</v>
      </c>
    </row>
    <row r="345" spans="1:19" x14ac:dyDescent="0.3">
      <c r="A345">
        <v>500344</v>
      </c>
      <c r="B345">
        <v>45203</v>
      </c>
      <c r="C345" t="s">
        <v>8</v>
      </c>
      <c r="D345" t="s">
        <v>36</v>
      </c>
      <c r="E345" s="1">
        <v>46053</v>
      </c>
      <c r="F345" t="s">
        <v>812</v>
      </c>
      <c r="G345" s="1">
        <v>46068</v>
      </c>
      <c r="H345" s="1" t="str">
        <f t="shared" si="10"/>
        <v>Sunday</v>
      </c>
      <c r="I345">
        <v>27</v>
      </c>
      <c r="J345" t="s">
        <v>20</v>
      </c>
      <c r="K345">
        <v>1</v>
      </c>
      <c r="L345">
        <v>0</v>
      </c>
      <c r="M345">
        <v>0</v>
      </c>
      <c r="N345">
        <v>0</v>
      </c>
      <c r="O345">
        <v>0</v>
      </c>
      <c r="P345" t="str">
        <f t="shared" si="11"/>
        <v>Non Chronic</v>
      </c>
      <c r="Q345">
        <v>0</v>
      </c>
      <c r="R345">
        <v>0</v>
      </c>
      <c r="S345" t="s">
        <v>22</v>
      </c>
    </row>
    <row r="346" spans="1:19" x14ac:dyDescent="0.3">
      <c r="A346">
        <v>500345</v>
      </c>
      <c r="B346">
        <v>39878</v>
      </c>
      <c r="C346" t="s">
        <v>4</v>
      </c>
      <c r="D346" t="s">
        <v>25</v>
      </c>
      <c r="E346" s="1">
        <v>46015</v>
      </c>
      <c r="F346" t="s">
        <v>641</v>
      </c>
      <c r="G346" s="1">
        <v>46018</v>
      </c>
      <c r="H346" s="1" t="str">
        <f t="shared" si="10"/>
        <v>Saturday</v>
      </c>
      <c r="I346">
        <v>28</v>
      </c>
      <c r="J346" t="s">
        <v>10</v>
      </c>
      <c r="K346">
        <v>1</v>
      </c>
      <c r="L346">
        <v>0</v>
      </c>
      <c r="M346">
        <v>0</v>
      </c>
      <c r="N346">
        <v>0</v>
      </c>
      <c r="O346">
        <v>0</v>
      </c>
      <c r="P346" t="str">
        <f t="shared" si="11"/>
        <v>Non Chronic</v>
      </c>
      <c r="Q346">
        <v>1</v>
      </c>
      <c r="R346">
        <v>0</v>
      </c>
      <c r="S346" t="s">
        <v>22</v>
      </c>
    </row>
    <row r="347" spans="1:19" x14ac:dyDescent="0.3">
      <c r="A347">
        <v>500346</v>
      </c>
      <c r="B347">
        <v>37707</v>
      </c>
      <c r="C347" t="s">
        <v>8</v>
      </c>
      <c r="D347" t="s">
        <v>7</v>
      </c>
      <c r="E347" s="1">
        <v>46161</v>
      </c>
      <c r="F347" t="s">
        <v>496</v>
      </c>
      <c r="G347" s="1">
        <v>46162</v>
      </c>
      <c r="H347" s="1" t="str">
        <f t="shared" si="10"/>
        <v>Wednesday</v>
      </c>
      <c r="I347">
        <v>42</v>
      </c>
      <c r="J347" t="s">
        <v>12</v>
      </c>
      <c r="K347">
        <v>1</v>
      </c>
      <c r="L347">
        <v>0</v>
      </c>
      <c r="M347">
        <v>0</v>
      </c>
      <c r="N347">
        <v>0</v>
      </c>
      <c r="O347">
        <v>0</v>
      </c>
      <c r="P347" t="str">
        <f t="shared" si="11"/>
        <v>Non Chronic</v>
      </c>
      <c r="Q347">
        <v>1</v>
      </c>
      <c r="R347">
        <v>0</v>
      </c>
      <c r="S347" t="s">
        <v>0</v>
      </c>
    </row>
    <row r="348" spans="1:19" x14ac:dyDescent="0.3">
      <c r="A348">
        <v>500347</v>
      </c>
      <c r="B348">
        <v>27779</v>
      </c>
      <c r="C348" t="s">
        <v>4</v>
      </c>
      <c r="D348" t="s">
        <v>28</v>
      </c>
      <c r="E348" s="1">
        <v>46007</v>
      </c>
      <c r="F348" t="s">
        <v>288</v>
      </c>
      <c r="G348" s="1">
        <v>46027</v>
      </c>
      <c r="H348" s="1" t="str">
        <f t="shared" si="10"/>
        <v>Monday</v>
      </c>
      <c r="I348">
        <v>9</v>
      </c>
      <c r="J348" t="s">
        <v>45</v>
      </c>
      <c r="K348">
        <v>0</v>
      </c>
      <c r="L348">
        <v>0</v>
      </c>
      <c r="M348">
        <v>0</v>
      </c>
      <c r="N348">
        <v>0</v>
      </c>
      <c r="O348">
        <v>0</v>
      </c>
      <c r="P348" t="str">
        <f t="shared" si="11"/>
        <v>Non Chronic</v>
      </c>
      <c r="Q348">
        <v>1</v>
      </c>
      <c r="R348">
        <v>1</v>
      </c>
      <c r="S348" t="s">
        <v>30</v>
      </c>
    </row>
    <row r="349" spans="1:19" x14ac:dyDescent="0.3">
      <c r="A349">
        <v>500348</v>
      </c>
      <c r="B349">
        <v>14334</v>
      </c>
      <c r="C349" t="s">
        <v>8</v>
      </c>
      <c r="D349" t="s">
        <v>36</v>
      </c>
      <c r="E349" s="1">
        <v>46091</v>
      </c>
      <c r="F349" t="s">
        <v>562</v>
      </c>
      <c r="G349" s="1">
        <v>46101</v>
      </c>
      <c r="H349" s="1" t="str">
        <f t="shared" si="10"/>
        <v>Friday</v>
      </c>
      <c r="I349">
        <v>9</v>
      </c>
      <c r="J349" t="s">
        <v>20</v>
      </c>
      <c r="K349">
        <v>0</v>
      </c>
      <c r="L349">
        <v>0</v>
      </c>
      <c r="M349">
        <v>0</v>
      </c>
      <c r="N349">
        <v>0</v>
      </c>
      <c r="O349">
        <v>0</v>
      </c>
      <c r="P349" t="str">
        <f t="shared" si="11"/>
        <v>Non Chronic</v>
      </c>
      <c r="Q349">
        <v>1</v>
      </c>
      <c r="R349">
        <v>0</v>
      </c>
      <c r="S349" t="s">
        <v>30</v>
      </c>
    </row>
    <row r="350" spans="1:19" x14ac:dyDescent="0.3">
      <c r="A350">
        <v>500349</v>
      </c>
      <c r="B350">
        <v>76207</v>
      </c>
      <c r="C350" t="s">
        <v>8</v>
      </c>
      <c r="D350" t="s">
        <v>58</v>
      </c>
      <c r="E350" s="1">
        <v>46132</v>
      </c>
      <c r="F350" t="s">
        <v>255</v>
      </c>
      <c r="G350" s="1">
        <v>46139</v>
      </c>
      <c r="H350" s="1" t="str">
        <f t="shared" si="10"/>
        <v>Monday</v>
      </c>
      <c r="I350">
        <v>23</v>
      </c>
      <c r="J350" t="s">
        <v>17</v>
      </c>
      <c r="K350">
        <v>0</v>
      </c>
      <c r="L350">
        <v>0</v>
      </c>
      <c r="M350">
        <v>0</v>
      </c>
      <c r="N350">
        <v>0</v>
      </c>
      <c r="O350">
        <v>0</v>
      </c>
      <c r="P350" t="str">
        <f t="shared" si="11"/>
        <v>Non Chronic</v>
      </c>
      <c r="Q350">
        <v>1</v>
      </c>
      <c r="R350">
        <v>0</v>
      </c>
      <c r="S350" t="s">
        <v>22</v>
      </c>
    </row>
    <row r="351" spans="1:19" x14ac:dyDescent="0.3">
      <c r="A351">
        <v>500350</v>
      </c>
      <c r="B351">
        <v>86923</v>
      </c>
      <c r="C351" t="s">
        <v>8</v>
      </c>
      <c r="D351" t="s">
        <v>19</v>
      </c>
      <c r="E351" s="1">
        <v>46158</v>
      </c>
      <c r="F351" t="s">
        <v>569</v>
      </c>
      <c r="G351" s="1">
        <v>46168</v>
      </c>
      <c r="H351" s="1" t="str">
        <f t="shared" si="10"/>
        <v>Tuesday</v>
      </c>
      <c r="I351">
        <v>33</v>
      </c>
      <c r="J351" t="s">
        <v>31</v>
      </c>
      <c r="K351">
        <v>1</v>
      </c>
      <c r="L351">
        <v>0</v>
      </c>
      <c r="M351">
        <v>0</v>
      </c>
      <c r="N351">
        <v>0</v>
      </c>
      <c r="O351">
        <v>0</v>
      </c>
      <c r="P351" t="str">
        <f t="shared" si="11"/>
        <v>Non Chronic</v>
      </c>
      <c r="Q351">
        <v>1</v>
      </c>
      <c r="R351">
        <v>0</v>
      </c>
      <c r="S351" t="s">
        <v>22</v>
      </c>
    </row>
    <row r="352" spans="1:19" x14ac:dyDescent="0.3">
      <c r="A352">
        <v>500351</v>
      </c>
      <c r="B352">
        <v>31352</v>
      </c>
      <c r="C352" t="s">
        <v>4</v>
      </c>
      <c r="D352" t="s">
        <v>14</v>
      </c>
      <c r="E352" s="1">
        <v>46084</v>
      </c>
      <c r="F352" t="s">
        <v>811</v>
      </c>
      <c r="G352" s="1">
        <v>46084</v>
      </c>
      <c r="H352" s="1" t="str">
        <f t="shared" si="10"/>
        <v>Tuesday</v>
      </c>
      <c r="I352">
        <v>44</v>
      </c>
      <c r="J352" t="s">
        <v>45</v>
      </c>
      <c r="K352">
        <v>0</v>
      </c>
      <c r="L352">
        <v>0</v>
      </c>
      <c r="M352">
        <v>0</v>
      </c>
      <c r="N352">
        <v>0</v>
      </c>
      <c r="O352">
        <v>0</v>
      </c>
      <c r="P352" t="str">
        <f t="shared" si="11"/>
        <v>Non Chronic</v>
      </c>
      <c r="Q352">
        <v>0</v>
      </c>
      <c r="R352">
        <v>0</v>
      </c>
      <c r="S352" t="s">
        <v>0</v>
      </c>
    </row>
    <row r="353" spans="1:19" x14ac:dyDescent="0.3">
      <c r="A353">
        <v>500352</v>
      </c>
      <c r="B353">
        <v>11166</v>
      </c>
      <c r="C353" t="s">
        <v>8</v>
      </c>
      <c r="D353" t="s">
        <v>28</v>
      </c>
      <c r="E353" s="1">
        <v>45987</v>
      </c>
      <c r="F353" t="s">
        <v>511</v>
      </c>
      <c r="G353" s="1">
        <v>45997</v>
      </c>
      <c r="H353" s="1" t="str">
        <f t="shared" si="10"/>
        <v>Saturday</v>
      </c>
      <c r="I353">
        <v>67</v>
      </c>
      <c r="J353" t="s">
        <v>31</v>
      </c>
      <c r="K353">
        <v>0</v>
      </c>
      <c r="L353">
        <v>1</v>
      </c>
      <c r="M353">
        <v>0</v>
      </c>
      <c r="N353">
        <v>0</v>
      </c>
      <c r="O353">
        <v>0</v>
      </c>
      <c r="P353" t="str">
        <f t="shared" si="11"/>
        <v>Chronic</v>
      </c>
      <c r="Q353">
        <v>1</v>
      </c>
      <c r="R353">
        <v>0</v>
      </c>
      <c r="S353" t="s">
        <v>9</v>
      </c>
    </row>
    <row r="354" spans="1:19" x14ac:dyDescent="0.3">
      <c r="A354">
        <v>500353</v>
      </c>
      <c r="B354">
        <v>55706</v>
      </c>
      <c r="C354" t="s">
        <v>8</v>
      </c>
      <c r="D354" t="s">
        <v>25</v>
      </c>
      <c r="E354" s="1">
        <v>46139</v>
      </c>
      <c r="F354" t="s">
        <v>810</v>
      </c>
      <c r="G354" s="1">
        <v>46146</v>
      </c>
      <c r="H354" s="1" t="str">
        <f t="shared" si="10"/>
        <v>Monday</v>
      </c>
      <c r="I354">
        <v>55</v>
      </c>
      <c r="J354" t="s">
        <v>45</v>
      </c>
      <c r="K354">
        <v>1</v>
      </c>
      <c r="L354">
        <v>1</v>
      </c>
      <c r="M354">
        <v>0</v>
      </c>
      <c r="N354">
        <v>0</v>
      </c>
      <c r="O354">
        <v>0</v>
      </c>
      <c r="P354" t="str">
        <f t="shared" si="11"/>
        <v>Chronic</v>
      </c>
      <c r="Q354">
        <v>1</v>
      </c>
      <c r="R354">
        <v>0</v>
      </c>
      <c r="S354" t="s">
        <v>0</v>
      </c>
    </row>
    <row r="355" spans="1:19" x14ac:dyDescent="0.3">
      <c r="A355">
        <v>500354</v>
      </c>
      <c r="B355">
        <v>59051</v>
      </c>
      <c r="C355" t="s">
        <v>8</v>
      </c>
      <c r="D355" t="s">
        <v>25</v>
      </c>
      <c r="E355" s="1">
        <v>46125</v>
      </c>
      <c r="F355" t="s">
        <v>809</v>
      </c>
      <c r="G355" s="1">
        <v>46155</v>
      </c>
      <c r="H355" s="1" t="str">
        <f t="shared" si="10"/>
        <v>Wednesday</v>
      </c>
      <c r="I355">
        <v>34</v>
      </c>
      <c r="J355" t="s">
        <v>15</v>
      </c>
      <c r="K355">
        <v>1</v>
      </c>
      <c r="L355">
        <v>0</v>
      </c>
      <c r="M355">
        <v>0</v>
      </c>
      <c r="N355">
        <v>1</v>
      </c>
      <c r="O355">
        <v>0</v>
      </c>
      <c r="P355" t="str">
        <f t="shared" si="11"/>
        <v>Non Chronic</v>
      </c>
      <c r="Q355">
        <v>1</v>
      </c>
      <c r="R355">
        <v>0</v>
      </c>
      <c r="S355" t="s">
        <v>22</v>
      </c>
    </row>
    <row r="356" spans="1:19" x14ac:dyDescent="0.3">
      <c r="A356">
        <v>500355</v>
      </c>
      <c r="B356">
        <v>44229</v>
      </c>
      <c r="C356" t="s">
        <v>8</v>
      </c>
      <c r="D356" t="s">
        <v>14</v>
      </c>
      <c r="E356" s="1">
        <v>46157</v>
      </c>
      <c r="F356" t="s">
        <v>808</v>
      </c>
      <c r="G356" s="1">
        <v>46172</v>
      </c>
      <c r="H356" s="1" t="str">
        <f t="shared" si="10"/>
        <v>Saturday</v>
      </c>
      <c r="I356">
        <v>37</v>
      </c>
      <c r="J356" t="s">
        <v>31</v>
      </c>
      <c r="K356">
        <v>0</v>
      </c>
      <c r="L356">
        <v>0</v>
      </c>
      <c r="M356">
        <v>0</v>
      </c>
      <c r="N356">
        <v>0</v>
      </c>
      <c r="O356">
        <v>0</v>
      </c>
      <c r="P356" t="str">
        <f t="shared" si="11"/>
        <v>Non Chronic</v>
      </c>
      <c r="Q356">
        <v>0</v>
      </c>
      <c r="R356">
        <v>0</v>
      </c>
      <c r="S356" t="s">
        <v>22</v>
      </c>
    </row>
    <row r="357" spans="1:19" x14ac:dyDescent="0.3">
      <c r="A357">
        <v>500356</v>
      </c>
      <c r="B357">
        <v>96577</v>
      </c>
      <c r="C357" t="s">
        <v>8</v>
      </c>
      <c r="D357" t="s">
        <v>28</v>
      </c>
      <c r="E357" s="1">
        <v>46053</v>
      </c>
      <c r="F357" t="s">
        <v>807</v>
      </c>
      <c r="G357" s="1">
        <v>46060</v>
      </c>
      <c r="H357" s="1" t="str">
        <f t="shared" si="10"/>
        <v>Saturday</v>
      </c>
      <c r="I357">
        <v>17</v>
      </c>
      <c r="J357" t="s">
        <v>17</v>
      </c>
      <c r="K357">
        <v>0</v>
      </c>
      <c r="L357">
        <v>0</v>
      </c>
      <c r="M357">
        <v>0</v>
      </c>
      <c r="N357">
        <v>0</v>
      </c>
      <c r="O357">
        <v>0</v>
      </c>
      <c r="P357" t="str">
        <f t="shared" si="11"/>
        <v>Non Chronic</v>
      </c>
      <c r="Q357">
        <v>0</v>
      </c>
      <c r="R357">
        <v>1</v>
      </c>
      <c r="S357" t="s">
        <v>30</v>
      </c>
    </row>
    <row r="358" spans="1:19" x14ac:dyDescent="0.3">
      <c r="A358">
        <v>500357</v>
      </c>
      <c r="B358">
        <v>64862</v>
      </c>
      <c r="C358" t="s">
        <v>8</v>
      </c>
      <c r="D358" t="s">
        <v>3</v>
      </c>
      <c r="E358" s="1">
        <v>46069</v>
      </c>
      <c r="F358" t="s">
        <v>650</v>
      </c>
      <c r="G358" s="1">
        <v>46079</v>
      </c>
      <c r="H358" s="1" t="str">
        <f t="shared" si="10"/>
        <v>Thursday</v>
      </c>
      <c r="I358">
        <v>37</v>
      </c>
      <c r="J358" t="s">
        <v>17</v>
      </c>
      <c r="K358">
        <v>0</v>
      </c>
      <c r="L358">
        <v>0</v>
      </c>
      <c r="M358">
        <v>0</v>
      </c>
      <c r="N358">
        <v>0</v>
      </c>
      <c r="O358">
        <v>0</v>
      </c>
      <c r="P358" t="str">
        <f t="shared" si="11"/>
        <v>Non Chronic</v>
      </c>
      <c r="Q358">
        <v>1</v>
      </c>
      <c r="R358">
        <v>0</v>
      </c>
      <c r="S358" t="s">
        <v>22</v>
      </c>
    </row>
    <row r="359" spans="1:19" x14ac:dyDescent="0.3">
      <c r="A359">
        <v>500358</v>
      </c>
      <c r="B359">
        <v>72355</v>
      </c>
      <c r="C359" t="s">
        <v>8</v>
      </c>
      <c r="D359" t="s">
        <v>25</v>
      </c>
      <c r="E359" s="1">
        <v>46074</v>
      </c>
      <c r="F359" t="s">
        <v>806</v>
      </c>
      <c r="G359" s="1">
        <v>46079</v>
      </c>
      <c r="H359" s="1" t="str">
        <f t="shared" si="10"/>
        <v>Thursday</v>
      </c>
      <c r="I359">
        <v>32</v>
      </c>
      <c r="J359" t="s">
        <v>31</v>
      </c>
      <c r="K359">
        <v>0</v>
      </c>
      <c r="L359">
        <v>0</v>
      </c>
      <c r="M359">
        <v>0</v>
      </c>
      <c r="N359">
        <v>0</v>
      </c>
      <c r="O359">
        <v>0</v>
      </c>
      <c r="P359" t="str">
        <f t="shared" si="11"/>
        <v>Non Chronic</v>
      </c>
      <c r="Q359">
        <v>0</v>
      </c>
      <c r="R359">
        <v>0</v>
      </c>
      <c r="S359" t="s">
        <v>22</v>
      </c>
    </row>
    <row r="360" spans="1:19" x14ac:dyDescent="0.3">
      <c r="A360">
        <v>500359</v>
      </c>
      <c r="B360">
        <v>83273</v>
      </c>
      <c r="C360" t="s">
        <v>4</v>
      </c>
      <c r="D360" t="s">
        <v>19</v>
      </c>
      <c r="E360" s="1">
        <v>46122</v>
      </c>
      <c r="F360" t="s">
        <v>805</v>
      </c>
      <c r="G360" s="1">
        <v>46124</v>
      </c>
      <c r="H360" s="1" t="str">
        <f t="shared" si="10"/>
        <v>Sunday</v>
      </c>
      <c r="I360">
        <v>44</v>
      </c>
      <c r="J360" t="s">
        <v>15</v>
      </c>
      <c r="K360">
        <v>0</v>
      </c>
      <c r="L360">
        <v>0</v>
      </c>
      <c r="M360">
        <v>0</v>
      </c>
      <c r="N360">
        <v>0</v>
      </c>
      <c r="O360">
        <v>0</v>
      </c>
      <c r="P360" t="str">
        <f t="shared" si="11"/>
        <v>Non Chronic</v>
      </c>
      <c r="Q360">
        <v>0</v>
      </c>
      <c r="R360">
        <v>0</v>
      </c>
      <c r="S360" t="s">
        <v>0</v>
      </c>
    </row>
    <row r="361" spans="1:19" x14ac:dyDescent="0.3">
      <c r="A361">
        <v>500360</v>
      </c>
      <c r="B361">
        <v>44152</v>
      </c>
      <c r="C361" t="s">
        <v>8</v>
      </c>
      <c r="D361" t="s">
        <v>7</v>
      </c>
      <c r="E361" s="1">
        <v>46073</v>
      </c>
      <c r="F361" t="s">
        <v>804</v>
      </c>
      <c r="G361" s="1">
        <v>46080</v>
      </c>
      <c r="H361" s="1" t="str">
        <f t="shared" si="10"/>
        <v>Friday</v>
      </c>
      <c r="I361">
        <v>21</v>
      </c>
      <c r="J361" t="s">
        <v>15</v>
      </c>
      <c r="K361">
        <v>1</v>
      </c>
      <c r="L361">
        <v>0</v>
      </c>
      <c r="M361">
        <v>0</v>
      </c>
      <c r="N361">
        <v>1</v>
      </c>
      <c r="O361">
        <v>0</v>
      </c>
      <c r="P361" t="str">
        <f t="shared" si="11"/>
        <v>Non Chronic</v>
      </c>
      <c r="Q361">
        <v>1</v>
      </c>
      <c r="R361">
        <v>0</v>
      </c>
      <c r="S361" t="s">
        <v>22</v>
      </c>
    </row>
    <row r="362" spans="1:19" x14ac:dyDescent="0.3">
      <c r="A362">
        <v>500361</v>
      </c>
      <c r="B362">
        <v>71894</v>
      </c>
      <c r="C362" t="s">
        <v>4</v>
      </c>
      <c r="D362" t="s">
        <v>58</v>
      </c>
      <c r="E362" s="1">
        <v>46091</v>
      </c>
      <c r="F362" t="s">
        <v>803</v>
      </c>
      <c r="G362" s="1">
        <v>46121</v>
      </c>
      <c r="H362" s="1" t="str">
        <f t="shared" si="10"/>
        <v>Thursday</v>
      </c>
      <c r="I362">
        <v>48</v>
      </c>
      <c r="J362" t="s">
        <v>23</v>
      </c>
      <c r="K362">
        <v>1</v>
      </c>
      <c r="L362">
        <v>0</v>
      </c>
      <c r="M362">
        <v>0</v>
      </c>
      <c r="N362">
        <v>0</v>
      </c>
      <c r="O362">
        <v>0</v>
      </c>
      <c r="P362" t="str">
        <f t="shared" si="11"/>
        <v>Non Chronic</v>
      </c>
      <c r="Q362">
        <v>1</v>
      </c>
      <c r="R362">
        <v>0</v>
      </c>
      <c r="S362" t="s">
        <v>0</v>
      </c>
    </row>
    <row r="363" spans="1:19" x14ac:dyDescent="0.3">
      <c r="A363">
        <v>500362</v>
      </c>
      <c r="B363">
        <v>69974</v>
      </c>
      <c r="C363" t="s">
        <v>4</v>
      </c>
      <c r="D363" t="s">
        <v>19</v>
      </c>
      <c r="E363" s="1">
        <v>46080</v>
      </c>
      <c r="F363" t="s">
        <v>197</v>
      </c>
      <c r="G363" s="1">
        <v>46080</v>
      </c>
      <c r="H363" s="1" t="str">
        <f t="shared" si="10"/>
        <v>Friday</v>
      </c>
      <c r="I363">
        <v>68</v>
      </c>
      <c r="J363" t="s">
        <v>31</v>
      </c>
      <c r="K363">
        <v>0</v>
      </c>
      <c r="L363">
        <v>0</v>
      </c>
      <c r="M363">
        <v>0</v>
      </c>
      <c r="N363">
        <v>0</v>
      </c>
      <c r="O363">
        <v>0</v>
      </c>
      <c r="P363" t="str">
        <f t="shared" si="11"/>
        <v>Non Chronic</v>
      </c>
      <c r="Q363">
        <v>1</v>
      </c>
      <c r="R363">
        <v>0</v>
      </c>
      <c r="S363" t="s">
        <v>9</v>
      </c>
    </row>
    <row r="364" spans="1:19" x14ac:dyDescent="0.3">
      <c r="A364">
        <v>500363</v>
      </c>
      <c r="B364">
        <v>32099</v>
      </c>
      <c r="C364" t="s">
        <v>4</v>
      </c>
      <c r="D364" t="s">
        <v>7</v>
      </c>
      <c r="E364" s="1">
        <v>46055</v>
      </c>
      <c r="F364" t="s">
        <v>580</v>
      </c>
      <c r="G364" s="1">
        <v>46062</v>
      </c>
      <c r="H364" s="1" t="str">
        <f t="shared" si="10"/>
        <v>Monday</v>
      </c>
      <c r="I364">
        <v>35</v>
      </c>
      <c r="J364" t="s">
        <v>15</v>
      </c>
      <c r="K364">
        <v>0</v>
      </c>
      <c r="L364">
        <v>0</v>
      </c>
      <c r="M364">
        <v>0</v>
      </c>
      <c r="N364">
        <v>0</v>
      </c>
      <c r="O364">
        <v>0</v>
      </c>
      <c r="P364" t="str">
        <f t="shared" si="11"/>
        <v>Non Chronic</v>
      </c>
      <c r="Q364">
        <v>1</v>
      </c>
      <c r="R364">
        <v>0</v>
      </c>
      <c r="S364" t="s">
        <v>22</v>
      </c>
    </row>
    <row r="365" spans="1:19" x14ac:dyDescent="0.3">
      <c r="A365">
        <v>500364</v>
      </c>
      <c r="B365">
        <v>60242</v>
      </c>
      <c r="C365" t="s">
        <v>4</v>
      </c>
      <c r="D365" t="s">
        <v>36</v>
      </c>
      <c r="E365" s="1">
        <v>46031</v>
      </c>
      <c r="F365" t="s">
        <v>802</v>
      </c>
      <c r="G365" s="1">
        <v>46041</v>
      </c>
      <c r="H365" s="1" t="str">
        <f t="shared" si="10"/>
        <v>Monday</v>
      </c>
      <c r="I365">
        <v>46</v>
      </c>
      <c r="J365" t="s">
        <v>12</v>
      </c>
      <c r="K365">
        <v>0</v>
      </c>
      <c r="L365">
        <v>0</v>
      </c>
      <c r="M365">
        <v>0</v>
      </c>
      <c r="N365">
        <v>0</v>
      </c>
      <c r="O365">
        <v>0</v>
      </c>
      <c r="P365" t="str">
        <f t="shared" si="11"/>
        <v>Non Chronic</v>
      </c>
      <c r="Q365">
        <v>1</v>
      </c>
      <c r="R365">
        <v>1</v>
      </c>
      <c r="S365" t="s">
        <v>0</v>
      </c>
    </row>
    <row r="366" spans="1:19" x14ac:dyDescent="0.3">
      <c r="A366">
        <v>500365</v>
      </c>
      <c r="B366">
        <v>10540</v>
      </c>
      <c r="C366" t="s">
        <v>4</v>
      </c>
      <c r="D366" t="s">
        <v>14</v>
      </c>
      <c r="E366" s="1">
        <v>46093</v>
      </c>
      <c r="F366" t="s">
        <v>801</v>
      </c>
      <c r="G366" s="1">
        <v>46094</v>
      </c>
      <c r="H366" s="1" t="str">
        <f t="shared" si="10"/>
        <v>Friday</v>
      </c>
      <c r="I366">
        <v>51</v>
      </c>
      <c r="J366" t="s">
        <v>20</v>
      </c>
      <c r="K366">
        <v>1</v>
      </c>
      <c r="L366">
        <v>1</v>
      </c>
      <c r="M366">
        <v>0</v>
      </c>
      <c r="N366">
        <v>0</v>
      </c>
      <c r="O366">
        <v>0</v>
      </c>
      <c r="P366" t="str">
        <f t="shared" si="11"/>
        <v>Chronic</v>
      </c>
      <c r="Q366">
        <v>0</v>
      </c>
      <c r="R366">
        <v>0</v>
      </c>
      <c r="S366" t="s">
        <v>0</v>
      </c>
    </row>
    <row r="367" spans="1:19" x14ac:dyDescent="0.3">
      <c r="A367">
        <v>500366</v>
      </c>
      <c r="B367">
        <v>48119</v>
      </c>
      <c r="C367" t="s">
        <v>8</v>
      </c>
      <c r="D367" t="s">
        <v>19</v>
      </c>
      <c r="E367" s="1">
        <v>46137</v>
      </c>
      <c r="F367" t="s">
        <v>800</v>
      </c>
      <c r="G367" s="1">
        <v>46157</v>
      </c>
      <c r="H367" s="1" t="str">
        <f t="shared" si="10"/>
        <v>Friday</v>
      </c>
      <c r="I367">
        <v>29</v>
      </c>
      <c r="J367" t="s">
        <v>23</v>
      </c>
      <c r="K367">
        <v>0</v>
      </c>
      <c r="L367">
        <v>0</v>
      </c>
      <c r="M367">
        <v>0</v>
      </c>
      <c r="N367">
        <v>0</v>
      </c>
      <c r="O367">
        <v>0</v>
      </c>
      <c r="P367" t="str">
        <f t="shared" si="11"/>
        <v>Non Chronic</v>
      </c>
      <c r="Q367">
        <v>1</v>
      </c>
      <c r="R367">
        <v>1</v>
      </c>
      <c r="S367" t="s">
        <v>22</v>
      </c>
    </row>
    <row r="368" spans="1:19" x14ac:dyDescent="0.3">
      <c r="A368">
        <v>500367</v>
      </c>
      <c r="B368">
        <v>62873</v>
      </c>
      <c r="C368" t="s">
        <v>4</v>
      </c>
      <c r="D368" t="s">
        <v>14</v>
      </c>
      <c r="E368" s="1">
        <v>46158</v>
      </c>
      <c r="F368" t="s">
        <v>799</v>
      </c>
      <c r="G368" s="1">
        <v>46163</v>
      </c>
      <c r="H368" s="1" t="str">
        <f t="shared" si="10"/>
        <v>Thursday</v>
      </c>
      <c r="I368">
        <v>42</v>
      </c>
      <c r="J368" t="s">
        <v>45</v>
      </c>
      <c r="K368">
        <v>0</v>
      </c>
      <c r="L368">
        <v>0</v>
      </c>
      <c r="M368">
        <v>1</v>
      </c>
      <c r="N368">
        <v>1</v>
      </c>
      <c r="O368">
        <v>0</v>
      </c>
      <c r="P368" t="str">
        <f t="shared" si="11"/>
        <v>Chronic</v>
      </c>
      <c r="Q368">
        <v>1</v>
      </c>
      <c r="R368">
        <v>0</v>
      </c>
      <c r="S368" t="s">
        <v>0</v>
      </c>
    </row>
    <row r="369" spans="1:19" x14ac:dyDescent="0.3">
      <c r="A369">
        <v>500368</v>
      </c>
      <c r="B369">
        <v>14897</v>
      </c>
      <c r="C369" t="s">
        <v>8</v>
      </c>
      <c r="D369" t="s">
        <v>25</v>
      </c>
      <c r="E369" s="1">
        <v>46022</v>
      </c>
      <c r="F369" t="s">
        <v>798</v>
      </c>
      <c r="G369" s="1">
        <v>46022</v>
      </c>
      <c r="H369" s="1" t="str">
        <f t="shared" si="10"/>
        <v>Wednesday</v>
      </c>
      <c r="I369">
        <v>38</v>
      </c>
      <c r="J369" t="s">
        <v>12</v>
      </c>
      <c r="K369">
        <v>0</v>
      </c>
      <c r="L369">
        <v>0</v>
      </c>
      <c r="M369">
        <v>0</v>
      </c>
      <c r="N369">
        <v>0</v>
      </c>
      <c r="O369">
        <v>0</v>
      </c>
      <c r="P369" t="str">
        <f t="shared" si="11"/>
        <v>Non Chronic</v>
      </c>
      <c r="Q369">
        <v>1</v>
      </c>
      <c r="R369">
        <v>0</v>
      </c>
      <c r="S369" t="s">
        <v>22</v>
      </c>
    </row>
    <row r="370" spans="1:19" x14ac:dyDescent="0.3">
      <c r="A370">
        <v>500369</v>
      </c>
      <c r="B370">
        <v>16322</v>
      </c>
      <c r="C370" t="s">
        <v>4</v>
      </c>
      <c r="D370" t="s">
        <v>3</v>
      </c>
      <c r="E370" s="1">
        <v>46046</v>
      </c>
      <c r="F370" t="s">
        <v>464</v>
      </c>
      <c r="G370" s="1">
        <v>46048</v>
      </c>
      <c r="H370" s="1" t="str">
        <f t="shared" si="10"/>
        <v>Monday</v>
      </c>
      <c r="I370">
        <v>39</v>
      </c>
      <c r="J370" t="s">
        <v>10</v>
      </c>
      <c r="K370">
        <v>1</v>
      </c>
      <c r="L370">
        <v>0</v>
      </c>
      <c r="M370">
        <v>0</v>
      </c>
      <c r="N370">
        <v>0</v>
      </c>
      <c r="O370">
        <v>0</v>
      </c>
      <c r="P370" t="str">
        <f t="shared" si="11"/>
        <v>Non Chronic</v>
      </c>
      <c r="Q370">
        <v>1</v>
      </c>
      <c r="R370">
        <v>0</v>
      </c>
      <c r="S370" t="s">
        <v>22</v>
      </c>
    </row>
    <row r="371" spans="1:19" x14ac:dyDescent="0.3">
      <c r="A371">
        <v>500370</v>
      </c>
      <c r="B371">
        <v>99881</v>
      </c>
      <c r="C371" t="s">
        <v>4</v>
      </c>
      <c r="D371" t="s">
        <v>25</v>
      </c>
      <c r="E371" s="1">
        <v>46014</v>
      </c>
      <c r="F371" t="s">
        <v>268</v>
      </c>
      <c r="G371" s="1">
        <v>46016</v>
      </c>
      <c r="H371" s="1" t="str">
        <f t="shared" si="10"/>
        <v>Thursday</v>
      </c>
      <c r="I371">
        <v>22</v>
      </c>
      <c r="J371" t="s">
        <v>23</v>
      </c>
      <c r="K371">
        <v>0</v>
      </c>
      <c r="L371">
        <v>0</v>
      </c>
      <c r="M371">
        <v>0</v>
      </c>
      <c r="N371">
        <v>0</v>
      </c>
      <c r="O371">
        <v>0</v>
      </c>
      <c r="P371" t="str">
        <f t="shared" si="11"/>
        <v>Non Chronic</v>
      </c>
      <c r="Q371">
        <v>1</v>
      </c>
      <c r="R371">
        <v>1</v>
      </c>
      <c r="S371" t="s">
        <v>22</v>
      </c>
    </row>
    <row r="372" spans="1:19" x14ac:dyDescent="0.3">
      <c r="A372">
        <v>500371</v>
      </c>
      <c r="B372">
        <v>23751</v>
      </c>
      <c r="C372" t="s">
        <v>4</v>
      </c>
      <c r="D372" t="s">
        <v>25</v>
      </c>
      <c r="E372" s="1">
        <v>46036</v>
      </c>
      <c r="F372" t="s">
        <v>797</v>
      </c>
      <c r="G372" s="1">
        <v>46043</v>
      </c>
      <c r="H372" s="1" t="str">
        <f t="shared" si="10"/>
        <v>Wednesday</v>
      </c>
      <c r="I372">
        <v>38</v>
      </c>
      <c r="J372" t="s">
        <v>15</v>
      </c>
      <c r="K372">
        <v>0</v>
      </c>
      <c r="L372">
        <v>0</v>
      </c>
      <c r="M372">
        <v>0</v>
      </c>
      <c r="N372">
        <v>0</v>
      </c>
      <c r="O372">
        <v>0</v>
      </c>
      <c r="P372" t="str">
        <f t="shared" si="11"/>
        <v>Non Chronic</v>
      </c>
      <c r="Q372">
        <v>0</v>
      </c>
      <c r="R372">
        <v>0</v>
      </c>
      <c r="S372" t="s">
        <v>22</v>
      </c>
    </row>
    <row r="373" spans="1:19" x14ac:dyDescent="0.3">
      <c r="A373">
        <v>500372</v>
      </c>
      <c r="B373">
        <v>36433</v>
      </c>
      <c r="C373" t="s">
        <v>8</v>
      </c>
      <c r="D373" t="s">
        <v>3</v>
      </c>
      <c r="E373" s="1">
        <v>46007</v>
      </c>
      <c r="F373" t="s">
        <v>699</v>
      </c>
      <c r="G373" s="1">
        <v>46027</v>
      </c>
      <c r="H373" s="1" t="str">
        <f t="shared" si="10"/>
        <v>Monday</v>
      </c>
      <c r="I373">
        <v>47</v>
      </c>
      <c r="J373" t="s">
        <v>5</v>
      </c>
      <c r="K373">
        <v>0</v>
      </c>
      <c r="L373">
        <v>1</v>
      </c>
      <c r="M373">
        <v>0</v>
      </c>
      <c r="N373">
        <v>0</v>
      </c>
      <c r="O373">
        <v>0</v>
      </c>
      <c r="P373" t="str">
        <f t="shared" si="11"/>
        <v>Chronic</v>
      </c>
      <c r="Q373">
        <v>1</v>
      </c>
      <c r="R373">
        <v>1</v>
      </c>
      <c r="S373" t="s">
        <v>0</v>
      </c>
    </row>
    <row r="374" spans="1:19" x14ac:dyDescent="0.3">
      <c r="A374">
        <v>500373</v>
      </c>
      <c r="B374">
        <v>98032</v>
      </c>
      <c r="C374" t="s">
        <v>4</v>
      </c>
      <c r="D374" t="s">
        <v>58</v>
      </c>
      <c r="E374" s="1">
        <v>46122</v>
      </c>
      <c r="F374" t="s">
        <v>796</v>
      </c>
      <c r="G374" s="1">
        <v>46123</v>
      </c>
      <c r="H374" s="1" t="str">
        <f t="shared" si="10"/>
        <v>Saturday</v>
      </c>
      <c r="I374">
        <v>67</v>
      </c>
      <c r="J374" t="s">
        <v>1</v>
      </c>
      <c r="K374">
        <v>1</v>
      </c>
      <c r="L374">
        <v>1</v>
      </c>
      <c r="M374">
        <v>1</v>
      </c>
      <c r="N374">
        <v>0</v>
      </c>
      <c r="O374">
        <v>0</v>
      </c>
      <c r="P374" t="str">
        <f t="shared" si="11"/>
        <v>Chronic</v>
      </c>
      <c r="Q374">
        <v>1</v>
      </c>
      <c r="R374">
        <v>0</v>
      </c>
      <c r="S374" t="s">
        <v>9</v>
      </c>
    </row>
    <row r="375" spans="1:19" x14ac:dyDescent="0.3">
      <c r="A375">
        <v>500374</v>
      </c>
      <c r="B375">
        <v>48800</v>
      </c>
      <c r="C375" t="s">
        <v>8</v>
      </c>
      <c r="D375" t="s">
        <v>7</v>
      </c>
      <c r="E375" s="1">
        <v>46023</v>
      </c>
      <c r="F375" t="s">
        <v>795</v>
      </c>
      <c r="G375" s="1">
        <v>46033</v>
      </c>
      <c r="H375" s="1" t="str">
        <f t="shared" si="10"/>
        <v>Sunday</v>
      </c>
      <c r="I375">
        <v>57</v>
      </c>
      <c r="J375" t="s">
        <v>17</v>
      </c>
      <c r="K375">
        <v>0</v>
      </c>
      <c r="L375">
        <v>0</v>
      </c>
      <c r="M375">
        <v>0</v>
      </c>
      <c r="N375">
        <v>0</v>
      </c>
      <c r="O375">
        <v>0</v>
      </c>
      <c r="P375" t="str">
        <f t="shared" si="11"/>
        <v>Non Chronic</v>
      </c>
      <c r="Q375">
        <v>1</v>
      </c>
      <c r="R375">
        <v>1</v>
      </c>
      <c r="S375" t="s">
        <v>0</v>
      </c>
    </row>
    <row r="376" spans="1:19" x14ac:dyDescent="0.3">
      <c r="A376">
        <v>500375</v>
      </c>
      <c r="B376">
        <v>16014</v>
      </c>
      <c r="C376" t="s">
        <v>4</v>
      </c>
      <c r="D376" t="s">
        <v>28</v>
      </c>
      <c r="E376" s="1">
        <v>46034</v>
      </c>
      <c r="F376" t="s">
        <v>735</v>
      </c>
      <c r="G376" s="1">
        <v>46035</v>
      </c>
      <c r="H376" s="1" t="str">
        <f t="shared" si="10"/>
        <v>Tuesday</v>
      </c>
      <c r="I376">
        <v>81</v>
      </c>
      <c r="J376" t="s">
        <v>31</v>
      </c>
      <c r="K376">
        <v>1</v>
      </c>
      <c r="L376">
        <v>0</v>
      </c>
      <c r="M376">
        <v>0</v>
      </c>
      <c r="N376">
        <v>0</v>
      </c>
      <c r="O376">
        <v>0</v>
      </c>
      <c r="P376" t="str">
        <f t="shared" si="11"/>
        <v>Non Chronic</v>
      </c>
      <c r="Q376">
        <v>0</v>
      </c>
      <c r="R376">
        <v>1</v>
      </c>
      <c r="S376" t="s">
        <v>9</v>
      </c>
    </row>
    <row r="377" spans="1:19" x14ac:dyDescent="0.3">
      <c r="A377">
        <v>500376</v>
      </c>
      <c r="B377">
        <v>62530</v>
      </c>
      <c r="C377" t="s">
        <v>8</v>
      </c>
      <c r="D377" t="s">
        <v>7</v>
      </c>
      <c r="E377" s="1">
        <v>46161</v>
      </c>
      <c r="F377" t="s">
        <v>239</v>
      </c>
      <c r="G377" s="1">
        <v>46166</v>
      </c>
      <c r="H377" s="1" t="str">
        <f t="shared" si="10"/>
        <v>Sunday</v>
      </c>
      <c r="I377">
        <v>22</v>
      </c>
      <c r="J377" t="s">
        <v>5</v>
      </c>
      <c r="K377">
        <v>1</v>
      </c>
      <c r="L377">
        <v>0</v>
      </c>
      <c r="M377">
        <v>0</v>
      </c>
      <c r="N377">
        <v>0</v>
      </c>
      <c r="O377">
        <v>0</v>
      </c>
      <c r="P377" t="str">
        <f t="shared" si="11"/>
        <v>Non Chronic</v>
      </c>
      <c r="Q377">
        <v>1</v>
      </c>
      <c r="R377">
        <v>0</v>
      </c>
      <c r="S377" t="s">
        <v>22</v>
      </c>
    </row>
    <row r="378" spans="1:19" x14ac:dyDescent="0.3">
      <c r="A378">
        <v>500377</v>
      </c>
      <c r="B378">
        <v>31860</v>
      </c>
      <c r="C378" t="s">
        <v>4</v>
      </c>
      <c r="D378" t="s">
        <v>28</v>
      </c>
      <c r="E378" s="1">
        <v>46054</v>
      </c>
      <c r="F378" t="s">
        <v>794</v>
      </c>
      <c r="G378" s="1">
        <v>46061</v>
      </c>
      <c r="H378" s="1" t="str">
        <f t="shared" si="10"/>
        <v>Sunday</v>
      </c>
      <c r="I378">
        <v>55</v>
      </c>
      <c r="J378" t="s">
        <v>17</v>
      </c>
      <c r="K378">
        <v>0</v>
      </c>
      <c r="L378">
        <v>1</v>
      </c>
      <c r="M378">
        <v>0</v>
      </c>
      <c r="N378">
        <v>0</v>
      </c>
      <c r="O378">
        <v>0</v>
      </c>
      <c r="P378" t="str">
        <f t="shared" si="11"/>
        <v>Chronic</v>
      </c>
      <c r="Q378">
        <v>1</v>
      </c>
      <c r="R378">
        <v>0</v>
      </c>
      <c r="S378" t="s">
        <v>0</v>
      </c>
    </row>
    <row r="379" spans="1:19" x14ac:dyDescent="0.3">
      <c r="A379">
        <v>500378</v>
      </c>
      <c r="B379">
        <v>57002</v>
      </c>
      <c r="C379" t="s">
        <v>4</v>
      </c>
      <c r="D379" t="s">
        <v>28</v>
      </c>
      <c r="E379" s="1">
        <v>46159</v>
      </c>
      <c r="F379" t="s">
        <v>319</v>
      </c>
      <c r="G379" s="1">
        <v>46159</v>
      </c>
      <c r="H379" s="1" t="str">
        <f t="shared" si="10"/>
        <v>Sunday</v>
      </c>
      <c r="I379">
        <v>41</v>
      </c>
      <c r="J379" t="s">
        <v>10</v>
      </c>
      <c r="K379">
        <v>1</v>
      </c>
      <c r="L379">
        <v>0</v>
      </c>
      <c r="M379">
        <v>1</v>
      </c>
      <c r="N379">
        <v>0</v>
      </c>
      <c r="O379">
        <v>0</v>
      </c>
      <c r="P379" t="str">
        <f t="shared" si="11"/>
        <v>Chronic</v>
      </c>
      <c r="Q379">
        <v>1</v>
      </c>
      <c r="R379">
        <v>0</v>
      </c>
      <c r="S379" t="s">
        <v>0</v>
      </c>
    </row>
    <row r="380" spans="1:19" x14ac:dyDescent="0.3">
      <c r="A380">
        <v>500379</v>
      </c>
      <c r="B380">
        <v>98857</v>
      </c>
      <c r="C380" t="s">
        <v>4</v>
      </c>
      <c r="D380" t="s">
        <v>19</v>
      </c>
      <c r="E380" s="1">
        <v>46051</v>
      </c>
      <c r="F380" t="s">
        <v>357</v>
      </c>
      <c r="G380" s="1">
        <v>46058</v>
      </c>
      <c r="H380" s="1" t="str">
        <f t="shared" si="10"/>
        <v>Thursday</v>
      </c>
      <c r="I380">
        <v>81</v>
      </c>
      <c r="J380" t="s">
        <v>12</v>
      </c>
      <c r="K380">
        <v>0</v>
      </c>
      <c r="L380">
        <v>0</v>
      </c>
      <c r="M380">
        <v>0</v>
      </c>
      <c r="N380">
        <v>0</v>
      </c>
      <c r="O380">
        <v>0</v>
      </c>
      <c r="P380" t="str">
        <f t="shared" si="11"/>
        <v>Non Chronic</v>
      </c>
      <c r="Q380">
        <v>1</v>
      </c>
      <c r="R380">
        <v>0</v>
      </c>
      <c r="S380" t="s">
        <v>9</v>
      </c>
    </row>
    <row r="381" spans="1:19" x14ac:dyDescent="0.3">
      <c r="A381">
        <v>500380</v>
      </c>
      <c r="B381">
        <v>90335</v>
      </c>
      <c r="C381" t="s">
        <v>4</v>
      </c>
      <c r="D381" t="s">
        <v>36</v>
      </c>
      <c r="E381" s="1">
        <v>46070</v>
      </c>
      <c r="F381" t="s">
        <v>563</v>
      </c>
      <c r="G381" s="1">
        <v>46090</v>
      </c>
      <c r="H381" s="1" t="str">
        <f t="shared" si="10"/>
        <v>Monday</v>
      </c>
      <c r="I381">
        <v>21</v>
      </c>
      <c r="J381" t="s">
        <v>31</v>
      </c>
      <c r="K381">
        <v>1</v>
      </c>
      <c r="L381">
        <v>0</v>
      </c>
      <c r="M381">
        <v>0</v>
      </c>
      <c r="N381">
        <v>0</v>
      </c>
      <c r="O381">
        <v>0</v>
      </c>
      <c r="P381" t="str">
        <f t="shared" si="11"/>
        <v>Non Chronic</v>
      </c>
      <c r="Q381">
        <v>1</v>
      </c>
      <c r="R381">
        <v>0</v>
      </c>
      <c r="S381" t="s">
        <v>22</v>
      </c>
    </row>
    <row r="382" spans="1:19" x14ac:dyDescent="0.3">
      <c r="A382">
        <v>500381</v>
      </c>
      <c r="B382">
        <v>41574</v>
      </c>
      <c r="C382" t="s">
        <v>8</v>
      </c>
      <c r="D382" t="s">
        <v>25</v>
      </c>
      <c r="E382" s="1">
        <v>46101</v>
      </c>
      <c r="F382" t="s">
        <v>793</v>
      </c>
      <c r="G382" s="1">
        <v>46104</v>
      </c>
      <c r="H382" s="1" t="str">
        <f t="shared" si="10"/>
        <v>Monday</v>
      </c>
      <c r="I382">
        <v>21</v>
      </c>
      <c r="J382" t="s">
        <v>17</v>
      </c>
      <c r="K382">
        <v>0</v>
      </c>
      <c r="L382">
        <v>0</v>
      </c>
      <c r="M382">
        <v>0</v>
      </c>
      <c r="N382">
        <v>0</v>
      </c>
      <c r="O382">
        <v>0</v>
      </c>
      <c r="P382" t="str">
        <f t="shared" si="11"/>
        <v>Non Chronic</v>
      </c>
      <c r="Q382">
        <v>0</v>
      </c>
      <c r="R382">
        <v>1</v>
      </c>
      <c r="S382" t="s">
        <v>22</v>
      </c>
    </row>
    <row r="383" spans="1:19" x14ac:dyDescent="0.3">
      <c r="A383">
        <v>500382</v>
      </c>
      <c r="B383">
        <v>68220</v>
      </c>
      <c r="C383" t="s">
        <v>8</v>
      </c>
      <c r="D383" t="s">
        <v>58</v>
      </c>
      <c r="E383" s="1">
        <v>46098</v>
      </c>
      <c r="F383" t="s">
        <v>792</v>
      </c>
      <c r="G383" s="1">
        <v>46128</v>
      </c>
      <c r="H383" s="1" t="str">
        <f t="shared" si="10"/>
        <v>Thursday</v>
      </c>
      <c r="I383">
        <v>26</v>
      </c>
      <c r="J383" t="s">
        <v>10</v>
      </c>
      <c r="K383">
        <v>1</v>
      </c>
      <c r="L383">
        <v>0</v>
      </c>
      <c r="M383">
        <v>0</v>
      </c>
      <c r="N383">
        <v>0</v>
      </c>
      <c r="O383">
        <v>0</v>
      </c>
      <c r="P383" t="str">
        <f t="shared" si="11"/>
        <v>Non Chronic</v>
      </c>
      <c r="Q383">
        <v>0</v>
      </c>
      <c r="R383">
        <v>1</v>
      </c>
      <c r="S383" t="s">
        <v>22</v>
      </c>
    </row>
    <row r="384" spans="1:19" x14ac:dyDescent="0.3">
      <c r="A384">
        <v>500383</v>
      </c>
      <c r="B384">
        <v>62879</v>
      </c>
      <c r="C384" t="s">
        <v>8</v>
      </c>
      <c r="D384" t="s">
        <v>36</v>
      </c>
      <c r="E384" s="1">
        <v>46014</v>
      </c>
      <c r="F384" t="s">
        <v>415</v>
      </c>
      <c r="G384" s="1">
        <v>46019</v>
      </c>
      <c r="H384" s="1" t="str">
        <f t="shared" si="10"/>
        <v>Sunday</v>
      </c>
      <c r="I384">
        <v>0</v>
      </c>
      <c r="J384" t="s">
        <v>12</v>
      </c>
      <c r="K384">
        <v>0</v>
      </c>
      <c r="L384">
        <v>0</v>
      </c>
      <c r="M384">
        <v>0</v>
      </c>
      <c r="N384">
        <v>0</v>
      </c>
      <c r="O384">
        <v>0</v>
      </c>
      <c r="P384" t="str">
        <f t="shared" si="11"/>
        <v>Non Chronic</v>
      </c>
      <c r="Q384">
        <v>0</v>
      </c>
      <c r="R384">
        <v>0</v>
      </c>
      <c r="S384" t="s">
        <v>30</v>
      </c>
    </row>
    <row r="385" spans="1:19" x14ac:dyDescent="0.3">
      <c r="A385">
        <v>500384</v>
      </c>
      <c r="B385">
        <v>91142</v>
      </c>
      <c r="C385" t="s">
        <v>8</v>
      </c>
      <c r="D385" t="s">
        <v>14</v>
      </c>
      <c r="E385" s="1">
        <v>46065</v>
      </c>
      <c r="F385" t="s">
        <v>691</v>
      </c>
      <c r="G385" s="1">
        <v>46065</v>
      </c>
      <c r="H385" s="1" t="str">
        <f t="shared" si="10"/>
        <v>Thursday</v>
      </c>
      <c r="I385">
        <v>27</v>
      </c>
      <c r="J385" t="s">
        <v>10</v>
      </c>
      <c r="K385">
        <v>1</v>
      </c>
      <c r="L385">
        <v>0</v>
      </c>
      <c r="M385">
        <v>0</v>
      </c>
      <c r="N385">
        <v>0</v>
      </c>
      <c r="O385">
        <v>0</v>
      </c>
      <c r="P385" t="str">
        <f t="shared" si="11"/>
        <v>Non Chronic</v>
      </c>
      <c r="Q385">
        <v>1</v>
      </c>
      <c r="R385">
        <v>0</v>
      </c>
      <c r="S385" t="s">
        <v>22</v>
      </c>
    </row>
    <row r="386" spans="1:19" x14ac:dyDescent="0.3">
      <c r="A386">
        <v>500385</v>
      </c>
      <c r="B386">
        <v>83420</v>
      </c>
      <c r="C386" t="s">
        <v>8</v>
      </c>
      <c r="D386" t="s">
        <v>19</v>
      </c>
      <c r="E386" s="1">
        <v>46003</v>
      </c>
      <c r="F386" t="s">
        <v>225</v>
      </c>
      <c r="G386" s="1">
        <v>46010</v>
      </c>
      <c r="H386" s="1" t="str">
        <f t="shared" si="10"/>
        <v>Friday</v>
      </c>
      <c r="I386">
        <v>22</v>
      </c>
      <c r="J386" t="s">
        <v>10</v>
      </c>
      <c r="K386">
        <v>0</v>
      </c>
      <c r="L386">
        <v>0</v>
      </c>
      <c r="M386">
        <v>0</v>
      </c>
      <c r="N386">
        <v>0</v>
      </c>
      <c r="O386">
        <v>0</v>
      </c>
      <c r="P386" t="str">
        <f t="shared" si="11"/>
        <v>Non Chronic</v>
      </c>
      <c r="Q386">
        <v>1</v>
      </c>
      <c r="R386">
        <v>0</v>
      </c>
      <c r="S386" t="s">
        <v>22</v>
      </c>
    </row>
    <row r="387" spans="1:19" x14ac:dyDescent="0.3">
      <c r="A387">
        <v>500386</v>
      </c>
      <c r="B387">
        <v>93055</v>
      </c>
      <c r="C387" t="s">
        <v>8</v>
      </c>
      <c r="D387" t="s">
        <v>19</v>
      </c>
      <c r="E387" s="1">
        <v>46010</v>
      </c>
      <c r="F387" t="s">
        <v>791</v>
      </c>
      <c r="G387" s="1">
        <v>46025</v>
      </c>
      <c r="H387" s="1" t="str">
        <f t="shared" ref="H387:H450" si="12">TEXT(G387,"dddd")</f>
        <v>Saturday</v>
      </c>
      <c r="I387">
        <v>41</v>
      </c>
      <c r="J387" t="s">
        <v>15</v>
      </c>
      <c r="K387">
        <v>0</v>
      </c>
      <c r="L387">
        <v>0</v>
      </c>
      <c r="M387">
        <v>0</v>
      </c>
      <c r="N387">
        <v>0</v>
      </c>
      <c r="O387">
        <v>0</v>
      </c>
      <c r="P387" t="str">
        <f t="shared" ref="P387:P450" si="13">IF(OR(L387=1,M387=1),"Chronic","Non Chronic")</f>
        <v>Non Chronic</v>
      </c>
      <c r="Q387">
        <v>0</v>
      </c>
      <c r="R387">
        <v>0</v>
      </c>
      <c r="S387" t="s">
        <v>0</v>
      </c>
    </row>
    <row r="388" spans="1:19" x14ac:dyDescent="0.3">
      <c r="A388">
        <v>500387</v>
      </c>
      <c r="B388">
        <v>43330</v>
      </c>
      <c r="C388" t="s">
        <v>4</v>
      </c>
      <c r="D388" t="s">
        <v>14</v>
      </c>
      <c r="E388" s="1">
        <v>46092</v>
      </c>
      <c r="F388" t="s">
        <v>459</v>
      </c>
      <c r="G388" s="1">
        <v>46094</v>
      </c>
      <c r="H388" s="1" t="str">
        <f t="shared" si="12"/>
        <v>Friday</v>
      </c>
      <c r="I388">
        <v>44</v>
      </c>
      <c r="J388" t="s">
        <v>15</v>
      </c>
      <c r="K388">
        <v>1</v>
      </c>
      <c r="L388">
        <v>0</v>
      </c>
      <c r="M388">
        <v>1</v>
      </c>
      <c r="N388">
        <v>0</v>
      </c>
      <c r="O388">
        <v>0</v>
      </c>
      <c r="P388" t="str">
        <f t="shared" si="13"/>
        <v>Chronic</v>
      </c>
      <c r="Q388">
        <v>1</v>
      </c>
      <c r="R388">
        <v>0</v>
      </c>
      <c r="S388" t="s">
        <v>0</v>
      </c>
    </row>
    <row r="389" spans="1:19" x14ac:dyDescent="0.3">
      <c r="A389">
        <v>500388</v>
      </c>
      <c r="B389">
        <v>16094</v>
      </c>
      <c r="C389" t="s">
        <v>4</v>
      </c>
      <c r="D389" t="s">
        <v>7</v>
      </c>
      <c r="E389" s="1">
        <v>46022</v>
      </c>
      <c r="F389" t="s">
        <v>487</v>
      </c>
      <c r="G389" s="1">
        <v>46025</v>
      </c>
      <c r="H389" s="1" t="str">
        <f t="shared" si="12"/>
        <v>Saturday</v>
      </c>
      <c r="I389">
        <v>75</v>
      </c>
      <c r="J389" t="s">
        <v>10</v>
      </c>
      <c r="K389">
        <v>0</v>
      </c>
      <c r="L389">
        <v>0</v>
      </c>
      <c r="M389">
        <v>1</v>
      </c>
      <c r="N389">
        <v>0</v>
      </c>
      <c r="O389">
        <v>0</v>
      </c>
      <c r="P389" t="str">
        <f t="shared" si="13"/>
        <v>Chronic</v>
      </c>
      <c r="Q389">
        <v>1</v>
      </c>
      <c r="R389">
        <v>0</v>
      </c>
      <c r="S389" t="s">
        <v>9</v>
      </c>
    </row>
    <row r="390" spans="1:19" x14ac:dyDescent="0.3">
      <c r="A390">
        <v>500389</v>
      </c>
      <c r="B390">
        <v>33226</v>
      </c>
      <c r="C390" t="s">
        <v>4</v>
      </c>
      <c r="D390" t="s">
        <v>28</v>
      </c>
      <c r="E390" s="1">
        <v>46095</v>
      </c>
      <c r="F390" t="s">
        <v>66</v>
      </c>
      <c r="G390" s="1">
        <v>46098</v>
      </c>
      <c r="H390" s="1" t="str">
        <f t="shared" si="12"/>
        <v>Tuesday</v>
      </c>
      <c r="I390">
        <v>57</v>
      </c>
      <c r="J390" t="s">
        <v>15</v>
      </c>
      <c r="K390">
        <v>1</v>
      </c>
      <c r="L390">
        <v>0</v>
      </c>
      <c r="M390">
        <v>0</v>
      </c>
      <c r="N390">
        <v>0</v>
      </c>
      <c r="O390">
        <v>0</v>
      </c>
      <c r="P390" t="str">
        <f t="shared" si="13"/>
        <v>Non Chronic</v>
      </c>
      <c r="Q390">
        <v>1</v>
      </c>
      <c r="R390">
        <v>0</v>
      </c>
      <c r="S390" t="s">
        <v>0</v>
      </c>
    </row>
    <row r="391" spans="1:19" x14ac:dyDescent="0.3">
      <c r="A391">
        <v>500390</v>
      </c>
      <c r="B391">
        <v>42537</v>
      </c>
      <c r="C391" t="s">
        <v>8</v>
      </c>
      <c r="D391" t="s">
        <v>3</v>
      </c>
      <c r="E391" s="1">
        <v>46007</v>
      </c>
      <c r="F391" t="s">
        <v>714</v>
      </c>
      <c r="G391" s="1">
        <v>46008</v>
      </c>
      <c r="H391" s="1" t="str">
        <f t="shared" si="12"/>
        <v>Wednesday</v>
      </c>
      <c r="I391">
        <v>26</v>
      </c>
      <c r="J391" t="s">
        <v>20</v>
      </c>
      <c r="K391">
        <v>1</v>
      </c>
      <c r="L391">
        <v>0</v>
      </c>
      <c r="M391">
        <v>0</v>
      </c>
      <c r="N391">
        <v>0</v>
      </c>
      <c r="O391">
        <v>0</v>
      </c>
      <c r="P391" t="str">
        <f t="shared" si="13"/>
        <v>Non Chronic</v>
      </c>
      <c r="Q391">
        <v>1</v>
      </c>
      <c r="R391">
        <v>0</v>
      </c>
      <c r="S391" t="s">
        <v>22</v>
      </c>
    </row>
    <row r="392" spans="1:19" x14ac:dyDescent="0.3">
      <c r="A392">
        <v>500391</v>
      </c>
      <c r="B392">
        <v>77147</v>
      </c>
      <c r="C392" t="s">
        <v>8</v>
      </c>
      <c r="D392" t="s">
        <v>19</v>
      </c>
      <c r="E392" s="1">
        <v>46072</v>
      </c>
      <c r="F392" t="s">
        <v>18</v>
      </c>
      <c r="G392" s="1">
        <v>46074</v>
      </c>
      <c r="H392" s="1" t="str">
        <f t="shared" si="12"/>
        <v>Saturday</v>
      </c>
      <c r="I392">
        <v>20</v>
      </c>
      <c r="J392" t="s">
        <v>12</v>
      </c>
      <c r="K392">
        <v>0</v>
      </c>
      <c r="L392">
        <v>0</v>
      </c>
      <c r="M392">
        <v>0</v>
      </c>
      <c r="N392">
        <v>0</v>
      </c>
      <c r="O392">
        <v>0</v>
      </c>
      <c r="P392" t="str">
        <f t="shared" si="13"/>
        <v>Non Chronic</v>
      </c>
      <c r="Q392">
        <v>1</v>
      </c>
      <c r="R392">
        <v>0</v>
      </c>
      <c r="S392" t="s">
        <v>22</v>
      </c>
    </row>
    <row r="393" spans="1:19" x14ac:dyDescent="0.3">
      <c r="A393">
        <v>500392</v>
      </c>
      <c r="B393">
        <v>55258</v>
      </c>
      <c r="C393" t="s">
        <v>4</v>
      </c>
      <c r="D393" t="s">
        <v>28</v>
      </c>
      <c r="E393" s="1">
        <v>46153</v>
      </c>
      <c r="F393" t="s">
        <v>790</v>
      </c>
      <c r="G393" s="1">
        <v>46160</v>
      </c>
      <c r="H393" s="1" t="str">
        <f t="shared" si="12"/>
        <v>Monday</v>
      </c>
      <c r="I393">
        <v>47</v>
      </c>
      <c r="J393" t="s">
        <v>12</v>
      </c>
      <c r="K393">
        <v>1</v>
      </c>
      <c r="L393">
        <v>0</v>
      </c>
      <c r="M393">
        <v>0</v>
      </c>
      <c r="N393">
        <v>0</v>
      </c>
      <c r="O393">
        <v>0</v>
      </c>
      <c r="P393" t="str">
        <f t="shared" si="13"/>
        <v>Non Chronic</v>
      </c>
      <c r="Q393">
        <v>0</v>
      </c>
      <c r="R393">
        <v>0</v>
      </c>
      <c r="S393" t="s">
        <v>0</v>
      </c>
    </row>
    <row r="394" spans="1:19" x14ac:dyDescent="0.3">
      <c r="A394">
        <v>500393</v>
      </c>
      <c r="B394">
        <v>98374</v>
      </c>
      <c r="C394" t="s">
        <v>8</v>
      </c>
      <c r="D394" t="s">
        <v>3</v>
      </c>
      <c r="E394" s="1">
        <v>46093</v>
      </c>
      <c r="F394" t="s">
        <v>789</v>
      </c>
      <c r="G394" s="1">
        <v>46098</v>
      </c>
      <c r="H394" s="1" t="str">
        <f t="shared" si="12"/>
        <v>Tuesday</v>
      </c>
      <c r="I394">
        <v>11</v>
      </c>
      <c r="J394" t="s">
        <v>17</v>
      </c>
      <c r="K394">
        <v>0</v>
      </c>
      <c r="L394">
        <v>0</v>
      </c>
      <c r="M394">
        <v>0</v>
      </c>
      <c r="N394">
        <v>0</v>
      </c>
      <c r="O394">
        <v>0</v>
      </c>
      <c r="P394" t="str">
        <f t="shared" si="13"/>
        <v>Non Chronic</v>
      </c>
      <c r="Q394">
        <v>1</v>
      </c>
      <c r="R394">
        <v>1</v>
      </c>
      <c r="S394" t="s">
        <v>30</v>
      </c>
    </row>
    <row r="395" spans="1:19" x14ac:dyDescent="0.3">
      <c r="A395">
        <v>500394</v>
      </c>
      <c r="B395">
        <v>97851</v>
      </c>
      <c r="C395" t="s">
        <v>4</v>
      </c>
      <c r="D395" t="s">
        <v>14</v>
      </c>
      <c r="E395" s="1">
        <v>46146</v>
      </c>
      <c r="F395" t="s">
        <v>788</v>
      </c>
      <c r="G395" s="1">
        <v>46161</v>
      </c>
      <c r="H395" s="1" t="str">
        <f t="shared" si="12"/>
        <v>Tuesday</v>
      </c>
      <c r="I395">
        <v>74</v>
      </c>
      <c r="J395" t="s">
        <v>5</v>
      </c>
      <c r="K395">
        <v>0</v>
      </c>
      <c r="L395">
        <v>0</v>
      </c>
      <c r="M395">
        <v>0</v>
      </c>
      <c r="N395">
        <v>0</v>
      </c>
      <c r="O395">
        <v>0</v>
      </c>
      <c r="P395" t="str">
        <f t="shared" si="13"/>
        <v>Non Chronic</v>
      </c>
      <c r="Q395">
        <v>1</v>
      </c>
      <c r="R395">
        <v>0</v>
      </c>
      <c r="S395" t="s">
        <v>9</v>
      </c>
    </row>
    <row r="396" spans="1:19" x14ac:dyDescent="0.3">
      <c r="A396">
        <v>500395</v>
      </c>
      <c r="B396">
        <v>57013</v>
      </c>
      <c r="C396" t="s">
        <v>8</v>
      </c>
      <c r="D396" t="s">
        <v>58</v>
      </c>
      <c r="E396" s="1">
        <v>46083</v>
      </c>
      <c r="F396" t="s">
        <v>787</v>
      </c>
      <c r="G396" s="1">
        <v>46098</v>
      </c>
      <c r="H396" s="1" t="str">
        <f t="shared" si="12"/>
        <v>Tuesday</v>
      </c>
      <c r="I396">
        <v>61</v>
      </c>
      <c r="J396" t="s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 t="str">
        <f t="shared" si="13"/>
        <v>Non Chronic</v>
      </c>
      <c r="Q396">
        <v>1</v>
      </c>
      <c r="R396">
        <v>0</v>
      </c>
      <c r="S396" t="s">
        <v>9</v>
      </c>
    </row>
    <row r="397" spans="1:19" x14ac:dyDescent="0.3">
      <c r="A397">
        <v>500396</v>
      </c>
      <c r="B397">
        <v>60014</v>
      </c>
      <c r="C397" t="s">
        <v>8</v>
      </c>
      <c r="D397" t="s">
        <v>3</v>
      </c>
      <c r="E397" s="1">
        <v>46110</v>
      </c>
      <c r="F397" t="s">
        <v>672</v>
      </c>
      <c r="G397" s="1">
        <v>46112</v>
      </c>
      <c r="H397" s="1" t="str">
        <f t="shared" si="12"/>
        <v>Tuesday</v>
      </c>
      <c r="I397">
        <v>28</v>
      </c>
      <c r="J397" t="s">
        <v>20</v>
      </c>
      <c r="K397">
        <v>0</v>
      </c>
      <c r="L397">
        <v>0</v>
      </c>
      <c r="M397">
        <v>0</v>
      </c>
      <c r="N397">
        <v>1</v>
      </c>
      <c r="O397">
        <v>0</v>
      </c>
      <c r="P397" t="str">
        <f t="shared" si="13"/>
        <v>Non Chronic</v>
      </c>
      <c r="Q397">
        <v>1</v>
      </c>
      <c r="R397">
        <v>0</v>
      </c>
      <c r="S397" t="s">
        <v>22</v>
      </c>
    </row>
    <row r="398" spans="1:19" x14ac:dyDescent="0.3">
      <c r="A398">
        <v>500397</v>
      </c>
      <c r="B398">
        <v>68073</v>
      </c>
      <c r="C398" t="s">
        <v>4</v>
      </c>
      <c r="D398" t="s">
        <v>19</v>
      </c>
      <c r="E398" s="1">
        <v>46013</v>
      </c>
      <c r="F398" t="s">
        <v>786</v>
      </c>
      <c r="G398" s="1">
        <v>46018</v>
      </c>
      <c r="H398" s="1" t="str">
        <f t="shared" si="12"/>
        <v>Saturday</v>
      </c>
      <c r="I398">
        <v>3</v>
      </c>
      <c r="J398" t="s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 t="str">
        <f t="shared" si="13"/>
        <v>Non Chronic</v>
      </c>
      <c r="Q398">
        <v>1</v>
      </c>
      <c r="R398">
        <v>0</v>
      </c>
      <c r="S398" t="s">
        <v>30</v>
      </c>
    </row>
    <row r="399" spans="1:19" x14ac:dyDescent="0.3">
      <c r="A399">
        <v>500398</v>
      </c>
      <c r="B399">
        <v>35362</v>
      </c>
      <c r="C399" t="s">
        <v>8</v>
      </c>
      <c r="D399" t="s">
        <v>7</v>
      </c>
      <c r="E399" s="1">
        <v>46154</v>
      </c>
      <c r="F399" t="s">
        <v>118</v>
      </c>
      <c r="G399" s="1">
        <v>46157</v>
      </c>
      <c r="H399" s="1" t="str">
        <f t="shared" si="12"/>
        <v>Friday</v>
      </c>
      <c r="I399">
        <v>65</v>
      </c>
      <c r="J399" t="s">
        <v>31</v>
      </c>
      <c r="K399">
        <v>0</v>
      </c>
      <c r="L399">
        <v>1</v>
      </c>
      <c r="M399">
        <v>1</v>
      </c>
      <c r="N399">
        <v>0</v>
      </c>
      <c r="O399">
        <v>0</v>
      </c>
      <c r="P399" t="str">
        <f t="shared" si="13"/>
        <v>Chronic</v>
      </c>
      <c r="Q399">
        <v>1</v>
      </c>
      <c r="R399">
        <v>0</v>
      </c>
      <c r="S399" t="s">
        <v>9</v>
      </c>
    </row>
    <row r="400" spans="1:19" x14ac:dyDescent="0.3">
      <c r="A400">
        <v>500399</v>
      </c>
      <c r="B400">
        <v>86544</v>
      </c>
      <c r="C400" t="s">
        <v>8</v>
      </c>
      <c r="D400" t="s">
        <v>36</v>
      </c>
      <c r="E400" s="1">
        <v>46057</v>
      </c>
      <c r="F400" t="s">
        <v>343</v>
      </c>
      <c r="G400" s="1">
        <v>46058</v>
      </c>
      <c r="H400" s="1" t="str">
        <f t="shared" si="12"/>
        <v>Thursday</v>
      </c>
      <c r="I400">
        <v>35</v>
      </c>
      <c r="J400" t="s">
        <v>20</v>
      </c>
      <c r="K400">
        <v>1</v>
      </c>
      <c r="L400">
        <v>0</v>
      </c>
      <c r="M400">
        <v>0</v>
      </c>
      <c r="N400">
        <v>0</v>
      </c>
      <c r="O400">
        <v>0</v>
      </c>
      <c r="P400" t="str">
        <f t="shared" si="13"/>
        <v>Non Chronic</v>
      </c>
      <c r="Q400">
        <v>1</v>
      </c>
      <c r="R400">
        <v>0</v>
      </c>
      <c r="S400" t="s">
        <v>22</v>
      </c>
    </row>
    <row r="401" spans="1:19" x14ac:dyDescent="0.3">
      <c r="A401">
        <v>500400</v>
      </c>
      <c r="B401">
        <v>16665</v>
      </c>
      <c r="C401" t="s">
        <v>8</v>
      </c>
      <c r="D401" t="s">
        <v>7</v>
      </c>
      <c r="E401" s="1">
        <v>46156</v>
      </c>
      <c r="F401" t="s">
        <v>89</v>
      </c>
      <c r="G401" s="1">
        <v>46161</v>
      </c>
      <c r="H401" s="1" t="str">
        <f t="shared" si="12"/>
        <v>Tuesday</v>
      </c>
      <c r="I401">
        <v>62</v>
      </c>
      <c r="J401" t="s">
        <v>1</v>
      </c>
      <c r="K401">
        <v>1</v>
      </c>
      <c r="L401">
        <v>1</v>
      </c>
      <c r="M401">
        <v>0</v>
      </c>
      <c r="N401">
        <v>0</v>
      </c>
      <c r="O401">
        <v>0</v>
      </c>
      <c r="P401" t="str">
        <f t="shared" si="13"/>
        <v>Chronic</v>
      </c>
      <c r="Q401">
        <v>0</v>
      </c>
      <c r="R401">
        <v>1</v>
      </c>
      <c r="S401" t="s">
        <v>9</v>
      </c>
    </row>
    <row r="402" spans="1:19" x14ac:dyDescent="0.3">
      <c r="A402">
        <v>500401</v>
      </c>
      <c r="B402">
        <v>81182</v>
      </c>
      <c r="C402" t="s">
        <v>8</v>
      </c>
      <c r="D402" t="s">
        <v>58</v>
      </c>
      <c r="E402" s="1">
        <v>45989</v>
      </c>
      <c r="F402" t="s">
        <v>736</v>
      </c>
      <c r="G402" s="1">
        <v>45991</v>
      </c>
      <c r="H402" s="1" t="str">
        <f t="shared" si="12"/>
        <v>Sunday</v>
      </c>
      <c r="I402">
        <v>6</v>
      </c>
      <c r="J402" t="s">
        <v>20</v>
      </c>
      <c r="K402">
        <v>0</v>
      </c>
      <c r="L402">
        <v>0</v>
      </c>
      <c r="M402">
        <v>0</v>
      </c>
      <c r="N402">
        <v>0</v>
      </c>
      <c r="O402">
        <v>0</v>
      </c>
      <c r="P402" t="str">
        <f t="shared" si="13"/>
        <v>Non Chronic</v>
      </c>
      <c r="Q402">
        <v>1</v>
      </c>
      <c r="R402">
        <v>0</v>
      </c>
      <c r="S402" t="s">
        <v>30</v>
      </c>
    </row>
    <row r="403" spans="1:19" x14ac:dyDescent="0.3">
      <c r="A403">
        <v>500402</v>
      </c>
      <c r="B403">
        <v>57290</v>
      </c>
      <c r="C403" t="s">
        <v>8</v>
      </c>
      <c r="D403" t="s">
        <v>14</v>
      </c>
      <c r="E403" s="1">
        <v>46041</v>
      </c>
      <c r="F403" t="s">
        <v>785</v>
      </c>
      <c r="G403" s="1">
        <v>46056</v>
      </c>
      <c r="H403" s="1" t="str">
        <f t="shared" si="12"/>
        <v>Tuesday</v>
      </c>
      <c r="I403">
        <v>26</v>
      </c>
      <c r="J403" t="s">
        <v>1</v>
      </c>
      <c r="K403">
        <v>1</v>
      </c>
      <c r="L403">
        <v>0</v>
      </c>
      <c r="M403">
        <v>0</v>
      </c>
      <c r="N403">
        <v>0</v>
      </c>
      <c r="O403">
        <v>0</v>
      </c>
      <c r="P403" t="str">
        <f t="shared" si="13"/>
        <v>Non Chronic</v>
      </c>
      <c r="Q403">
        <v>0</v>
      </c>
      <c r="R403">
        <v>1</v>
      </c>
      <c r="S403" t="s">
        <v>22</v>
      </c>
    </row>
    <row r="404" spans="1:19" x14ac:dyDescent="0.3">
      <c r="A404">
        <v>500403</v>
      </c>
      <c r="B404">
        <v>97679</v>
      </c>
      <c r="C404" t="s">
        <v>8</v>
      </c>
      <c r="D404" t="s">
        <v>7</v>
      </c>
      <c r="E404" s="1">
        <v>46135</v>
      </c>
      <c r="F404" t="s">
        <v>784</v>
      </c>
      <c r="G404" s="1">
        <v>46145</v>
      </c>
      <c r="H404" s="1" t="str">
        <f t="shared" si="12"/>
        <v>Sunday</v>
      </c>
      <c r="I404">
        <v>38</v>
      </c>
      <c r="J404" t="s">
        <v>45</v>
      </c>
      <c r="K404">
        <v>0</v>
      </c>
      <c r="L404">
        <v>0</v>
      </c>
      <c r="M404">
        <v>0</v>
      </c>
      <c r="N404">
        <v>0</v>
      </c>
      <c r="O404">
        <v>0</v>
      </c>
      <c r="P404" t="str">
        <f t="shared" si="13"/>
        <v>Non Chronic</v>
      </c>
      <c r="Q404">
        <v>1</v>
      </c>
      <c r="R404">
        <v>0</v>
      </c>
      <c r="S404" t="s">
        <v>22</v>
      </c>
    </row>
    <row r="405" spans="1:19" x14ac:dyDescent="0.3">
      <c r="A405">
        <v>500404</v>
      </c>
      <c r="B405">
        <v>24860</v>
      </c>
      <c r="C405" t="s">
        <v>8</v>
      </c>
      <c r="D405" t="s">
        <v>25</v>
      </c>
      <c r="E405" s="1">
        <v>45982</v>
      </c>
      <c r="F405" t="s">
        <v>263</v>
      </c>
      <c r="G405" s="1">
        <v>45987</v>
      </c>
      <c r="H405" s="1" t="str">
        <f t="shared" si="12"/>
        <v>Wednesday</v>
      </c>
      <c r="I405">
        <v>38</v>
      </c>
      <c r="J405" t="s">
        <v>12</v>
      </c>
      <c r="K405">
        <v>1</v>
      </c>
      <c r="L405">
        <v>0</v>
      </c>
      <c r="M405">
        <v>0</v>
      </c>
      <c r="N405">
        <v>1</v>
      </c>
      <c r="O405">
        <v>0</v>
      </c>
      <c r="P405" t="str">
        <f t="shared" si="13"/>
        <v>Non Chronic</v>
      </c>
      <c r="Q405">
        <v>0</v>
      </c>
      <c r="R405">
        <v>0</v>
      </c>
      <c r="S405" t="s">
        <v>22</v>
      </c>
    </row>
    <row r="406" spans="1:19" x14ac:dyDescent="0.3">
      <c r="A406">
        <v>500405</v>
      </c>
      <c r="B406">
        <v>76680</v>
      </c>
      <c r="C406" t="s">
        <v>8</v>
      </c>
      <c r="D406" t="s">
        <v>7</v>
      </c>
      <c r="E406" s="1">
        <v>46131</v>
      </c>
      <c r="F406" t="s">
        <v>710</v>
      </c>
      <c r="G406" s="1">
        <v>46133</v>
      </c>
      <c r="H406" s="1" t="str">
        <f t="shared" si="12"/>
        <v>Tuesday</v>
      </c>
      <c r="I406">
        <v>28</v>
      </c>
      <c r="J406" t="s">
        <v>17</v>
      </c>
      <c r="K406">
        <v>1</v>
      </c>
      <c r="L406">
        <v>0</v>
      </c>
      <c r="M406">
        <v>0</v>
      </c>
      <c r="N406">
        <v>0</v>
      </c>
      <c r="O406">
        <v>0</v>
      </c>
      <c r="P406" t="str">
        <f t="shared" si="13"/>
        <v>Non Chronic</v>
      </c>
      <c r="Q406">
        <v>1</v>
      </c>
      <c r="R406">
        <v>0</v>
      </c>
      <c r="S406" t="s">
        <v>22</v>
      </c>
    </row>
    <row r="407" spans="1:19" x14ac:dyDescent="0.3">
      <c r="A407">
        <v>500406</v>
      </c>
      <c r="B407">
        <v>31940</v>
      </c>
      <c r="C407" t="s">
        <v>4</v>
      </c>
      <c r="D407" t="s">
        <v>58</v>
      </c>
      <c r="E407" s="1">
        <v>46052</v>
      </c>
      <c r="F407" t="s">
        <v>546</v>
      </c>
      <c r="G407" s="1">
        <v>46057</v>
      </c>
      <c r="H407" s="1" t="str">
        <f t="shared" si="12"/>
        <v>Wednesday</v>
      </c>
      <c r="I407">
        <v>50</v>
      </c>
      <c r="J407" t="s">
        <v>45</v>
      </c>
      <c r="K407">
        <v>0</v>
      </c>
      <c r="L407">
        <v>0</v>
      </c>
      <c r="M407">
        <v>0</v>
      </c>
      <c r="N407">
        <v>0</v>
      </c>
      <c r="O407">
        <v>0</v>
      </c>
      <c r="P407" t="str">
        <f t="shared" si="13"/>
        <v>Non Chronic</v>
      </c>
      <c r="Q407">
        <v>1</v>
      </c>
      <c r="R407">
        <v>0</v>
      </c>
      <c r="S407" t="s">
        <v>0</v>
      </c>
    </row>
    <row r="408" spans="1:19" x14ac:dyDescent="0.3">
      <c r="A408">
        <v>500407</v>
      </c>
      <c r="B408">
        <v>67047</v>
      </c>
      <c r="C408" t="s">
        <v>4</v>
      </c>
      <c r="D408" t="s">
        <v>28</v>
      </c>
      <c r="E408" s="1">
        <v>46156</v>
      </c>
      <c r="F408" t="s">
        <v>83</v>
      </c>
      <c r="G408" s="1">
        <v>46161</v>
      </c>
      <c r="H408" s="1" t="str">
        <f t="shared" si="12"/>
        <v>Tuesday</v>
      </c>
      <c r="I408">
        <v>16</v>
      </c>
      <c r="J408" t="s">
        <v>17</v>
      </c>
      <c r="K408">
        <v>0</v>
      </c>
      <c r="L408">
        <v>0</v>
      </c>
      <c r="M408">
        <v>0</v>
      </c>
      <c r="N408">
        <v>0</v>
      </c>
      <c r="O408">
        <v>0</v>
      </c>
      <c r="P408" t="str">
        <f t="shared" si="13"/>
        <v>Non Chronic</v>
      </c>
      <c r="Q408">
        <v>1</v>
      </c>
      <c r="R408">
        <v>1</v>
      </c>
      <c r="S408" t="s">
        <v>30</v>
      </c>
    </row>
    <row r="409" spans="1:19" x14ac:dyDescent="0.3">
      <c r="A409">
        <v>500408</v>
      </c>
      <c r="B409">
        <v>17113</v>
      </c>
      <c r="C409" t="s">
        <v>4</v>
      </c>
      <c r="D409" t="s">
        <v>25</v>
      </c>
      <c r="E409" s="1">
        <v>46015</v>
      </c>
      <c r="F409" t="s">
        <v>783</v>
      </c>
      <c r="G409" s="1">
        <v>46017</v>
      </c>
      <c r="H409" s="1" t="str">
        <f t="shared" si="12"/>
        <v>Friday</v>
      </c>
      <c r="I409">
        <v>35</v>
      </c>
      <c r="J409" t="s">
        <v>12</v>
      </c>
      <c r="K409">
        <v>0</v>
      </c>
      <c r="L409">
        <v>0</v>
      </c>
      <c r="M409">
        <v>0</v>
      </c>
      <c r="N409">
        <v>0</v>
      </c>
      <c r="O409">
        <v>0</v>
      </c>
      <c r="P409" t="str">
        <f t="shared" si="13"/>
        <v>Non Chronic</v>
      </c>
      <c r="Q409">
        <v>1</v>
      </c>
      <c r="R409">
        <v>0</v>
      </c>
      <c r="S409" t="s">
        <v>22</v>
      </c>
    </row>
    <row r="410" spans="1:19" x14ac:dyDescent="0.3">
      <c r="A410">
        <v>500409</v>
      </c>
      <c r="B410">
        <v>92603</v>
      </c>
      <c r="C410" t="s">
        <v>8</v>
      </c>
      <c r="D410" t="s">
        <v>3</v>
      </c>
      <c r="E410" s="1">
        <v>46162</v>
      </c>
      <c r="F410" t="s">
        <v>754</v>
      </c>
      <c r="G410" s="1">
        <v>46163</v>
      </c>
      <c r="H410" s="1" t="str">
        <f t="shared" si="12"/>
        <v>Thursday</v>
      </c>
      <c r="I410">
        <v>40</v>
      </c>
      <c r="J410" t="s">
        <v>20</v>
      </c>
      <c r="K410">
        <v>0</v>
      </c>
      <c r="L410">
        <v>0</v>
      </c>
      <c r="M410">
        <v>0</v>
      </c>
      <c r="N410">
        <v>0</v>
      </c>
      <c r="O410">
        <v>0</v>
      </c>
      <c r="P410" t="str">
        <f t="shared" si="13"/>
        <v>Non Chronic</v>
      </c>
      <c r="Q410">
        <v>1</v>
      </c>
      <c r="R410">
        <v>0</v>
      </c>
      <c r="S410" t="s">
        <v>22</v>
      </c>
    </row>
    <row r="411" spans="1:19" x14ac:dyDescent="0.3">
      <c r="A411">
        <v>500410</v>
      </c>
      <c r="B411">
        <v>18288</v>
      </c>
      <c r="C411" t="s">
        <v>4</v>
      </c>
      <c r="D411" t="s">
        <v>58</v>
      </c>
      <c r="E411" s="1">
        <v>46113</v>
      </c>
      <c r="F411" t="s">
        <v>150</v>
      </c>
      <c r="G411" s="1">
        <v>46115</v>
      </c>
      <c r="H411" s="1" t="str">
        <f t="shared" si="12"/>
        <v>Friday</v>
      </c>
      <c r="I411">
        <v>48</v>
      </c>
      <c r="J411" t="s">
        <v>20</v>
      </c>
      <c r="K411">
        <v>0</v>
      </c>
      <c r="L411">
        <v>1</v>
      </c>
      <c r="M411">
        <v>0</v>
      </c>
      <c r="N411">
        <v>0</v>
      </c>
      <c r="O411">
        <v>0</v>
      </c>
      <c r="P411" t="str">
        <f t="shared" si="13"/>
        <v>Chronic</v>
      </c>
      <c r="Q411">
        <v>0</v>
      </c>
      <c r="R411">
        <v>0</v>
      </c>
      <c r="S411" t="s">
        <v>0</v>
      </c>
    </row>
    <row r="412" spans="1:19" x14ac:dyDescent="0.3">
      <c r="A412">
        <v>500411</v>
      </c>
      <c r="B412">
        <v>96602</v>
      </c>
      <c r="C412" t="s">
        <v>4</v>
      </c>
      <c r="D412" t="s">
        <v>7</v>
      </c>
      <c r="E412" s="1">
        <v>46043</v>
      </c>
      <c r="F412" t="s">
        <v>782</v>
      </c>
      <c r="G412" s="1">
        <v>46048</v>
      </c>
      <c r="H412" s="1" t="str">
        <f t="shared" si="12"/>
        <v>Monday</v>
      </c>
      <c r="I412">
        <v>52</v>
      </c>
      <c r="J412" t="s">
        <v>31</v>
      </c>
      <c r="K412">
        <v>0</v>
      </c>
      <c r="L412">
        <v>1</v>
      </c>
      <c r="M412">
        <v>0</v>
      </c>
      <c r="N412">
        <v>0</v>
      </c>
      <c r="O412">
        <v>0</v>
      </c>
      <c r="P412" t="str">
        <f t="shared" si="13"/>
        <v>Chronic</v>
      </c>
      <c r="Q412">
        <v>0</v>
      </c>
      <c r="R412">
        <v>1</v>
      </c>
      <c r="S412" t="s">
        <v>0</v>
      </c>
    </row>
    <row r="413" spans="1:19" x14ac:dyDescent="0.3">
      <c r="A413">
        <v>500412</v>
      </c>
      <c r="B413">
        <v>98773</v>
      </c>
      <c r="C413" t="s">
        <v>8</v>
      </c>
      <c r="D413" t="s">
        <v>36</v>
      </c>
      <c r="E413" s="1">
        <v>46026</v>
      </c>
      <c r="F413" t="s">
        <v>781</v>
      </c>
      <c r="G413" s="1">
        <v>46046</v>
      </c>
      <c r="H413" s="1" t="str">
        <f t="shared" si="12"/>
        <v>Saturday</v>
      </c>
      <c r="I413">
        <v>15</v>
      </c>
      <c r="J413" t="s">
        <v>12</v>
      </c>
      <c r="K413">
        <v>0</v>
      </c>
      <c r="L413">
        <v>0</v>
      </c>
      <c r="M413">
        <v>0</v>
      </c>
      <c r="N413">
        <v>0</v>
      </c>
      <c r="O413">
        <v>0</v>
      </c>
      <c r="P413" t="str">
        <f t="shared" si="13"/>
        <v>Non Chronic</v>
      </c>
      <c r="Q413">
        <v>1</v>
      </c>
      <c r="R413">
        <v>1</v>
      </c>
      <c r="S413" t="s">
        <v>30</v>
      </c>
    </row>
    <row r="414" spans="1:19" x14ac:dyDescent="0.3">
      <c r="A414">
        <v>500413</v>
      </c>
      <c r="B414">
        <v>85067</v>
      </c>
      <c r="C414" t="s">
        <v>8</v>
      </c>
      <c r="D414" t="s">
        <v>58</v>
      </c>
      <c r="E414" s="1">
        <v>46086</v>
      </c>
      <c r="F414" t="s">
        <v>700</v>
      </c>
      <c r="G414" s="1">
        <v>46088</v>
      </c>
      <c r="H414" s="1" t="str">
        <f t="shared" si="12"/>
        <v>Saturday</v>
      </c>
      <c r="I414">
        <v>7</v>
      </c>
      <c r="J414" t="s">
        <v>5</v>
      </c>
      <c r="K414">
        <v>0</v>
      </c>
      <c r="L414">
        <v>0</v>
      </c>
      <c r="M414">
        <v>0</v>
      </c>
      <c r="N414">
        <v>0</v>
      </c>
      <c r="O414">
        <v>0</v>
      </c>
      <c r="P414" t="str">
        <f t="shared" si="13"/>
        <v>Non Chronic</v>
      </c>
      <c r="Q414">
        <v>0</v>
      </c>
      <c r="R414">
        <v>0</v>
      </c>
      <c r="S414" t="s">
        <v>30</v>
      </c>
    </row>
    <row r="415" spans="1:19" x14ac:dyDescent="0.3">
      <c r="A415">
        <v>500414</v>
      </c>
      <c r="B415">
        <v>37752</v>
      </c>
      <c r="C415" t="s">
        <v>8</v>
      </c>
      <c r="D415" t="s">
        <v>28</v>
      </c>
      <c r="E415" s="1">
        <v>46061</v>
      </c>
      <c r="F415" t="s">
        <v>780</v>
      </c>
      <c r="G415" s="1">
        <v>46076</v>
      </c>
      <c r="H415" s="1" t="str">
        <f t="shared" si="12"/>
        <v>Monday</v>
      </c>
      <c r="I415">
        <v>63</v>
      </c>
      <c r="J415" t="s">
        <v>31</v>
      </c>
      <c r="K415">
        <v>0</v>
      </c>
      <c r="L415">
        <v>1</v>
      </c>
      <c r="M415">
        <v>0</v>
      </c>
      <c r="N415">
        <v>0</v>
      </c>
      <c r="O415">
        <v>0</v>
      </c>
      <c r="P415" t="str">
        <f t="shared" si="13"/>
        <v>Chronic</v>
      </c>
      <c r="Q415">
        <v>0</v>
      </c>
      <c r="R415">
        <v>0</v>
      </c>
      <c r="S415" t="s">
        <v>9</v>
      </c>
    </row>
    <row r="416" spans="1:19" x14ac:dyDescent="0.3">
      <c r="A416">
        <v>500415</v>
      </c>
      <c r="B416">
        <v>81939</v>
      </c>
      <c r="C416" t="s">
        <v>8</v>
      </c>
      <c r="D416" t="s">
        <v>58</v>
      </c>
      <c r="E416" s="1">
        <v>46136</v>
      </c>
      <c r="F416" t="s">
        <v>779</v>
      </c>
      <c r="G416" s="1">
        <v>46143</v>
      </c>
      <c r="H416" s="1" t="str">
        <f t="shared" si="12"/>
        <v>Friday</v>
      </c>
      <c r="I416">
        <v>44</v>
      </c>
      <c r="J416" t="s">
        <v>5</v>
      </c>
      <c r="K416">
        <v>0</v>
      </c>
      <c r="L416">
        <v>0</v>
      </c>
      <c r="M416">
        <v>0</v>
      </c>
      <c r="N416">
        <v>0</v>
      </c>
      <c r="O416">
        <v>0</v>
      </c>
      <c r="P416" t="str">
        <f t="shared" si="13"/>
        <v>Non Chronic</v>
      </c>
      <c r="Q416">
        <v>0</v>
      </c>
      <c r="R416">
        <v>0</v>
      </c>
      <c r="S416" t="s">
        <v>0</v>
      </c>
    </row>
    <row r="417" spans="1:19" x14ac:dyDescent="0.3">
      <c r="A417">
        <v>500416</v>
      </c>
      <c r="B417">
        <v>97988</v>
      </c>
      <c r="C417" t="s">
        <v>4</v>
      </c>
      <c r="D417" t="s">
        <v>58</v>
      </c>
      <c r="E417" s="1">
        <v>46005</v>
      </c>
      <c r="F417" t="s">
        <v>778</v>
      </c>
      <c r="G417" s="1">
        <v>46008</v>
      </c>
      <c r="H417" s="1" t="str">
        <f t="shared" si="12"/>
        <v>Wednesday</v>
      </c>
      <c r="I417">
        <v>23</v>
      </c>
      <c r="J417" t="s">
        <v>5</v>
      </c>
      <c r="K417">
        <v>0</v>
      </c>
      <c r="L417">
        <v>0</v>
      </c>
      <c r="M417">
        <v>0</v>
      </c>
      <c r="N417">
        <v>0</v>
      </c>
      <c r="O417">
        <v>0</v>
      </c>
      <c r="P417" t="str">
        <f t="shared" si="13"/>
        <v>Non Chronic</v>
      </c>
      <c r="Q417">
        <v>1</v>
      </c>
      <c r="R417">
        <v>0</v>
      </c>
      <c r="S417" t="s">
        <v>22</v>
      </c>
    </row>
    <row r="418" spans="1:19" x14ac:dyDescent="0.3">
      <c r="A418">
        <v>500417</v>
      </c>
      <c r="B418">
        <v>50065</v>
      </c>
      <c r="C418" t="s">
        <v>4</v>
      </c>
      <c r="D418" t="s">
        <v>19</v>
      </c>
      <c r="E418" s="1">
        <v>46123</v>
      </c>
      <c r="F418" t="s">
        <v>415</v>
      </c>
      <c r="G418" s="1">
        <v>46130</v>
      </c>
      <c r="H418" s="1" t="str">
        <f t="shared" si="12"/>
        <v>Saturday</v>
      </c>
      <c r="I418">
        <v>69</v>
      </c>
      <c r="J418" t="s">
        <v>20</v>
      </c>
      <c r="K418">
        <v>1</v>
      </c>
      <c r="L418">
        <v>1</v>
      </c>
      <c r="M418">
        <v>0</v>
      </c>
      <c r="N418">
        <v>0</v>
      </c>
      <c r="O418">
        <v>0</v>
      </c>
      <c r="P418" t="str">
        <f t="shared" si="13"/>
        <v>Chronic</v>
      </c>
      <c r="Q418">
        <v>1</v>
      </c>
      <c r="R418">
        <v>0</v>
      </c>
      <c r="S418" t="s">
        <v>9</v>
      </c>
    </row>
    <row r="419" spans="1:19" x14ac:dyDescent="0.3">
      <c r="A419">
        <v>500418</v>
      </c>
      <c r="B419">
        <v>99073</v>
      </c>
      <c r="C419" t="s">
        <v>8</v>
      </c>
      <c r="D419" t="s">
        <v>7</v>
      </c>
      <c r="E419" s="1">
        <v>46011</v>
      </c>
      <c r="F419" t="s">
        <v>672</v>
      </c>
      <c r="G419" s="1">
        <v>46013</v>
      </c>
      <c r="H419" s="1" t="str">
        <f t="shared" si="12"/>
        <v>Monday</v>
      </c>
      <c r="I419">
        <v>40</v>
      </c>
      <c r="J419" t="s">
        <v>10</v>
      </c>
      <c r="K419">
        <v>1</v>
      </c>
      <c r="L419">
        <v>0</v>
      </c>
      <c r="M419">
        <v>0</v>
      </c>
      <c r="N419">
        <v>0</v>
      </c>
      <c r="O419">
        <v>0</v>
      </c>
      <c r="P419" t="str">
        <f t="shared" si="13"/>
        <v>Non Chronic</v>
      </c>
      <c r="Q419">
        <v>1</v>
      </c>
      <c r="R419">
        <v>0</v>
      </c>
      <c r="S419" t="s">
        <v>22</v>
      </c>
    </row>
    <row r="420" spans="1:19" x14ac:dyDescent="0.3">
      <c r="A420">
        <v>500419</v>
      </c>
      <c r="B420">
        <v>89511</v>
      </c>
      <c r="C420" t="s">
        <v>4</v>
      </c>
      <c r="D420" t="s">
        <v>25</v>
      </c>
      <c r="E420" s="1">
        <v>46089</v>
      </c>
      <c r="F420" t="s">
        <v>122</v>
      </c>
      <c r="G420" s="1">
        <v>46089</v>
      </c>
      <c r="H420" s="1" t="str">
        <f t="shared" si="12"/>
        <v>Sunday</v>
      </c>
      <c r="I420">
        <v>61</v>
      </c>
      <c r="J420" t="s">
        <v>31</v>
      </c>
      <c r="K420">
        <v>0</v>
      </c>
      <c r="L420">
        <v>1</v>
      </c>
      <c r="M420">
        <v>0</v>
      </c>
      <c r="N420">
        <v>1</v>
      </c>
      <c r="O420">
        <v>0</v>
      </c>
      <c r="P420" t="str">
        <f t="shared" si="13"/>
        <v>Chronic</v>
      </c>
      <c r="Q420">
        <v>1</v>
      </c>
      <c r="R420">
        <v>1</v>
      </c>
      <c r="S420" t="s">
        <v>9</v>
      </c>
    </row>
    <row r="421" spans="1:19" x14ac:dyDescent="0.3">
      <c r="A421">
        <v>500420</v>
      </c>
      <c r="B421">
        <v>86269</v>
      </c>
      <c r="C421" t="s">
        <v>8</v>
      </c>
      <c r="D421" t="s">
        <v>14</v>
      </c>
      <c r="E421" s="1">
        <v>46007</v>
      </c>
      <c r="F421" t="s">
        <v>777</v>
      </c>
      <c r="G421" s="1">
        <v>46037</v>
      </c>
      <c r="H421" s="1" t="str">
        <f t="shared" si="12"/>
        <v>Thursday</v>
      </c>
      <c r="I421">
        <v>39</v>
      </c>
      <c r="J421" t="s">
        <v>17</v>
      </c>
      <c r="K421">
        <v>1</v>
      </c>
      <c r="L421">
        <v>0</v>
      </c>
      <c r="M421">
        <v>0</v>
      </c>
      <c r="N421">
        <v>0</v>
      </c>
      <c r="O421">
        <v>0</v>
      </c>
      <c r="P421" t="str">
        <f t="shared" si="13"/>
        <v>Non Chronic</v>
      </c>
      <c r="Q421">
        <v>1</v>
      </c>
      <c r="R421">
        <v>0</v>
      </c>
      <c r="S421" t="s">
        <v>22</v>
      </c>
    </row>
    <row r="422" spans="1:19" x14ac:dyDescent="0.3">
      <c r="A422">
        <v>500421</v>
      </c>
      <c r="B422">
        <v>57948</v>
      </c>
      <c r="C422" t="s">
        <v>8</v>
      </c>
      <c r="D422" t="s">
        <v>14</v>
      </c>
      <c r="E422" s="1">
        <v>46098</v>
      </c>
      <c r="F422" t="s">
        <v>720</v>
      </c>
      <c r="G422" s="1">
        <v>46098</v>
      </c>
      <c r="H422" s="1" t="str">
        <f t="shared" si="12"/>
        <v>Tuesday</v>
      </c>
      <c r="I422">
        <v>79</v>
      </c>
      <c r="J422" t="s">
        <v>1</v>
      </c>
      <c r="K422">
        <v>1</v>
      </c>
      <c r="L422">
        <v>1</v>
      </c>
      <c r="M422">
        <v>0</v>
      </c>
      <c r="N422">
        <v>0</v>
      </c>
      <c r="O422">
        <v>0</v>
      </c>
      <c r="P422" t="str">
        <f t="shared" si="13"/>
        <v>Chronic</v>
      </c>
      <c r="Q422">
        <v>1</v>
      </c>
      <c r="R422">
        <v>0</v>
      </c>
      <c r="S422" t="s">
        <v>9</v>
      </c>
    </row>
    <row r="423" spans="1:19" x14ac:dyDescent="0.3">
      <c r="A423">
        <v>500422</v>
      </c>
      <c r="B423">
        <v>90482</v>
      </c>
      <c r="C423" t="s">
        <v>4</v>
      </c>
      <c r="D423" t="s">
        <v>28</v>
      </c>
      <c r="E423" s="1">
        <v>46126</v>
      </c>
      <c r="F423" t="s">
        <v>287</v>
      </c>
      <c r="G423" s="1">
        <v>46136</v>
      </c>
      <c r="H423" s="1" t="str">
        <f t="shared" si="12"/>
        <v>Friday</v>
      </c>
      <c r="I423">
        <v>73</v>
      </c>
      <c r="J423" t="s">
        <v>10</v>
      </c>
      <c r="K423">
        <v>0</v>
      </c>
      <c r="L423">
        <v>1</v>
      </c>
      <c r="M423">
        <v>0</v>
      </c>
      <c r="N423">
        <v>0</v>
      </c>
      <c r="O423">
        <v>0</v>
      </c>
      <c r="P423" t="str">
        <f t="shared" si="13"/>
        <v>Chronic</v>
      </c>
      <c r="Q423">
        <v>1</v>
      </c>
      <c r="R423">
        <v>0</v>
      </c>
      <c r="S423" t="s">
        <v>9</v>
      </c>
    </row>
    <row r="424" spans="1:19" x14ac:dyDescent="0.3">
      <c r="A424">
        <v>500423</v>
      </c>
      <c r="B424">
        <v>38681</v>
      </c>
      <c r="C424" t="s">
        <v>8</v>
      </c>
      <c r="D424" t="s">
        <v>14</v>
      </c>
      <c r="E424" s="1">
        <v>46153</v>
      </c>
      <c r="F424" t="s">
        <v>776</v>
      </c>
      <c r="G424" s="1">
        <v>46153</v>
      </c>
      <c r="H424" s="1" t="str">
        <f t="shared" si="12"/>
        <v>Monday</v>
      </c>
      <c r="I424">
        <v>33</v>
      </c>
      <c r="J424" t="s">
        <v>15</v>
      </c>
      <c r="K424">
        <v>1</v>
      </c>
      <c r="L424">
        <v>0</v>
      </c>
      <c r="M424">
        <v>0</v>
      </c>
      <c r="N424">
        <v>0</v>
      </c>
      <c r="O424">
        <v>0</v>
      </c>
      <c r="P424" t="str">
        <f t="shared" si="13"/>
        <v>Non Chronic</v>
      </c>
      <c r="Q424">
        <v>1</v>
      </c>
      <c r="R424">
        <v>0</v>
      </c>
      <c r="S424" t="s">
        <v>22</v>
      </c>
    </row>
    <row r="425" spans="1:19" x14ac:dyDescent="0.3">
      <c r="A425">
        <v>500424</v>
      </c>
      <c r="B425">
        <v>57349</v>
      </c>
      <c r="C425" t="s">
        <v>8</v>
      </c>
      <c r="D425" t="s">
        <v>7</v>
      </c>
      <c r="E425" s="1">
        <v>46127</v>
      </c>
      <c r="F425" t="s">
        <v>130</v>
      </c>
      <c r="G425" s="1">
        <v>46134</v>
      </c>
      <c r="H425" s="1" t="str">
        <f t="shared" si="12"/>
        <v>Wednesday</v>
      </c>
      <c r="I425">
        <v>57</v>
      </c>
      <c r="J425" t="s">
        <v>10</v>
      </c>
      <c r="K425">
        <v>0</v>
      </c>
      <c r="L425">
        <v>1</v>
      </c>
      <c r="M425">
        <v>0</v>
      </c>
      <c r="N425">
        <v>0</v>
      </c>
      <c r="O425">
        <v>0</v>
      </c>
      <c r="P425" t="str">
        <f t="shared" si="13"/>
        <v>Chronic</v>
      </c>
      <c r="Q425">
        <v>1</v>
      </c>
      <c r="R425">
        <v>0</v>
      </c>
      <c r="S425" t="s">
        <v>0</v>
      </c>
    </row>
    <row r="426" spans="1:19" x14ac:dyDescent="0.3">
      <c r="A426">
        <v>500425</v>
      </c>
      <c r="B426">
        <v>85842</v>
      </c>
      <c r="C426" t="s">
        <v>4</v>
      </c>
      <c r="D426" t="s">
        <v>3</v>
      </c>
      <c r="E426" s="1">
        <v>46074</v>
      </c>
      <c r="F426" t="s">
        <v>578</v>
      </c>
      <c r="G426" s="1">
        <v>46076</v>
      </c>
      <c r="H426" s="1" t="str">
        <f t="shared" si="12"/>
        <v>Monday</v>
      </c>
      <c r="I426">
        <v>50</v>
      </c>
      <c r="J426" t="s">
        <v>23</v>
      </c>
      <c r="K426">
        <v>1</v>
      </c>
      <c r="L426">
        <v>0</v>
      </c>
      <c r="M426">
        <v>0</v>
      </c>
      <c r="N426">
        <v>1</v>
      </c>
      <c r="O426">
        <v>0</v>
      </c>
      <c r="P426" t="str">
        <f t="shared" si="13"/>
        <v>Non Chronic</v>
      </c>
      <c r="Q426">
        <v>0</v>
      </c>
      <c r="R426">
        <v>1</v>
      </c>
      <c r="S426" t="s">
        <v>0</v>
      </c>
    </row>
    <row r="427" spans="1:19" x14ac:dyDescent="0.3">
      <c r="A427">
        <v>500426</v>
      </c>
      <c r="B427">
        <v>63194</v>
      </c>
      <c r="C427" t="s">
        <v>8</v>
      </c>
      <c r="D427" t="s">
        <v>19</v>
      </c>
      <c r="E427" s="1">
        <v>46117</v>
      </c>
      <c r="F427" t="s">
        <v>709</v>
      </c>
      <c r="G427" s="1">
        <v>46119</v>
      </c>
      <c r="H427" s="1" t="str">
        <f t="shared" si="12"/>
        <v>Tuesday</v>
      </c>
      <c r="I427">
        <v>65</v>
      </c>
      <c r="J427" t="s">
        <v>10</v>
      </c>
      <c r="K427">
        <v>1</v>
      </c>
      <c r="L427">
        <v>0</v>
      </c>
      <c r="M427">
        <v>1</v>
      </c>
      <c r="N427">
        <v>0</v>
      </c>
      <c r="O427">
        <v>0</v>
      </c>
      <c r="P427" t="str">
        <f t="shared" si="13"/>
        <v>Chronic</v>
      </c>
      <c r="Q427">
        <v>1</v>
      </c>
      <c r="R427">
        <v>0</v>
      </c>
      <c r="S427" t="s">
        <v>9</v>
      </c>
    </row>
    <row r="428" spans="1:19" x14ac:dyDescent="0.3">
      <c r="A428">
        <v>500427</v>
      </c>
      <c r="B428">
        <v>29692</v>
      </c>
      <c r="C428" t="s">
        <v>4</v>
      </c>
      <c r="D428" t="s">
        <v>28</v>
      </c>
      <c r="E428" s="1">
        <v>46130</v>
      </c>
      <c r="F428" t="s">
        <v>286</v>
      </c>
      <c r="G428" s="1">
        <v>46137</v>
      </c>
      <c r="H428" s="1" t="str">
        <f t="shared" si="12"/>
        <v>Saturday</v>
      </c>
      <c r="I428">
        <v>18</v>
      </c>
      <c r="J428" t="s">
        <v>20</v>
      </c>
      <c r="K428">
        <v>0</v>
      </c>
      <c r="L428">
        <v>0</v>
      </c>
      <c r="M428">
        <v>0</v>
      </c>
      <c r="N428">
        <v>0</v>
      </c>
      <c r="O428">
        <v>0</v>
      </c>
      <c r="P428" t="str">
        <f t="shared" si="13"/>
        <v>Non Chronic</v>
      </c>
      <c r="Q428">
        <v>0</v>
      </c>
      <c r="R428">
        <v>0</v>
      </c>
      <c r="S428" t="s">
        <v>30</v>
      </c>
    </row>
    <row r="429" spans="1:19" x14ac:dyDescent="0.3">
      <c r="A429">
        <v>500428</v>
      </c>
      <c r="B429">
        <v>64344</v>
      </c>
      <c r="C429" t="s">
        <v>8</v>
      </c>
      <c r="D429" t="s">
        <v>58</v>
      </c>
      <c r="E429" s="1">
        <v>46050</v>
      </c>
      <c r="F429" t="s">
        <v>775</v>
      </c>
      <c r="G429" s="1">
        <v>46053</v>
      </c>
      <c r="H429" s="1" t="str">
        <f t="shared" si="12"/>
        <v>Saturday</v>
      </c>
      <c r="I429">
        <v>51</v>
      </c>
      <c r="J429" t="s">
        <v>10</v>
      </c>
      <c r="K429">
        <v>1</v>
      </c>
      <c r="L429">
        <v>0</v>
      </c>
      <c r="M429">
        <v>0</v>
      </c>
      <c r="N429">
        <v>0</v>
      </c>
      <c r="O429">
        <v>0</v>
      </c>
      <c r="P429" t="str">
        <f t="shared" si="13"/>
        <v>Non Chronic</v>
      </c>
      <c r="Q429">
        <v>1</v>
      </c>
      <c r="R429">
        <v>1</v>
      </c>
      <c r="S429" t="s">
        <v>0</v>
      </c>
    </row>
    <row r="430" spans="1:19" x14ac:dyDescent="0.3">
      <c r="A430">
        <v>500429</v>
      </c>
      <c r="B430">
        <v>87640</v>
      </c>
      <c r="C430" t="s">
        <v>4</v>
      </c>
      <c r="D430" t="s">
        <v>28</v>
      </c>
      <c r="E430" s="1">
        <v>46023</v>
      </c>
      <c r="F430" t="s">
        <v>774</v>
      </c>
      <c r="G430" s="1">
        <v>46028</v>
      </c>
      <c r="H430" s="1" t="str">
        <f t="shared" si="12"/>
        <v>Tuesday</v>
      </c>
      <c r="I430">
        <v>59</v>
      </c>
      <c r="J430" t="s">
        <v>12</v>
      </c>
      <c r="K430">
        <v>0</v>
      </c>
      <c r="L430">
        <v>0</v>
      </c>
      <c r="M430">
        <v>1</v>
      </c>
      <c r="N430">
        <v>0</v>
      </c>
      <c r="O430">
        <v>0</v>
      </c>
      <c r="P430" t="str">
        <f t="shared" si="13"/>
        <v>Chronic</v>
      </c>
      <c r="Q430">
        <v>1</v>
      </c>
      <c r="R430">
        <v>0</v>
      </c>
      <c r="S430" t="s">
        <v>0</v>
      </c>
    </row>
    <row r="431" spans="1:19" x14ac:dyDescent="0.3">
      <c r="A431">
        <v>500430</v>
      </c>
      <c r="B431">
        <v>93574</v>
      </c>
      <c r="C431" t="s">
        <v>4</v>
      </c>
      <c r="D431" t="s">
        <v>25</v>
      </c>
      <c r="E431" s="1">
        <v>46122</v>
      </c>
      <c r="F431" t="s">
        <v>773</v>
      </c>
      <c r="G431" s="1">
        <v>46124</v>
      </c>
      <c r="H431" s="1" t="str">
        <f t="shared" si="12"/>
        <v>Sunday</v>
      </c>
      <c r="I431">
        <v>2</v>
      </c>
      <c r="J431" t="s">
        <v>15</v>
      </c>
      <c r="K431">
        <v>0</v>
      </c>
      <c r="L431">
        <v>0</v>
      </c>
      <c r="M431">
        <v>0</v>
      </c>
      <c r="N431">
        <v>0</v>
      </c>
      <c r="O431">
        <v>0</v>
      </c>
      <c r="P431" t="str">
        <f t="shared" si="13"/>
        <v>Non Chronic</v>
      </c>
      <c r="Q431">
        <v>1</v>
      </c>
      <c r="R431">
        <v>0</v>
      </c>
      <c r="S431" t="s">
        <v>30</v>
      </c>
    </row>
    <row r="432" spans="1:19" x14ac:dyDescent="0.3">
      <c r="A432">
        <v>500431</v>
      </c>
      <c r="B432">
        <v>73133</v>
      </c>
      <c r="C432" t="s">
        <v>4</v>
      </c>
      <c r="D432" t="s">
        <v>14</v>
      </c>
      <c r="E432" s="1">
        <v>46058</v>
      </c>
      <c r="F432" t="s">
        <v>772</v>
      </c>
      <c r="G432" s="1">
        <v>46065</v>
      </c>
      <c r="H432" s="1" t="str">
        <f t="shared" si="12"/>
        <v>Thursday</v>
      </c>
      <c r="I432">
        <v>14</v>
      </c>
      <c r="J432" t="s">
        <v>23</v>
      </c>
      <c r="K432">
        <v>0</v>
      </c>
      <c r="L432">
        <v>0</v>
      </c>
      <c r="M432">
        <v>0</v>
      </c>
      <c r="N432">
        <v>0</v>
      </c>
      <c r="O432">
        <v>0</v>
      </c>
      <c r="P432" t="str">
        <f t="shared" si="13"/>
        <v>Non Chronic</v>
      </c>
      <c r="Q432">
        <v>0</v>
      </c>
      <c r="R432">
        <v>0</v>
      </c>
      <c r="S432" t="s">
        <v>30</v>
      </c>
    </row>
    <row r="433" spans="1:19" x14ac:dyDescent="0.3">
      <c r="A433">
        <v>500432</v>
      </c>
      <c r="B433">
        <v>33839</v>
      </c>
      <c r="C433" t="s">
        <v>8</v>
      </c>
      <c r="D433" t="s">
        <v>28</v>
      </c>
      <c r="E433" s="1">
        <v>46053</v>
      </c>
      <c r="F433" t="s">
        <v>440</v>
      </c>
      <c r="G433" s="1">
        <v>46073</v>
      </c>
      <c r="H433" s="1" t="str">
        <f t="shared" si="12"/>
        <v>Friday</v>
      </c>
      <c r="I433">
        <v>0</v>
      </c>
      <c r="J433" t="s">
        <v>20</v>
      </c>
      <c r="K433">
        <v>0</v>
      </c>
      <c r="L433">
        <v>0</v>
      </c>
      <c r="M433">
        <v>0</v>
      </c>
      <c r="N433">
        <v>0</v>
      </c>
      <c r="O433">
        <v>0</v>
      </c>
      <c r="P433" t="str">
        <f t="shared" si="13"/>
        <v>Non Chronic</v>
      </c>
      <c r="Q433">
        <v>1</v>
      </c>
      <c r="R433">
        <v>1</v>
      </c>
      <c r="S433" t="s">
        <v>30</v>
      </c>
    </row>
    <row r="434" spans="1:19" x14ac:dyDescent="0.3">
      <c r="A434">
        <v>500433</v>
      </c>
      <c r="B434">
        <v>59572</v>
      </c>
      <c r="C434" t="s">
        <v>8</v>
      </c>
      <c r="D434" t="s">
        <v>28</v>
      </c>
      <c r="E434" s="1">
        <v>46126</v>
      </c>
      <c r="F434" t="s">
        <v>771</v>
      </c>
      <c r="G434" s="1">
        <v>46141</v>
      </c>
      <c r="H434" s="1" t="str">
        <f t="shared" si="12"/>
        <v>Wednesday</v>
      </c>
      <c r="I434">
        <v>32</v>
      </c>
      <c r="J434" t="s">
        <v>15</v>
      </c>
      <c r="K434">
        <v>0</v>
      </c>
      <c r="L434">
        <v>0</v>
      </c>
      <c r="M434">
        <v>0</v>
      </c>
      <c r="N434">
        <v>0</v>
      </c>
      <c r="O434">
        <v>0</v>
      </c>
      <c r="P434" t="str">
        <f t="shared" si="13"/>
        <v>Non Chronic</v>
      </c>
      <c r="Q434">
        <v>1</v>
      </c>
      <c r="R434">
        <v>0</v>
      </c>
      <c r="S434" t="s">
        <v>22</v>
      </c>
    </row>
    <row r="435" spans="1:19" x14ac:dyDescent="0.3">
      <c r="A435">
        <v>500434</v>
      </c>
      <c r="B435">
        <v>29603</v>
      </c>
      <c r="C435" t="s">
        <v>4</v>
      </c>
      <c r="D435" t="s">
        <v>28</v>
      </c>
      <c r="E435" s="1">
        <v>46104</v>
      </c>
      <c r="F435" t="s">
        <v>235</v>
      </c>
      <c r="G435" s="1">
        <v>46105</v>
      </c>
      <c r="H435" s="1" t="str">
        <f t="shared" si="12"/>
        <v>Tuesday</v>
      </c>
      <c r="I435">
        <v>52</v>
      </c>
      <c r="J435" t="s">
        <v>10</v>
      </c>
      <c r="K435">
        <v>0</v>
      </c>
      <c r="L435">
        <v>0</v>
      </c>
      <c r="M435">
        <v>0</v>
      </c>
      <c r="N435">
        <v>0</v>
      </c>
      <c r="O435">
        <v>0</v>
      </c>
      <c r="P435" t="str">
        <f t="shared" si="13"/>
        <v>Non Chronic</v>
      </c>
      <c r="Q435">
        <v>1</v>
      </c>
      <c r="R435">
        <v>0</v>
      </c>
      <c r="S435" t="s">
        <v>0</v>
      </c>
    </row>
    <row r="436" spans="1:19" x14ac:dyDescent="0.3">
      <c r="A436">
        <v>500435</v>
      </c>
      <c r="B436">
        <v>80685</v>
      </c>
      <c r="C436" t="s">
        <v>4</v>
      </c>
      <c r="D436" t="s">
        <v>3</v>
      </c>
      <c r="E436" s="1">
        <v>46028</v>
      </c>
      <c r="F436" t="s">
        <v>583</v>
      </c>
      <c r="G436" s="1">
        <v>46043</v>
      </c>
      <c r="H436" s="1" t="str">
        <f t="shared" si="12"/>
        <v>Wednesday</v>
      </c>
      <c r="I436">
        <v>68</v>
      </c>
      <c r="J436" t="s">
        <v>12</v>
      </c>
      <c r="K436">
        <v>1</v>
      </c>
      <c r="L436">
        <v>0</v>
      </c>
      <c r="M436">
        <v>1</v>
      </c>
      <c r="N436">
        <v>0</v>
      </c>
      <c r="O436">
        <v>0</v>
      </c>
      <c r="P436" t="str">
        <f t="shared" si="13"/>
        <v>Chronic</v>
      </c>
      <c r="Q436">
        <v>0</v>
      </c>
      <c r="R436">
        <v>1</v>
      </c>
      <c r="S436" t="s">
        <v>9</v>
      </c>
    </row>
    <row r="437" spans="1:19" x14ac:dyDescent="0.3">
      <c r="A437">
        <v>500436</v>
      </c>
      <c r="B437">
        <v>87207</v>
      </c>
      <c r="C437" t="s">
        <v>4</v>
      </c>
      <c r="D437" t="s">
        <v>3</v>
      </c>
      <c r="E437" s="1">
        <v>46059</v>
      </c>
      <c r="F437" t="s">
        <v>76</v>
      </c>
      <c r="G437" s="1">
        <v>46061</v>
      </c>
      <c r="H437" s="1" t="str">
        <f t="shared" si="12"/>
        <v>Sunday</v>
      </c>
      <c r="I437">
        <v>39</v>
      </c>
      <c r="J437" t="s">
        <v>31</v>
      </c>
      <c r="K437">
        <v>1</v>
      </c>
      <c r="L437">
        <v>0</v>
      </c>
      <c r="M437">
        <v>0</v>
      </c>
      <c r="N437">
        <v>0</v>
      </c>
      <c r="O437">
        <v>0</v>
      </c>
      <c r="P437" t="str">
        <f t="shared" si="13"/>
        <v>Non Chronic</v>
      </c>
      <c r="Q437">
        <v>0</v>
      </c>
      <c r="R437">
        <v>0</v>
      </c>
      <c r="S437" t="s">
        <v>22</v>
      </c>
    </row>
    <row r="438" spans="1:19" x14ac:dyDescent="0.3">
      <c r="A438">
        <v>500437</v>
      </c>
      <c r="B438">
        <v>81267</v>
      </c>
      <c r="C438" t="s">
        <v>8</v>
      </c>
      <c r="D438" t="s">
        <v>25</v>
      </c>
      <c r="E438" s="1">
        <v>46117</v>
      </c>
      <c r="F438" t="s">
        <v>770</v>
      </c>
      <c r="G438" s="1">
        <v>46117</v>
      </c>
      <c r="H438" s="1" t="str">
        <f t="shared" si="12"/>
        <v>Sunday</v>
      </c>
      <c r="I438">
        <v>70</v>
      </c>
      <c r="J438" t="s">
        <v>45</v>
      </c>
      <c r="K438">
        <v>0</v>
      </c>
      <c r="L438">
        <v>0</v>
      </c>
      <c r="M438">
        <v>0</v>
      </c>
      <c r="N438">
        <v>0</v>
      </c>
      <c r="O438">
        <v>0</v>
      </c>
      <c r="P438" t="str">
        <f t="shared" si="13"/>
        <v>Non Chronic</v>
      </c>
      <c r="Q438">
        <v>1</v>
      </c>
      <c r="R438">
        <v>0</v>
      </c>
      <c r="S438" t="s">
        <v>9</v>
      </c>
    </row>
    <row r="439" spans="1:19" x14ac:dyDescent="0.3">
      <c r="A439">
        <v>500438</v>
      </c>
      <c r="B439">
        <v>51405</v>
      </c>
      <c r="C439" t="s">
        <v>8</v>
      </c>
      <c r="D439" t="s">
        <v>19</v>
      </c>
      <c r="E439" s="1">
        <v>45984</v>
      </c>
      <c r="F439" t="s">
        <v>619</v>
      </c>
      <c r="G439" s="1">
        <v>45985</v>
      </c>
      <c r="H439" s="1" t="str">
        <f t="shared" si="12"/>
        <v>Monday</v>
      </c>
      <c r="I439">
        <v>10</v>
      </c>
      <c r="J439" t="s">
        <v>15</v>
      </c>
      <c r="K439">
        <v>0</v>
      </c>
      <c r="L439">
        <v>0</v>
      </c>
      <c r="M439">
        <v>0</v>
      </c>
      <c r="N439">
        <v>0</v>
      </c>
      <c r="O439">
        <v>0</v>
      </c>
      <c r="P439" t="str">
        <f t="shared" si="13"/>
        <v>Non Chronic</v>
      </c>
      <c r="Q439">
        <v>1</v>
      </c>
      <c r="R439">
        <v>0</v>
      </c>
      <c r="S439" t="s">
        <v>30</v>
      </c>
    </row>
    <row r="440" spans="1:19" x14ac:dyDescent="0.3">
      <c r="A440">
        <v>500439</v>
      </c>
      <c r="B440">
        <v>80268</v>
      </c>
      <c r="C440" t="s">
        <v>8</v>
      </c>
      <c r="D440" t="s">
        <v>19</v>
      </c>
      <c r="E440" s="1">
        <v>46009</v>
      </c>
      <c r="F440" t="s">
        <v>317</v>
      </c>
      <c r="G440" s="1">
        <v>46011</v>
      </c>
      <c r="H440" s="1" t="str">
        <f t="shared" si="12"/>
        <v>Saturday</v>
      </c>
      <c r="I440">
        <v>3</v>
      </c>
      <c r="J440" t="s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 t="str">
        <f t="shared" si="13"/>
        <v>Non Chronic</v>
      </c>
      <c r="Q440">
        <v>1</v>
      </c>
      <c r="R440">
        <v>0</v>
      </c>
      <c r="S440" t="s">
        <v>30</v>
      </c>
    </row>
    <row r="441" spans="1:19" x14ac:dyDescent="0.3">
      <c r="A441">
        <v>500440</v>
      </c>
      <c r="B441">
        <v>64162</v>
      </c>
      <c r="C441" t="s">
        <v>8</v>
      </c>
      <c r="D441" t="s">
        <v>28</v>
      </c>
      <c r="E441" s="1">
        <v>46147</v>
      </c>
      <c r="F441" t="s">
        <v>769</v>
      </c>
      <c r="G441" s="1">
        <v>46149</v>
      </c>
      <c r="H441" s="1" t="str">
        <f t="shared" si="12"/>
        <v>Thursday</v>
      </c>
      <c r="I441">
        <v>36</v>
      </c>
      <c r="J441" t="s">
        <v>20</v>
      </c>
      <c r="K441">
        <v>1</v>
      </c>
      <c r="L441">
        <v>0</v>
      </c>
      <c r="M441">
        <v>0</v>
      </c>
      <c r="N441">
        <v>0</v>
      </c>
      <c r="O441">
        <v>0</v>
      </c>
      <c r="P441" t="str">
        <f t="shared" si="13"/>
        <v>Non Chronic</v>
      </c>
      <c r="Q441">
        <v>1</v>
      </c>
      <c r="R441">
        <v>0</v>
      </c>
      <c r="S441" t="s">
        <v>22</v>
      </c>
    </row>
    <row r="442" spans="1:19" x14ac:dyDescent="0.3">
      <c r="A442">
        <v>500441</v>
      </c>
      <c r="B442">
        <v>28096</v>
      </c>
      <c r="C442" t="s">
        <v>4</v>
      </c>
      <c r="D442" t="s">
        <v>14</v>
      </c>
      <c r="E442" s="1">
        <v>46161</v>
      </c>
      <c r="F442" t="s">
        <v>558</v>
      </c>
      <c r="G442" s="1">
        <v>46176</v>
      </c>
      <c r="H442" s="1" t="str">
        <f t="shared" si="12"/>
        <v>Wednesday</v>
      </c>
      <c r="I442">
        <v>45</v>
      </c>
      <c r="J442" t="s">
        <v>10</v>
      </c>
      <c r="K442">
        <v>0</v>
      </c>
      <c r="L442">
        <v>0</v>
      </c>
      <c r="M442">
        <v>1</v>
      </c>
      <c r="N442">
        <v>0</v>
      </c>
      <c r="O442">
        <v>0</v>
      </c>
      <c r="P442" t="str">
        <f t="shared" si="13"/>
        <v>Chronic</v>
      </c>
      <c r="Q442">
        <v>0</v>
      </c>
      <c r="R442">
        <v>0</v>
      </c>
      <c r="S442" t="s">
        <v>0</v>
      </c>
    </row>
    <row r="443" spans="1:19" x14ac:dyDescent="0.3">
      <c r="A443">
        <v>500442</v>
      </c>
      <c r="B443">
        <v>99727</v>
      </c>
      <c r="C443" t="s">
        <v>4</v>
      </c>
      <c r="D443" t="s">
        <v>28</v>
      </c>
      <c r="E443" s="1">
        <v>46054</v>
      </c>
      <c r="F443" t="s">
        <v>472</v>
      </c>
      <c r="G443" s="1">
        <v>46069</v>
      </c>
      <c r="H443" s="1" t="str">
        <f t="shared" si="12"/>
        <v>Monday</v>
      </c>
      <c r="I443">
        <v>37</v>
      </c>
      <c r="J443" t="s">
        <v>23</v>
      </c>
      <c r="K443">
        <v>0</v>
      </c>
      <c r="L443">
        <v>0</v>
      </c>
      <c r="M443">
        <v>0</v>
      </c>
      <c r="N443">
        <v>0</v>
      </c>
      <c r="O443">
        <v>0</v>
      </c>
      <c r="P443" t="str">
        <f t="shared" si="13"/>
        <v>Non Chronic</v>
      </c>
      <c r="Q443">
        <v>1</v>
      </c>
      <c r="R443">
        <v>0</v>
      </c>
      <c r="S443" t="s">
        <v>22</v>
      </c>
    </row>
    <row r="444" spans="1:19" x14ac:dyDescent="0.3">
      <c r="A444">
        <v>500443</v>
      </c>
      <c r="B444">
        <v>21552</v>
      </c>
      <c r="C444" t="s">
        <v>4</v>
      </c>
      <c r="D444" t="s">
        <v>25</v>
      </c>
      <c r="E444" s="1">
        <v>46052</v>
      </c>
      <c r="F444" t="s">
        <v>316</v>
      </c>
      <c r="G444" s="1">
        <v>46055</v>
      </c>
      <c r="H444" s="1" t="str">
        <f t="shared" si="12"/>
        <v>Monday</v>
      </c>
      <c r="I444">
        <v>0</v>
      </c>
      <c r="J444" t="s">
        <v>45</v>
      </c>
      <c r="K444">
        <v>0</v>
      </c>
      <c r="L444">
        <v>0</v>
      </c>
      <c r="M444">
        <v>0</v>
      </c>
      <c r="N444">
        <v>0</v>
      </c>
      <c r="O444">
        <v>0</v>
      </c>
      <c r="P444" t="str">
        <f t="shared" si="13"/>
        <v>Non Chronic</v>
      </c>
      <c r="Q444">
        <v>1</v>
      </c>
      <c r="R444">
        <v>0</v>
      </c>
      <c r="S444" t="s">
        <v>30</v>
      </c>
    </row>
    <row r="445" spans="1:19" x14ac:dyDescent="0.3">
      <c r="A445">
        <v>500444</v>
      </c>
      <c r="B445">
        <v>62513</v>
      </c>
      <c r="C445" t="s">
        <v>8</v>
      </c>
      <c r="D445" t="s">
        <v>36</v>
      </c>
      <c r="E445" s="1">
        <v>46087</v>
      </c>
      <c r="F445" t="s">
        <v>283</v>
      </c>
      <c r="G445" s="1">
        <v>46089</v>
      </c>
      <c r="H445" s="1" t="str">
        <f t="shared" si="12"/>
        <v>Sunday</v>
      </c>
      <c r="I445">
        <v>36</v>
      </c>
      <c r="J445" t="s">
        <v>31</v>
      </c>
      <c r="K445">
        <v>1</v>
      </c>
      <c r="L445">
        <v>0</v>
      </c>
      <c r="M445">
        <v>0</v>
      </c>
      <c r="N445">
        <v>0</v>
      </c>
      <c r="O445">
        <v>0</v>
      </c>
      <c r="P445" t="str">
        <f t="shared" si="13"/>
        <v>Non Chronic</v>
      </c>
      <c r="Q445">
        <v>1</v>
      </c>
      <c r="R445">
        <v>0</v>
      </c>
      <c r="S445" t="s">
        <v>22</v>
      </c>
    </row>
    <row r="446" spans="1:19" x14ac:dyDescent="0.3">
      <c r="A446">
        <v>500445</v>
      </c>
      <c r="B446">
        <v>47487</v>
      </c>
      <c r="C446" t="s">
        <v>4</v>
      </c>
      <c r="D446" t="s">
        <v>36</v>
      </c>
      <c r="E446" s="1">
        <v>46086</v>
      </c>
      <c r="F446" t="s">
        <v>768</v>
      </c>
      <c r="G446" s="1">
        <v>46091</v>
      </c>
      <c r="H446" s="1" t="str">
        <f t="shared" si="12"/>
        <v>Tuesday</v>
      </c>
      <c r="I446">
        <v>11</v>
      </c>
      <c r="J446" t="s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 t="str">
        <f t="shared" si="13"/>
        <v>Non Chronic</v>
      </c>
      <c r="Q446">
        <v>1</v>
      </c>
      <c r="R446">
        <v>0</v>
      </c>
      <c r="S446" t="s">
        <v>30</v>
      </c>
    </row>
    <row r="447" spans="1:19" x14ac:dyDescent="0.3">
      <c r="A447">
        <v>500446</v>
      </c>
      <c r="B447">
        <v>98345</v>
      </c>
      <c r="C447" t="s">
        <v>4</v>
      </c>
      <c r="D447" t="s">
        <v>19</v>
      </c>
      <c r="E447" s="1">
        <v>46069</v>
      </c>
      <c r="F447" t="s">
        <v>767</v>
      </c>
      <c r="G447" s="1">
        <v>46072</v>
      </c>
      <c r="H447" s="1" t="str">
        <f t="shared" si="12"/>
        <v>Thursday</v>
      </c>
      <c r="I447">
        <v>51</v>
      </c>
      <c r="J447" t="s">
        <v>45</v>
      </c>
      <c r="K447">
        <v>0</v>
      </c>
      <c r="L447">
        <v>0</v>
      </c>
      <c r="M447">
        <v>1</v>
      </c>
      <c r="N447">
        <v>0</v>
      </c>
      <c r="O447">
        <v>0</v>
      </c>
      <c r="P447" t="str">
        <f t="shared" si="13"/>
        <v>Chronic</v>
      </c>
      <c r="Q447">
        <v>1</v>
      </c>
      <c r="R447">
        <v>0</v>
      </c>
      <c r="S447" t="s">
        <v>0</v>
      </c>
    </row>
    <row r="448" spans="1:19" x14ac:dyDescent="0.3">
      <c r="A448">
        <v>500447</v>
      </c>
      <c r="B448">
        <v>36255</v>
      </c>
      <c r="C448" t="s">
        <v>4</v>
      </c>
      <c r="D448" t="s">
        <v>58</v>
      </c>
      <c r="E448" s="1">
        <v>46139</v>
      </c>
      <c r="F448" t="s">
        <v>387</v>
      </c>
      <c r="G448" s="1">
        <v>46146</v>
      </c>
      <c r="H448" s="1" t="str">
        <f t="shared" si="12"/>
        <v>Monday</v>
      </c>
      <c r="I448">
        <v>45</v>
      </c>
      <c r="J448" t="s">
        <v>15</v>
      </c>
      <c r="K448">
        <v>1</v>
      </c>
      <c r="L448">
        <v>0</v>
      </c>
      <c r="M448">
        <v>0</v>
      </c>
      <c r="N448">
        <v>0</v>
      </c>
      <c r="O448">
        <v>0</v>
      </c>
      <c r="P448" t="str">
        <f t="shared" si="13"/>
        <v>Non Chronic</v>
      </c>
      <c r="Q448">
        <v>1</v>
      </c>
      <c r="R448">
        <v>0</v>
      </c>
      <c r="S448" t="s">
        <v>0</v>
      </c>
    </row>
    <row r="449" spans="1:19" x14ac:dyDescent="0.3">
      <c r="A449">
        <v>500448</v>
      </c>
      <c r="B449">
        <v>39661</v>
      </c>
      <c r="C449" t="s">
        <v>4</v>
      </c>
      <c r="D449" t="s">
        <v>7</v>
      </c>
      <c r="E449" s="1">
        <v>46049</v>
      </c>
      <c r="F449" t="s">
        <v>766</v>
      </c>
      <c r="G449" s="1">
        <v>46051</v>
      </c>
      <c r="H449" s="1" t="str">
        <f t="shared" si="12"/>
        <v>Thursday</v>
      </c>
      <c r="I449">
        <v>19</v>
      </c>
      <c r="J449" t="s">
        <v>23</v>
      </c>
      <c r="K449">
        <v>0</v>
      </c>
      <c r="L449">
        <v>0</v>
      </c>
      <c r="M449">
        <v>0</v>
      </c>
      <c r="N449">
        <v>0</v>
      </c>
      <c r="O449">
        <v>0</v>
      </c>
      <c r="P449" t="str">
        <f t="shared" si="13"/>
        <v>Non Chronic</v>
      </c>
      <c r="Q449">
        <v>1</v>
      </c>
      <c r="R449">
        <v>1</v>
      </c>
      <c r="S449" t="s">
        <v>22</v>
      </c>
    </row>
    <row r="450" spans="1:19" x14ac:dyDescent="0.3">
      <c r="A450">
        <v>500449</v>
      </c>
      <c r="B450">
        <v>19487</v>
      </c>
      <c r="C450" t="s">
        <v>8</v>
      </c>
      <c r="D450" t="s">
        <v>19</v>
      </c>
      <c r="E450" s="1">
        <v>46155</v>
      </c>
      <c r="F450" t="s">
        <v>101</v>
      </c>
      <c r="G450" s="1">
        <v>46170</v>
      </c>
      <c r="H450" s="1" t="str">
        <f t="shared" si="12"/>
        <v>Thursday</v>
      </c>
      <c r="I450">
        <v>27</v>
      </c>
      <c r="J450" t="s">
        <v>15</v>
      </c>
      <c r="K450">
        <v>1</v>
      </c>
      <c r="L450">
        <v>0</v>
      </c>
      <c r="M450">
        <v>0</v>
      </c>
      <c r="N450">
        <v>0</v>
      </c>
      <c r="O450">
        <v>0</v>
      </c>
      <c r="P450" t="str">
        <f t="shared" si="13"/>
        <v>Non Chronic</v>
      </c>
      <c r="Q450">
        <v>1</v>
      </c>
      <c r="R450">
        <v>0</v>
      </c>
      <c r="S450" t="s">
        <v>22</v>
      </c>
    </row>
    <row r="451" spans="1:19" x14ac:dyDescent="0.3">
      <c r="A451">
        <v>500450</v>
      </c>
      <c r="B451">
        <v>59424</v>
      </c>
      <c r="C451" t="s">
        <v>8</v>
      </c>
      <c r="D451" t="s">
        <v>14</v>
      </c>
      <c r="E451" s="1">
        <v>46122</v>
      </c>
      <c r="F451" t="s">
        <v>530</v>
      </c>
      <c r="G451" s="1">
        <v>46152</v>
      </c>
      <c r="H451" s="1" t="str">
        <f t="shared" ref="H451:H514" si="14">TEXT(G451,"dddd")</f>
        <v>Sunday</v>
      </c>
      <c r="I451">
        <v>16</v>
      </c>
      <c r="J451" t="s">
        <v>20</v>
      </c>
      <c r="K451">
        <v>0</v>
      </c>
      <c r="L451">
        <v>0</v>
      </c>
      <c r="M451">
        <v>0</v>
      </c>
      <c r="N451">
        <v>0</v>
      </c>
      <c r="O451">
        <v>0</v>
      </c>
      <c r="P451" t="str">
        <f t="shared" ref="P451:P514" si="15">IF(OR(L451=1,M451=1),"Chronic","Non Chronic")</f>
        <v>Non Chronic</v>
      </c>
      <c r="Q451">
        <v>1</v>
      </c>
      <c r="R451">
        <v>0</v>
      </c>
      <c r="S451" t="s">
        <v>30</v>
      </c>
    </row>
    <row r="452" spans="1:19" x14ac:dyDescent="0.3">
      <c r="A452">
        <v>500451</v>
      </c>
      <c r="B452">
        <v>86916</v>
      </c>
      <c r="C452" t="s">
        <v>4</v>
      </c>
      <c r="D452" t="s">
        <v>7</v>
      </c>
      <c r="E452" s="1">
        <v>46124</v>
      </c>
      <c r="F452" t="s">
        <v>765</v>
      </c>
      <c r="G452" s="1">
        <v>46131</v>
      </c>
      <c r="H452" s="1" t="str">
        <f t="shared" si="14"/>
        <v>Sunday</v>
      </c>
      <c r="I452">
        <v>36</v>
      </c>
      <c r="J452" t="s">
        <v>15</v>
      </c>
      <c r="K452">
        <v>1</v>
      </c>
      <c r="L452">
        <v>0</v>
      </c>
      <c r="M452">
        <v>0</v>
      </c>
      <c r="N452">
        <v>1</v>
      </c>
      <c r="O452">
        <v>0</v>
      </c>
      <c r="P452" t="str">
        <f t="shared" si="15"/>
        <v>Non Chronic</v>
      </c>
      <c r="Q452">
        <v>0</v>
      </c>
      <c r="R452">
        <v>0</v>
      </c>
      <c r="S452" t="s">
        <v>22</v>
      </c>
    </row>
    <row r="453" spans="1:19" x14ac:dyDescent="0.3">
      <c r="A453">
        <v>500452</v>
      </c>
      <c r="B453">
        <v>40137</v>
      </c>
      <c r="C453" t="s">
        <v>8</v>
      </c>
      <c r="D453" t="s">
        <v>3</v>
      </c>
      <c r="E453" s="1">
        <v>46117</v>
      </c>
      <c r="F453" t="s">
        <v>764</v>
      </c>
      <c r="G453" s="1">
        <v>46127</v>
      </c>
      <c r="H453" s="1" t="str">
        <f t="shared" si="14"/>
        <v>Wednesday</v>
      </c>
      <c r="I453">
        <v>57</v>
      </c>
      <c r="J453" t="s">
        <v>20</v>
      </c>
      <c r="K453">
        <v>0</v>
      </c>
      <c r="L453">
        <v>0</v>
      </c>
      <c r="M453">
        <v>0</v>
      </c>
      <c r="N453">
        <v>0</v>
      </c>
      <c r="O453">
        <v>0</v>
      </c>
      <c r="P453" t="str">
        <f t="shared" si="15"/>
        <v>Non Chronic</v>
      </c>
      <c r="Q453">
        <v>1</v>
      </c>
      <c r="R453">
        <v>0</v>
      </c>
      <c r="S453" t="s">
        <v>0</v>
      </c>
    </row>
    <row r="454" spans="1:19" x14ac:dyDescent="0.3">
      <c r="A454">
        <v>500453</v>
      </c>
      <c r="B454">
        <v>33394</v>
      </c>
      <c r="C454" t="s">
        <v>8</v>
      </c>
      <c r="D454" t="s">
        <v>19</v>
      </c>
      <c r="E454" s="1">
        <v>46029</v>
      </c>
      <c r="F454" t="s">
        <v>462</v>
      </c>
      <c r="G454" s="1">
        <v>46031</v>
      </c>
      <c r="H454" s="1" t="str">
        <f t="shared" si="14"/>
        <v>Friday</v>
      </c>
      <c r="I454">
        <v>18</v>
      </c>
      <c r="J454" t="s">
        <v>20</v>
      </c>
      <c r="K454">
        <v>0</v>
      </c>
      <c r="L454">
        <v>0</v>
      </c>
      <c r="M454">
        <v>0</v>
      </c>
      <c r="N454">
        <v>0</v>
      </c>
      <c r="O454">
        <v>0</v>
      </c>
      <c r="P454" t="str">
        <f t="shared" si="15"/>
        <v>Non Chronic</v>
      </c>
      <c r="Q454">
        <v>1</v>
      </c>
      <c r="R454">
        <v>1</v>
      </c>
      <c r="S454" t="s">
        <v>30</v>
      </c>
    </row>
    <row r="455" spans="1:19" x14ac:dyDescent="0.3">
      <c r="A455">
        <v>500454</v>
      </c>
      <c r="B455">
        <v>99536</v>
      </c>
      <c r="C455" t="s">
        <v>4</v>
      </c>
      <c r="D455" t="s">
        <v>7</v>
      </c>
      <c r="E455" s="1">
        <v>46131</v>
      </c>
      <c r="F455" t="s">
        <v>763</v>
      </c>
      <c r="G455" s="1">
        <v>46133</v>
      </c>
      <c r="H455" s="1" t="str">
        <f t="shared" si="14"/>
        <v>Tuesday</v>
      </c>
      <c r="I455">
        <v>48</v>
      </c>
      <c r="J455" t="s">
        <v>45</v>
      </c>
      <c r="K455">
        <v>0</v>
      </c>
      <c r="L455">
        <v>0</v>
      </c>
      <c r="M455">
        <v>0</v>
      </c>
      <c r="N455">
        <v>0</v>
      </c>
      <c r="O455">
        <v>0</v>
      </c>
      <c r="P455" t="str">
        <f t="shared" si="15"/>
        <v>Non Chronic</v>
      </c>
      <c r="Q455">
        <v>1</v>
      </c>
      <c r="R455">
        <v>0</v>
      </c>
      <c r="S455" t="s">
        <v>0</v>
      </c>
    </row>
    <row r="456" spans="1:19" x14ac:dyDescent="0.3">
      <c r="A456">
        <v>500455</v>
      </c>
      <c r="B456">
        <v>30446</v>
      </c>
      <c r="C456" t="s">
        <v>4</v>
      </c>
      <c r="D456" t="s">
        <v>58</v>
      </c>
      <c r="E456" s="1">
        <v>46132</v>
      </c>
      <c r="F456" t="s">
        <v>505</v>
      </c>
      <c r="G456" s="1">
        <v>46142</v>
      </c>
      <c r="H456" s="1" t="str">
        <f t="shared" si="14"/>
        <v>Thursday</v>
      </c>
      <c r="I456">
        <v>27</v>
      </c>
      <c r="J456" t="s">
        <v>15</v>
      </c>
      <c r="K456">
        <v>1</v>
      </c>
      <c r="L456">
        <v>0</v>
      </c>
      <c r="M456">
        <v>0</v>
      </c>
      <c r="N456">
        <v>0</v>
      </c>
      <c r="O456">
        <v>0</v>
      </c>
      <c r="P456" t="str">
        <f t="shared" si="15"/>
        <v>Non Chronic</v>
      </c>
      <c r="Q456">
        <v>1</v>
      </c>
      <c r="R456">
        <v>1</v>
      </c>
      <c r="S456" t="s">
        <v>22</v>
      </c>
    </row>
    <row r="457" spans="1:19" x14ac:dyDescent="0.3">
      <c r="A457">
        <v>500456</v>
      </c>
      <c r="B457">
        <v>73214</v>
      </c>
      <c r="C457" t="s">
        <v>8</v>
      </c>
      <c r="D457" t="s">
        <v>19</v>
      </c>
      <c r="E457" s="1">
        <v>46112</v>
      </c>
      <c r="F457" t="s">
        <v>762</v>
      </c>
      <c r="G457" s="1">
        <v>46142</v>
      </c>
      <c r="H457" s="1" t="str">
        <f t="shared" si="14"/>
        <v>Thursday</v>
      </c>
      <c r="I457">
        <v>22</v>
      </c>
      <c r="J457" t="s">
        <v>10</v>
      </c>
      <c r="K457">
        <v>1</v>
      </c>
      <c r="L457">
        <v>0</v>
      </c>
      <c r="M457">
        <v>0</v>
      </c>
      <c r="N457">
        <v>0</v>
      </c>
      <c r="O457">
        <v>0</v>
      </c>
      <c r="P457" t="str">
        <f t="shared" si="15"/>
        <v>Non Chronic</v>
      </c>
      <c r="Q457">
        <v>0</v>
      </c>
      <c r="R457">
        <v>1</v>
      </c>
      <c r="S457" t="s">
        <v>22</v>
      </c>
    </row>
    <row r="458" spans="1:19" x14ac:dyDescent="0.3">
      <c r="A458">
        <v>500457</v>
      </c>
      <c r="B458">
        <v>39110</v>
      </c>
      <c r="C458" t="s">
        <v>4</v>
      </c>
      <c r="D458" t="s">
        <v>36</v>
      </c>
      <c r="E458" s="1">
        <v>46124</v>
      </c>
      <c r="F458" t="s">
        <v>761</v>
      </c>
      <c r="G458" s="1">
        <v>46129</v>
      </c>
      <c r="H458" s="1" t="str">
        <f t="shared" si="14"/>
        <v>Friday</v>
      </c>
      <c r="I458">
        <v>35</v>
      </c>
      <c r="J458" t="s">
        <v>12</v>
      </c>
      <c r="K458">
        <v>1</v>
      </c>
      <c r="L458">
        <v>0</v>
      </c>
      <c r="M458">
        <v>0</v>
      </c>
      <c r="N458">
        <v>0</v>
      </c>
      <c r="O458">
        <v>0</v>
      </c>
      <c r="P458" t="str">
        <f t="shared" si="15"/>
        <v>Non Chronic</v>
      </c>
      <c r="Q458">
        <v>1</v>
      </c>
      <c r="R458">
        <v>0</v>
      </c>
      <c r="S458" t="s">
        <v>22</v>
      </c>
    </row>
    <row r="459" spans="1:19" x14ac:dyDescent="0.3">
      <c r="A459">
        <v>500458</v>
      </c>
      <c r="B459">
        <v>99959</v>
      </c>
      <c r="C459" t="s">
        <v>4</v>
      </c>
      <c r="D459" t="s">
        <v>7</v>
      </c>
      <c r="E459" s="1">
        <v>46051</v>
      </c>
      <c r="F459" t="s">
        <v>760</v>
      </c>
      <c r="G459" s="1">
        <v>46061</v>
      </c>
      <c r="H459" s="1" t="str">
        <f t="shared" si="14"/>
        <v>Sunday</v>
      </c>
      <c r="I459">
        <v>17</v>
      </c>
      <c r="J459" t="s">
        <v>15</v>
      </c>
      <c r="K459">
        <v>0</v>
      </c>
      <c r="L459">
        <v>0</v>
      </c>
      <c r="M459">
        <v>0</v>
      </c>
      <c r="N459">
        <v>0</v>
      </c>
      <c r="O459">
        <v>0</v>
      </c>
      <c r="P459" t="str">
        <f t="shared" si="15"/>
        <v>Non Chronic</v>
      </c>
      <c r="Q459">
        <v>1</v>
      </c>
      <c r="R459">
        <v>0</v>
      </c>
      <c r="S459" t="s">
        <v>30</v>
      </c>
    </row>
    <row r="460" spans="1:19" x14ac:dyDescent="0.3">
      <c r="A460">
        <v>500459</v>
      </c>
      <c r="B460">
        <v>11549</v>
      </c>
      <c r="C460" t="s">
        <v>4</v>
      </c>
      <c r="D460" t="s">
        <v>3</v>
      </c>
      <c r="E460" s="1">
        <v>46068</v>
      </c>
      <c r="F460" t="s">
        <v>74</v>
      </c>
      <c r="G460" s="1">
        <v>46075</v>
      </c>
      <c r="H460" s="1" t="str">
        <f t="shared" si="14"/>
        <v>Sunday</v>
      </c>
      <c r="I460">
        <v>26</v>
      </c>
      <c r="J460" t="s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 t="str">
        <f t="shared" si="15"/>
        <v>Non Chronic</v>
      </c>
      <c r="Q460">
        <v>1</v>
      </c>
      <c r="R460">
        <v>0</v>
      </c>
      <c r="S460" t="s">
        <v>22</v>
      </c>
    </row>
    <row r="461" spans="1:19" x14ac:dyDescent="0.3">
      <c r="A461">
        <v>500460</v>
      </c>
      <c r="B461">
        <v>41082</v>
      </c>
      <c r="C461" t="s">
        <v>8</v>
      </c>
      <c r="D461" t="s">
        <v>7</v>
      </c>
      <c r="E461" s="1">
        <v>46122</v>
      </c>
      <c r="F461" t="s">
        <v>759</v>
      </c>
      <c r="G461" s="1">
        <v>46125</v>
      </c>
      <c r="H461" s="1" t="str">
        <f t="shared" si="14"/>
        <v>Monday</v>
      </c>
      <c r="I461">
        <v>14</v>
      </c>
      <c r="J461" t="s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 t="str">
        <f t="shared" si="15"/>
        <v>Non Chronic</v>
      </c>
      <c r="Q461">
        <v>1</v>
      </c>
      <c r="R461">
        <v>0</v>
      </c>
      <c r="S461" t="s">
        <v>30</v>
      </c>
    </row>
    <row r="462" spans="1:19" x14ac:dyDescent="0.3">
      <c r="A462">
        <v>500461</v>
      </c>
      <c r="B462">
        <v>64931</v>
      </c>
      <c r="C462" t="s">
        <v>8</v>
      </c>
      <c r="D462" t="s">
        <v>19</v>
      </c>
      <c r="E462" s="1">
        <v>46096</v>
      </c>
      <c r="F462" t="s">
        <v>27</v>
      </c>
      <c r="G462" s="1">
        <v>46111</v>
      </c>
      <c r="H462" s="1" t="str">
        <f t="shared" si="14"/>
        <v>Monday</v>
      </c>
      <c r="I462">
        <v>77</v>
      </c>
      <c r="J462" t="s">
        <v>23</v>
      </c>
      <c r="K462">
        <v>1</v>
      </c>
      <c r="L462">
        <v>0</v>
      </c>
      <c r="M462">
        <v>0</v>
      </c>
      <c r="N462">
        <v>0</v>
      </c>
      <c r="O462">
        <v>0</v>
      </c>
      <c r="P462" t="str">
        <f t="shared" si="15"/>
        <v>Non Chronic</v>
      </c>
      <c r="Q462">
        <v>0</v>
      </c>
      <c r="R462">
        <v>0</v>
      </c>
      <c r="S462" t="s">
        <v>9</v>
      </c>
    </row>
    <row r="463" spans="1:19" x14ac:dyDescent="0.3">
      <c r="A463">
        <v>500462</v>
      </c>
      <c r="B463">
        <v>82789</v>
      </c>
      <c r="C463" t="s">
        <v>8</v>
      </c>
      <c r="D463" t="s">
        <v>3</v>
      </c>
      <c r="E463" s="1">
        <v>46156</v>
      </c>
      <c r="F463" t="s">
        <v>457</v>
      </c>
      <c r="G463" s="1">
        <v>46166</v>
      </c>
      <c r="H463" s="1" t="str">
        <f t="shared" si="14"/>
        <v>Sunday</v>
      </c>
      <c r="I463">
        <v>38</v>
      </c>
      <c r="J463" t="s">
        <v>45</v>
      </c>
      <c r="K463">
        <v>0</v>
      </c>
      <c r="L463">
        <v>0</v>
      </c>
      <c r="M463">
        <v>0</v>
      </c>
      <c r="N463">
        <v>0</v>
      </c>
      <c r="O463">
        <v>0</v>
      </c>
      <c r="P463" t="str">
        <f t="shared" si="15"/>
        <v>Non Chronic</v>
      </c>
      <c r="Q463">
        <v>1</v>
      </c>
      <c r="R463">
        <v>1</v>
      </c>
      <c r="S463" t="s">
        <v>22</v>
      </c>
    </row>
    <row r="464" spans="1:19" x14ac:dyDescent="0.3">
      <c r="A464">
        <v>500463</v>
      </c>
      <c r="B464">
        <v>65249</v>
      </c>
      <c r="C464" t="s">
        <v>8</v>
      </c>
      <c r="D464" t="s">
        <v>28</v>
      </c>
      <c r="E464" s="1">
        <v>46107</v>
      </c>
      <c r="F464" t="s">
        <v>434</v>
      </c>
      <c r="G464" s="1">
        <v>46109</v>
      </c>
      <c r="H464" s="1" t="str">
        <f t="shared" si="14"/>
        <v>Saturday</v>
      </c>
      <c r="I464">
        <v>24</v>
      </c>
      <c r="J464" t="s">
        <v>12</v>
      </c>
      <c r="K464">
        <v>1</v>
      </c>
      <c r="L464">
        <v>0</v>
      </c>
      <c r="M464">
        <v>0</v>
      </c>
      <c r="N464">
        <v>0</v>
      </c>
      <c r="O464">
        <v>0</v>
      </c>
      <c r="P464" t="str">
        <f t="shared" si="15"/>
        <v>Non Chronic</v>
      </c>
      <c r="Q464">
        <v>1</v>
      </c>
      <c r="R464">
        <v>0</v>
      </c>
      <c r="S464" t="s">
        <v>22</v>
      </c>
    </row>
    <row r="465" spans="1:19" x14ac:dyDescent="0.3">
      <c r="A465">
        <v>500464</v>
      </c>
      <c r="B465">
        <v>62219</v>
      </c>
      <c r="C465" t="s">
        <v>4</v>
      </c>
      <c r="D465" t="s">
        <v>28</v>
      </c>
      <c r="E465" s="1">
        <v>46154</v>
      </c>
      <c r="F465" t="s">
        <v>664</v>
      </c>
      <c r="G465" s="1">
        <v>46161</v>
      </c>
      <c r="H465" s="1" t="str">
        <f t="shared" si="14"/>
        <v>Tuesday</v>
      </c>
      <c r="I465">
        <v>42</v>
      </c>
      <c r="J465" t="s">
        <v>17</v>
      </c>
      <c r="K465">
        <v>0</v>
      </c>
      <c r="L465">
        <v>0</v>
      </c>
      <c r="M465">
        <v>0</v>
      </c>
      <c r="N465">
        <v>0</v>
      </c>
      <c r="O465">
        <v>0</v>
      </c>
      <c r="P465" t="str">
        <f t="shared" si="15"/>
        <v>Non Chronic</v>
      </c>
      <c r="Q465">
        <v>1</v>
      </c>
      <c r="R465">
        <v>0</v>
      </c>
      <c r="S465" t="s">
        <v>0</v>
      </c>
    </row>
    <row r="466" spans="1:19" x14ac:dyDescent="0.3">
      <c r="A466">
        <v>500465</v>
      </c>
      <c r="B466">
        <v>57312</v>
      </c>
      <c r="C466" t="s">
        <v>8</v>
      </c>
      <c r="D466" t="s">
        <v>25</v>
      </c>
      <c r="E466" s="1">
        <v>46136</v>
      </c>
      <c r="F466" t="s">
        <v>258</v>
      </c>
      <c r="G466" s="1">
        <v>46139</v>
      </c>
      <c r="H466" s="1" t="str">
        <f t="shared" si="14"/>
        <v>Monday</v>
      </c>
      <c r="I466">
        <v>35</v>
      </c>
      <c r="J466" t="s">
        <v>20</v>
      </c>
      <c r="K466">
        <v>0</v>
      </c>
      <c r="L466">
        <v>0</v>
      </c>
      <c r="M466">
        <v>0</v>
      </c>
      <c r="N466">
        <v>0</v>
      </c>
      <c r="O466">
        <v>0</v>
      </c>
      <c r="P466" t="str">
        <f t="shared" si="15"/>
        <v>Non Chronic</v>
      </c>
      <c r="Q466">
        <v>1</v>
      </c>
      <c r="R466">
        <v>0</v>
      </c>
      <c r="S466" t="s">
        <v>22</v>
      </c>
    </row>
    <row r="467" spans="1:19" x14ac:dyDescent="0.3">
      <c r="A467">
        <v>500466</v>
      </c>
      <c r="B467">
        <v>85609</v>
      </c>
      <c r="C467" t="s">
        <v>4</v>
      </c>
      <c r="D467" t="s">
        <v>25</v>
      </c>
      <c r="E467" s="1">
        <v>45990</v>
      </c>
      <c r="F467" t="s">
        <v>639</v>
      </c>
      <c r="G467" s="1">
        <v>45995</v>
      </c>
      <c r="H467" s="1" t="str">
        <f t="shared" si="14"/>
        <v>Thursday</v>
      </c>
      <c r="I467">
        <v>33</v>
      </c>
      <c r="J467" t="s">
        <v>20</v>
      </c>
      <c r="K467">
        <v>1</v>
      </c>
      <c r="L467">
        <v>0</v>
      </c>
      <c r="M467">
        <v>0</v>
      </c>
      <c r="N467">
        <v>0</v>
      </c>
      <c r="O467">
        <v>0</v>
      </c>
      <c r="P467" t="str">
        <f t="shared" si="15"/>
        <v>Non Chronic</v>
      </c>
      <c r="Q467">
        <v>0</v>
      </c>
      <c r="R467">
        <v>0</v>
      </c>
      <c r="S467" t="s">
        <v>22</v>
      </c>
    </row>
    <row r="468" spans="1:19" x14ac:dyDescent="0.3">
      <c r="A468">
        <v>500467</v>
      </c>
      <c r="B468">
        <v>59947</v>
      </c>
      <c r="C468" t="s">
        <v>8</v>
      </c>
      <c r="D468" t="s">
        <v>7</v>
      </c>
      <c r="E468" s="1">
        <v>46058</v>
      </c>
      <c r="F468" t="s">
        <v>70</v>
      </c>
      <c r="G468" s="1">
        <v>46065</v>
      </c>
      <c r="H468" s="1" t="str">
        <f t="shared" si="14"/>
        <v>Thursday</v>
      </c>
      <c r="I468">
        <v>50</v>
      </c>
      <c r="J468" t="s">
        <v>31</v>
      </c>
      <c r="K468">
        <v>0</v>
      </c>
      <c r="L468">
        <v>0</v>
      </c>
      <c r="M468">
        <v>0</v>
      </c>
      <c r="N468">
        <v>0</v>
      </c>
      <c r="O468">
        <v>0</v>
      </c>
      <c r="P468" t="str">
        <f t="shared" si="15"/>
        <v>Non Chronic</v>
      </c>
      <c r="Q468">
        <v>1</v>
      </c>
      <c r="R468">
        <v>0</v>
      </c>
      <c r="S468" t="s">
        <v>0</v>
      </c>
    </row>
    <row r="469" spans="1:19" x14ac:dyDescent="0.3">
      <c r="A469">
        <v>500468</v>
      </c>
      <c r="B469">
        <v>20369</v>
      </c>
      <c r="C469" t="s">
        <v>4</v>
      </c>
      <c r="D469" t="s">
        <v>19</v>
      </c>
      <c r="E469" s="1">
        <v>46114</v>
      </c>
      <c r="F469" t="s">
        <v>758</v>
      </c>
      <c r="G469" s="1">
        <v>46121</v>
      </c>
      <c r="H469" s="1" t="str">
        <f t="shared" si="14"/>
        <v>Thursday</v>
      </c>
      <c r="I469">
        <v>53</v>
      </c>
      <c r="J469" t="s">
        <v>45</v>
      </c>
      <c r="K469">
        <v>1</v>
      </c>
      <c r="L469">
        <v>1</v>
      </c>
      <c r="M469">
        <v>0</v>
      </c>
      <c r="N469">
        <v>0</v>
      </c>
      <c r="O469">
        <v>0</v>
      </c>
      <c r="P469" t="str">
        <f t="shared" si="15"/>
        <v>Chronic</v>
      </c>
      <c r="Q469">
        <v>1</v>
      </c>
      <c r="R469">
        <v>0</v>
      </c>
      <c r="S469" t="s">
        <v>0</v>
      </c>
    </row>
    <row r="470" spans="1:19" x14ac:dyDescent="0.3">
      <c r="A470">
        <v>500469</v>
      </c>
      <c r="B470">
        <v>57600</v>
      </c>
      <c r="C470" t="s">
        <v>8</v>
      </c>
      <c r="D470" t="s">
        <v>3</v>
      </c>
      <c r="E470" s="1">
        <v>46128</v>
      </c>
      <c r="F470" t="s">
        <v>672</v>
      </c>
      <c r="G470" s="1">
        <v>46129</v>
      </c>
      <c r="H470" s="1" t="str">
        <f t="shared" si="14"/>
        <v>Friday</v>
      </c>
      <c r="I470">
        <v>27</v>
      </c>
      <c r="J470" t="s">
        <v>31</v>
      </c>
      <c r="K470">
        <v>0</v>
      </c>
      <c r="L470">
        <v>0</v>
      </c>
      <c r="M470">
        <v>0</v>
      </c>
      <c r="N470">
        <v>0</v>
      </c>
      <c r="O470">
        <v>0</v>
      </c>
      <c r="P470" t="str">
        <f t="shared" si="15"/>
        <v>Non Chronic</v>
      </c>
      <c r="Q470">
        <v>1</v>
      </c>
      <c r="R470">
        <v>0</v>
      </c>
      <c r="S470" t="s">
        <v>22</v>
      </c>
    </row>
    <row r="471" spans="1:19" x14ac:dyDescent="0.3">
      <c r="A471">
        <v>500470</v>
      </c>
      <c r="B471">
        <v>20494</v>
      </c>
      <c r="C471" t="s">
        <v>4</v>
      </c>
      <c r="D471" t="s">
        <v>28</v>
      </c>
      <c r="E471" s="1">
        <v>46154</v>
      </c>
      <c r="F471" t="s">
        <v>350</v>
      </c>
      <c r="G471" s="1">
        <v>46174</v>
      </c>
      <c r="H471" s="1" t="str">
        <f t="shared" si="14"/>
        <v>Monday</v>
      </c>
      <c r="I471">
        <v>26</v>
      </c>
      <c r="J471" t="s">
        <v>23</v>
      </c>
      <c r="K471">
        <v>0</v>
      </c>
      <c r="L471">
        <v>0</v>
      </c>
      <c r="M471">
        <v>0</v>
      </c>
      <c r="N471">
        <v>0</v>
      </c>
      <c r="O471">
        <v>0</v>
      </c>
      <c r="P471" t="str">
        <f t="shared" si="15"/>
        <v>Non Chronic</v>
      </c>
      <c r="Q471">
        <v>1</v>
      </c>
      <c r="R471">
        <v>1</v>
      </c>
      <c r="S471" t="s">
        <v>22</v>
      </c>
    </row>
    <row r="472" spans="1:19" x14ac:dyDescent="0.3">
      <c r="A472">
        <v>500471</v>
      </c>
      <c r="B472">
        <v>62037</v>
      </c>
      <c r="C472" t="s">
        <v>4</v>
      </c>
      <c r="D472" t="s">
        <v>58</v>
      </c>
      <c r="E472" s="1">
        <v>46071</v>
      </c>
      <c r="F472" t="s">
        <v>757</v>
      </c>
      <c r="G472" s="1">
        <v>46091</v>
      </c>
      <c r="H472" s="1" t="str">
        <f t="shared" si="14"/>
        <v>Tuesday</v>
      </c>
      <c r="I472">
        <v>32</v>
      </c>
      <c r="J472" t="s">
        <v>5</v>
      </c>
      <c r="K472">
        <v>0</v>
      </c>
      <c r="L472">
        <v>0</v>
      </c>
      <c r="M472">
        <v>0</v>
      </c>
      <c r="N472">
        <v>0</v>
      </c>
      <c r="O472">
        <v>0</v>
      </c>
      <c r="P472" t="str">
        <f t="shared" si="15"/>
        <v>Non Chronic</v>
      </c>
      <c r="Q472">
        <v>1</v>
      </c>
      <c r="R472">
        <v>1</v>
      </c>
      <c r="S472" t="s">
        <v>22</v>
      </c>
    </row>
    <row r="473" spans="1:19" x14ac:dyDescent="0.3">
      <c r="A473">
        <v>500472</v>
      </c>
      <c r="B473">
        <v>47247</v>
      </c>
      <c r="C473" t="s">
        <v>8</v>
      </c>
      <c r="D473" t="s">
        <v>28</v>
      </c>
      <c r="E473" s="1">
        <v>46074</v>
      </c>
      <c r="F473" t="s">
        <v>756</v>
      </c>
      <c r="G473" s="1">
        <v>46079</v>
      </c>
      <c r="H473" s="1" t="str">
        <f t="shared" si="14"/>
        <v>Thursday</v>
      </c>
      <c r="I473">
        <v>0</v>
      </c>
      <c r="J473" t="s">
        <v>31</v>
      </c>
      <c r="K473">
        <v>0</v>
      </c>
      <c r="L473">
        <v>0</v>
      </c>
      <c r="M473">
        <v>0</v>
      </c>
      <c r="N473">
        <v>0</v>
      </c>
      <c r="O473">
        <v>0</v>
      </c>
      <c r="P473" t="str">
        <f t="shared" si="15"/>
        <v>Non Chronic</v>
      </c>
      <c r="Q473">
        <v>1</v>
      </c>
      <c r="R473">
        <v>1</v>
      </c>
      <c r="S473" t="s">
        <v>30</v>
      </c>
    </row>
    <row r="474" spans="1:19" x14ac:dyDescent="0.3">
      <c r="A474">
        <v>500473</v>
      </c>
      <c r="B474">
        <v>56771</v>
      </c>
      <c r="C474" t="s">
        <v>8</v>
      </c>
      <c r="D474" t="s">
        <v>7</v>
      </c>
      <c r="E474" s="1">
        <v>46133</v>
      </c>
      <c r="F474" t="s">
        <v>755</v>
      </c>
      <c r="G474" s="1">
        <v>46163</v>
      </c>
      <c r="H474" s="1" t="str">
        <f t="shared" si="14"/>
        <v>Thursday</v>
      </c>
      <c r="I474">
        <v>7</v>
      </c>
      <c r="J474" t="s">
        <v>10</v>
      </c>
      <c r="K474">
        <v>0</v>
      </c>
      <c r="L474">
        <v>0</v>
      </c>
      <c r="M474">
        <v>0</v>
      </c>
      <c r="N474">
        <v>0</v>
      </c>
      <c r="O474">
        <v>0</v>
      </c>
      <c r="P474" t="str">
        <f t="shared" si="15"/>
        <v>Non Chronic</v>
      </c>
      <c r="Q474">
        <v>1</v>
      </c>
      <c r="R474">
        <v>1</v>
      </c>
      <c r="S474" t="s">
        <v>30</v>
      </c>
    </row>
    <row r="475" spans="1:19" x14ac:dyDescent="0.3">
      <c r="A475">
        <v>500474</v>
      </c>
      <c r="B475">
        <v>68306</v>
      </c>
      <c r="C475" t="s">
        <v>4</v>
      </c>
      <c r="D475" t="s">
        <v>28</v>
      </c>
      <c r="E475" s="1">
        <v>46064</v>
      </c>
      <c r="F475" t="s">
        <v>367</v>
      </c>
      <c r="G475" s="1">
        <v>46071</v>
      </c>
      <c r="H475" s="1" t="str">
        <f t="shared" si="14"/>
        <v>Wednesday</v>
      </c>
      <c r="I475">
        <v>65</v>
      </c>
      <c r="J475" t="s">
        <v>1</v>
      </c>
      <c r="K475">
        <v>1</v>
      </c>
      <c r="L475">
        <v>0</v>
      </c>
      <c r="M475">
        <v>0</v>
      </c>
      <c r="N475">
        <v>0</v>
      </c>
      <c r="O475">
        <v>0</v>
      </c>
      <c r="P475" t="str">
        <f t="shared" si="15"/>
        <v>Non Chronic</v>
      </c>
      <c r="Q475">
        <v>1</v>
      </c>
      <c r="R475">
        <v>0</v>
      </c>
      <c r="S475" t="s">
        <v>9</v>
      </c>
    </row>
    <row r="476" spans="1:19" x14ac:dyDescent="0.3">
      <c r="A476">
        <v>500475</v>
      </c>
      <c r="B476">
        <v>80735</v>
      </c>
      <c r="C476" t="s">
        <v>4</v>
      </c>
      <c r="D476" t="s">
        <v>58</v>
      </c>
      <c r="E476" s="1">
        <v>46091</v>
      </c>
      <c r="F476" t="s">
        <v>124</v>
      </c>
      <c r="G476" s="1">
        <v>46106</v>
      </c>
      <c r="H476" s="1" t="str">
        <f t="shared" si="14"/>
        <v>Wednesday</v>
      </c>
      <c r="I476">
        <v>70</v>
      </c>
      <c r="J476" t="s">
        <v>10</v>
      </c>
      <c r="K476">
        <v>1</v>
      </c>
      <c r="L476">
        <v>0</v>
      </c>
      <c r="M476">
        <v>0</v>
      </c>
      <c r="N476">
        <v>0</v>
      </c>
      <c r="O476">
        <v>1</v>
      </c>
      <c r="P476" t="str">
        <f t="shared" si="15"/>
        <v>Non Chronic</v>
      </c>
      <c r="Q476">
        <v>0</v>
      </c>
      <c r="R476">
        <v>1</v>
      </c>
      <c r="S476" t="s">
        <v>9</v>
      </c>
    </row>
    <row r="477" spans="1:19" x14ac:dyDescent="0.3">
      <c r="A477">
        <v>500476</v>
      </c>
      <c r="B477">
        <v>71498</v>
      </c>
      <c r="C477" t="s">
        <v>4</v>
      </c>
      <c r="D477" t="s">
        <v>7</v>
      </c>
      <c r="E477" s="1">
        <v>46027</v>
      </c>
      <c r="F477" t="s">
        <v>754</v>
      </c>
      <c r="G477" s="1">
        <v>46030</v>
      </c>
      <c r="H477" s="1" t="str">
        <f t="shared" si="14"/>
        <v>Thursday</v>
      </c>
      <c r="I477">
        <v>33</v>
      </c>
      <c r="J477" t="s">
        <v>10</v>
      </c>
      <c r="K477">
        <v>1</v>
      </c>
      <c r="L477">
        <v>0</v>
      </c>
      <c r="M477">
        <v>0</v>
      </c>
      <c r="N477">
        <v>1</v>
      </c>
      <c r="O477">
        <v>0</v>
      </c>
      <c r="P477" t="str">
        <f t="shared" si="15"/>
        <v>Non Chronic</v>
      </c>
      <c r="Q477">
        <v>1</v>
      </c>
      <c r="R477">
        <v>1</v>
      </c>
      <c r="S477" t="s">
        <v>22</v>
      </c>
    </row>
    <row r="478" spans="1:19" x14ac:dyDescent="0.3">
      <c r="A478">
        <v>500477</v>
      </c>
      <c r="B478">
        <v>10946</v>
      </c>
      <c r="C478" t="s">
        <v>8</v>
      </c>
      <c r="D478" t="s">
        <v>14</v>
      </c>
      <c r="E478" s="1">
        <v>46123</v>
      </c>
      <c r="F478" t="s">
        <v>289</v>
      </c>
      <c r="G478" s="1">
        <v>46126</v>
      </c>
      <c r="H478" s="1" t="str">
        <f t="shared" si="14"/>
        <v>Tuesday</v>
      </c>
      <c r="I478">
        <v>49</v>
      </c>
      <c r="J478" t="s">
        <v>23</v>
      </c>
      <c r="K478">
        <v>1</v>
      </c>
      <c r="L478">
        <v>0</v>
      </c>
      <c r="M478">
        <v>1</v>
      </c>
      <c r="N478">
        <v>0</v>
      </c>
      <c r="O478">
        <v>0</v>
      </c>
      <c r="P478" t="str">
        <f t="shared" si="15"/>
        <v>Chronic</v>
      </c>
      <c r="Q478">
        <v>1</v>
      </c>
      <c r="R478">
        <v>0</v>
      </c>
      <c r="S478" t="s">
        <v>0</v>
      </c>
    </row>
    <row r="479" spans="1:19" x14ac:dyDescent="0.3">
      <c r="A479">
        <v>500478</v>
      </c>
      <c r="B479">
        <v>65343</v>
      </c>
      <c r="C479" t="s">
        <v>4</v>
      </c>
      <c r="D479" t="s">
        <v>25</v>
      </c>
      <c r="E479" s="1">
        <v>46122</v>
      </c>
      <c r="F479" t="s">
        <v>753</v>
      </c>
      <c r="G479" s="1">
        <v>46123</v>
      </c>
      <c r="H479" s="1" t="str">
        <f t="shared" si="14"/>
        <v>Saturday</v>
      </c>
      <c r="I479">
        <v>44</v>
      </c>
      <c r="J479" t="s">
        <v>5</v>
      </c>
      <c r="K479">
        <v>1</v>
      </c>
      <c r="L479">
        <v>0</v>
      </c>
      <c r="M479">
        <v>0</v>
      </c>
      <c r="N479">
        <v>0</v>
      </c>
      <c r="O479">
        <v>0</v>
      </c>
      <c r="P479" t="str">
        <f t="shared" si="15"/>
        <v>Non Chronic</v>
      </c>
      <c r="Q479">
        <v>1</v>
      </c>
      <c r="R479">
        <v>0</v>
      </c>
      <c r="S479" t="s">
        <v>0</v>
      </c>
    </row>
    <row r="480" spans="1:19" x14ac:dyDescent="0.3">
      <c r="A480">
        <v>500479</v>
      </c>
      <c r="B480">
        <v>90967</v>
      </c>
      <c r="C480" t="s">
        <v>8</v>
      </c>
      <c r="D480" t="s">
        <v>25</v>
      </c>
      <c r="E480" s="1">
        <v>45987</v>
      </c>
      <c r="F480" t="s">
        <v>752</v>
      </c>
      <c r="G480" s="1">
        <v>45988</v>
      </c>
      <c r="H480" s="1" t="str">
        <f t="shared" si="14"/>
        <v>Thursday</v>
      </c>
      <c r="I480">
        <v>90</v>
      </c>
      <c r="J480" t="s">
        <v>1</v>
      </c>
      <c r="K480">
        <v>1</v>
      </c>
      <c r="L480">
        <v>1</v>
      </c>
      <c r="M480">
        <v>1</v>
      </c>
      <c r="N480">
        <v>1</v>
      </c>
      <c r="O480">
        <v>0</v>
      </c>
      <c r="P480" t="str">
        <f t="shared" si="15"/>
        <v>Chronic</v>
      </c>
      <c r="Q480">
        <v>1</v>
      </c>
      <c r="R480">
        <v>0</v>
      </c>
      <c r="S480" t="s">
        <v>9</v>
      </c>
    </row>
    <row r="481" spans="1:19" x14ac:dyDescent="0.3">
      <c r="A481">
        <v>500480</v>
      </c>
      <c r="B481">
        <v>67464</v>
      </c>
      <c r="C481" t="s">
        <v>4</v>
      </c>
      <c r="D481" t="s">
        <v>14</v>
      </c>
      <c r="E481" s="1">
        <v>46001</v>
      </c>
      <c r="F481" t="s">
        <v>163</v>
      </c>
      <c r="G481" s="1">
        <v>46006</v>
      </c>
      <c r="H481" s="1" t="str">
        <f t="shared" si="14"/>
        <v>Monday</v>
      </c>
      <c r="I481">
        <v>60</v>
      </c>
      <c r="J481" t="s">
        <v>15</v>
      </c>
      <c r="K481">
        <v>0</v>
      </c>
      <c r="L481">
        <v>1</v>
      </c>
      <c r="M481">
        <v>1</v>
      </c>
      <c r="N481">
        <v>0</v>
      </c>
      <c r="O481">
        <v>0</v>
      </c>
      <c r="P481" t="str">
        <f t="shared" si="15"/>
        <v>Chronic</v>
      </c>
      <c r="Q481">
        <v>1</v>
      </c>
      <c r="R481">
        <v>0</v>
      </c>
      <c r="S481" t="s">
        <v>0</v>
      </c>
    </row>
    <row r="482" spans="1:19" x14ac:dyDescent="0.3">
      <c r="A482">
        <v>500481</v>
      </c>
      <c r="B482">
        <v>14159</v>
      </c>
      <c r="C482" t="s">
        <v>8</v>
      </c>
      <c r="D482" t="s">
        <v>58</v>
      </c>
      <c r="E482" s="1">
        <v>45993</v>
      </c>
      <c r="F482" t="s">
        <v>751</v>
      </c>
      <c r="G482" s="1">
        <v>45996</v>
      </c>
      <c r="H482" s="1" t="str">
        <f t="shared" si="14"/>
        <v>Friday</v>
      </c>
      <c r="I482">
        <v>35</v>
      </c>
      <c r="J482" t="s">
        <v>31</v>
      </c>
      <c r="K482">
        <v>0</v>
      </c>
      <c r="L482">
        <v>0</v>
      </c>
      <c r="M482">
        <v>0</v>
      </c>
      <c r="N482">
        <v>0</v>
      </c>
      <c r="O482">
        <v>0</v>
      </c>
      <c r="P482" t="str">
        <f t="shared" si="15"/>
        <v>Non Chronic</v>
      </c>
      <c r="Q482">
        <v>1</v>
      </c>
      <c r="R482">
        <v>0</v>
      </c>
      <c r="S482" t="s">
        <v>22</v>
      </c>
    </row>
    <row r="483" spans="1:19" x14ac:dyDescent="0.3">
      <c r="A483">
        <v>500482</v>
      </c>
      <c r="B483">
        <v>42778</v>
      </c>
      <c r="C483" t="s">
        <v>8</v>
      </c>
      <c r="D483" t="s">
        <v>36</v>
      </c>
      <c r="E483" s="1">
        <v>46047</v>
      </c>
      <c r="F483" t="s">
        <v>750</v>
      </c>
      <c r="G483" s="1">
        <v>46077</v>
      </c>
      <c r="H483" s="1" t="str">
        <f t="shared" si="14"/>
        <v>Tuesday</v>
      </c>
      <c r="I483">
        <v>18</v>
      </c>
      <c r="J483" t="s">
        <v>15</v>
      </c>
      <c r="K483">
        <v>0</v>
      </c>
      <c r="L483">
        <v>0</v>
      </c>
      <c r="M483">
        <v>0</v>
      </c>
      <c r="N483">
        <v>0</v>
      </c>
      <c r="O483">
        <v>0</v>
      </c>
      <c r="P483" t="str">
        <f t="shared" si="15"/>
        <v>Non Chronic</v>
      </c>
      <c r="Q483">
        <v>1</v>
      </c>
      <c r="R483">
        <v>0</v>
      </c>
      <c r="S483" t="s">
        <v>30</v>
      </c>
    </row>
    <row r="484" spans="1:19" x14ac:dyDescent="0.3">
      <c r="A484">
        <v>500483</v>
      </c>
      <c r="B484">
        <v>68059</v>
      </c>
      <c r="C484" t="s">
        <v>4</v>
      </c>
      <c r="D484" t="s">
        <v>36</v>
      </c>
      <c r="E484" s="1">
        <v>46062</v>
      </c>
      <c r="F484" t="s">
        <v>135</v>
      </c>
      <c r="G484" s="1">
        <v>46067</v>
      </c>
      <c r="H484" s="1" t="str">
        <f t="shared" si="14"/>
        <v>Saturday</v>
      </c>
      <c r="I484">
        <v>5</v>
      </c>
      <c r="J484" t="s">
        <v>45</v>
      </c>
      <c r="K484">
        <v>0</v>
      </c>
      <c r="L484">
        <v>0</v>
      </c>
      <c r="M484">
        <v>0</v>
      </c>
      <c r="N484">
        <v>0</v>
      </c>
      <c r="O484">
        <v>0</v>
      </c>
      <c r="P484" t="str">
        <f t="shared" si="15"/>
        <v>Non Chronic</v>
      </c>
      <c r="Q484">
        <v>0</v>
      </c>
      <c r="R484">
        <v>0</v>
      </c>
      <c r="S484" t="s">
        <v>30</v>
      </c>
    </row>
    <row r="485" spans="1:19" x14ac:dyDescent="0.3">
      <c r="A485">
        <v>500484</v>
      </c>
      <c r="B485">
        <v>37321</v>
      </c>
      <c r="C485" t="s">
        <v>8</v>
      </c>
      <c r="D485" t="s">
        <v>3</v>
      </c>
      <c r="E485" s="1">
        <v>46029</v>
      </c>
      <c r="F485" t="s">
        <v>286</v>
      </c>
      <c r="G485" s="1">
        <v>46039</v>
      </c>
      <c r="H485" s="1" t="str">
        <f t="shared" si="14"/>
        <v>Saturday</v>
      </c>
      <c r="I485">
        <v>42</v>
      </c>
      <c r="J485" t="s">
        <v>5</v>
      </c>
      <c r="K485">
        <v>1</v>
      </c>
      <c r="L485">
        <v>0</v>
      </c>
      <c r="M485">
        <v>1</v>
      </c>
      <c r="N485">
        <v>0</v>
      </c>
      <c r="O485">
        <v>0</v>
      </c>
      <c r="P485" t="str">
        <f t="shared" si="15"/>
        <v>Chronic</v>
      </c>
      <c r="Q485">
        <v>1</v>
      </c>
      <c r="R485">
        <v>1</v>
      </c>
      <c r="S485" t="s">
        <v>0</v>
      </c>
    </row>
    <row r="486" spans="1:19" x14ac:dyDescent="0.3">
      <c r="A486">
        <v>500485</v>
      </c>
      <c r="B486">
        <v>73075</v>
      </c>
      <c r="C486" t="s">
        <v>8</v>
      </c>
      <c r="D486" t="s">
        <v>14</v>
      </c>
      <c r="E486" s="1">
        <v>46099</v>
      </c>
      <c r="F486" t="s">
        <v>215</v>
      </c>
      <c r="G486" s="1">
        <v>46101</v>
      </c>
      <c r="H486" s="1" t="str">
        <f t="shared" si="14"/>
        <v>Friday</v>
      </c>
      <c r="I486">
        <v>22</v>
      </c>
      <c r="J486" t="s">
        <v>20</v>
      </c>
      <c r="K486">
        <v>0</v>
      </c>
      <c r="L486">
        <v>0</v>
      </c>
      <c r="M486">
        <v>0</v>
      </c>
      <c r="N486">
        <v>0</v>
      </c>
      <c r="O486">
        <v>0</v>
      </c>
      <c r="P486" t="str">
        <f t="shared" si="15"/>
        <v>Non Chronic</v>
      </c>
      <c r="Q486">
        <v>1</v>
      </c>
      <c r="R486">
        <v>0</v>
      </c>
      <c r="S486" t="s">
        <v>22</v>
      </c>
    </row>
    <row r="487" spans="1:19" x14ac:dyDescent="0.3">
      <c r="A487">
        <v>500486</v>
      </c>
      <c r="B487">
        <v>52534</v>
      </c>
      <c r="C487" t="s">
        <v>4</v>
      </c>
      <c r="D487" t="s">
        <v>28</v>
      </c>
      <c r="E487" s="1">
        <v>46159</v>
      </c>
      <c r="F487" t="s">
        <v>445</v>
      </c>
      <c r="G487" s="1">
        <v>46166</v>
      </c>
      <c r="H487" s="1" t="str">
        <f t="shared" si="14"/>
        <v>Sunday</v>
      </c>
      <c r="I487">
        <v>9</v>
      </c>
      <c r="J487" t="s">
        <v>5</v>
      </c>
      <c r="K487">
        <v>0</v>
      </c>
      <c r="L487">
        <v>0</v>
      </c>
      <c r="M487">
        <v>0</v>
      </c>
      <c r="N487">
        <v>0</v>
      </c>
      <c r="O487">
        <v>0</v>
      </c>
      <c r="P487" t="str">
        <f t="shared" si="15"/>
        <v>Non Chronic</v>
      </c>
      <c r="Q487">
        <v>1</v>
      </c>
      <c r="R487">
        <v>1</v>
      </c>
      <c r="S487" t="s">
        <v>30</v>
      </c>
    </row>
    <row r="488" spans="1:19" x14ac:dyDescent="0.3">
      <c r="A488">
        <v>500487</v>
      </c>
      <c r="B488">
        <v>15504</v>
      </c>
      <c r="C488" t="s">
        <v>8</v>
      </c>
      <c r="D488" t="s">
        <v>28</v>
      </c>
      <c r="E488" s="1">
        <v>46049</v>
      </c>
      <c r="F488" t="s">
        <v>629</v>
      </c>
      <c r="G488" s="1">
        <v>46054</v>
      </c>
      <c r="H488" s="1" t="str">
        <f t="shared" si="14"/>
        <v>Sunday</v>
      </c>
      <c r="I488">
        <v>25</v>
      </c>
      <c r="J488" t="s">
        <v>20</v>
      </c>
      <c r="K488">
        <v>0</v>
      </c>
      <c r="L488">
        <v>0</v>
      </c>
      <c r="M488">
        <v>0</v>
      </c>
      <c r="N488">
        <v>0</v>
      </c>
      <c r="O488">
        <v>0</v>
      </c>
      <c r="P488" t="str">
        <f t="shared" si="15"/>
        <v>Non Chronic</v>
      </c>
      <c r="Q488">
        <v>1</v>
      </c>
      <c r="R488">
        <v>0</v>
      </c>
      <c r="S488" t="s">
        <v>22</v>
      </c>
    </row>
    <row r="489" spans="1:19" x14ac:dyDescent="0.3">
      <c r="A489">
        <v>500488</v>
      </c>
      <c r="B489">
        <v>91937</v>
      </c>
      <c r="C489" t="s">
        <v>4</v>
      </c>
      <c r="D489" t="s">
        <v>36</v>
      </c>
      <c r="E489" s="1">
        <v>46136</v>
      </c>
      <c r="F489" t="s">
        <v>381</v>
      </c>
      <c r="G489" s="1">
        <v>46143</v>
      </c>
      <c r="H489" s="1" t="str">
        <f t="shared" si="14"/>
        <v>Friday</v>
      </c>
      <c r="I489">
        <v>16</v>
      </c>
      <c r="J489" t="s">
        <v>20</v>
      </c>
      <c r="K489">
        <v>0</v>
      </c>
      <c r="L489">
        <v>0</v>
      </c>
      <c r="M489">
        <v>0</v>
      </c>
      <c r="N489">
        <v>0</v>
      </c>
      <c r="O489">
        <v>0</v>
      </c>
      <c r="P489" t="str">
        <f t="shared" si="15"/>
        <v>Non Chronic</v>
      </c>
      <c r="Q489">
        <v>1</v>
      </c>
      <c r="R489">
        <v>0</v>
      </c>
      <c r="S489" t="s">
        <v>30</v>
      </c>
    </row>
    <row r="490" spans="1:19" x14ac:dyDescent="0.3">
      <c r="A490">
        <v>500489</v>
      </c>
      <c r="B490">
        <v>26492</v>
      </c>
      <c r="C490" t="s">
        <v>8</v>
      </c>
      <c r="D490" t="s">
        <v>14</v>
      </c>
      <c r="E490" s="1">
        <v>46038</v>
      </c>
      <c r="F490" t="s">
        <v>749</v>
      </c>
      <c r="G490" s="1">
        <v>46041</v>
      </c>
      <c r="H490" s="1" t="str">
        <f t="shared" si="14"/>
        <v>Monday</v>
      </c>
      <c r="I490">
        <v>71</v>
      </c>
      <c r="J490" t="s">
        <v>20</v>
      </c>
      <c r="K490">
        <v>1</v>
      </c>
      <c r="L490">
        <v>0</v>
      </c>
      <c r="M490">
        <v>0</v>
      </c>
      <c r="N490">
        <v>0</v>
      </c>
      <c r="O490">
        <v>0</v>
      </c>
      <c r="P490" t="str">
        <f t="shared" si="15"/>
        <v>Non Chronic</v>
      </c>
      <c r="Q490">
        <v>1</v>
      </c>
      <c r="R490">
        <v>0</v>
      </c>
      <c r="S490" t="s">
        <v>9</v>
      </c>
    </row>
    <row r="491" spans="1:19" x14ac:dyDescent="0.3">
      <c r="A491">
        <v>500490</v>
      </c>
      <c r="B491">
        <v>73609</v>
      </c>
      <c r="C491" t="s">
        <v>8</v>
      </c>
      <c r="D491" t="s">
        <v>25</v>
      </c>
      <c r="E491" s="1">
        <v>46130</v>
      </c>
      <c r="F491" t="s">
        <v>748</v>
      </c>
      <c r="G491" s="1">
        <v>46140</v>
      </c>
      <c r="H491" s="1" t="str">
        <f t="shared" si="14"/>
        <v>Tuesday</v>
      </c>
      <c r="I491">
        <v>55</v>
      </c>
      <c r="J491" t="s">
        <v>12</v>
      </c>
      <c r="K491">
        <v>1</v>
      </c>
      <c r="L491">
        <v>1</v>
      </c>
      <c r="M491">
        <v>1</v>
      </c>
      <c r="N491">
        <v>0</v>
      </c>
      <c r="O491">
        <v>0</v>
      </c>
      <c r="P491" t="str">
        <f t="shared" si="15"/>
        <v>Chronic</v>
      </c>
      <c r="Q491">
        <v>1</v>
      </c>
      <c r="R491">
        <v>0</v>
      </c>
      <c r="S491" t="s">
        <v>0</v>
      </c>
    </row>
    <row r="492" spans="1:19" x14ac:dyDescent="0.3">
      <c r="A492">
        <v>500491</v>
      </c>
      <c r="B492">
        <v>82682</v>
      </c>
      <c r="C492" t="s">
        <v>4</v>
      </c>
      <c r="D492" t="s">
        <v>58</v>
      </c>
      <c r="E492" s="1">
        <v>46021</v>
      </c>
      <c r="F492" t="s">
        <v>747</v>
      </c>
      <c r="G492" s="1">
        <v>46036</v>
      </c>
      <c r="H492" s="1" t="str">
        <f t="shared" si="14"/>
        <v>Wednesday</v>
      </c>
      <c r="I492">
        <v>37</v>
      </c>
      <c r="J492" t="s">
        <v>12</v>
      </c>
      <c r="K492">
        <v>0</v>
      </c>
      <c r="L492">
        <v>0</v>
      </c>
      <c r="M492">
        <v>0</v>
      </c>
      <c r="N492">
        <v>0</v>
      </c>
      <c r="O492">
        <v>0</v>
      </c>
      <c r="P492" t="str">
        <f t="shared" si="15"/>
        <v>Non Chronic</v>
      </c>
      <c r="Q492">
        <v>1</v>
      </c>
      <c r="R492">
        <v>0</v>
      </c>
      <c r="S492" t="s">
        <v>22</v>
      </c>
    </row>
    <row r="493" spans="1:19" x14ac:dyDescent="0.3">
      <c r="A493">
        <v>500492</v>
      </c>
      <c r="B493">
        <v>93627</v>
      </c>
      <c r="C493" t="s">
        <v>8</v>
      </c>
      <c r="D493" t="s">
        <v>28</v>
      </c>
      <c r="E493" s="1">
        <v>46064</v>
      </c>
      <c r="F493" t="s">
        <v>113</v>
      </c>
      <c r="G493" s="1">
        <v>46069</v>
      </c>
      <c r="H493" s="1" t="str">
        <f t="shared" si="14"/>
        <v>Monday</v>
      </c>
      <c r="I493">
        <v>67</v>
      </c>
      <c r="J493" t="s">
        <v>17</v>
      </c>
      <c r="K493">
        <v>1</v>
      </c>
      <c r="L493">
        <v>0</v>
      </c>
      <c r="M493">
        <v>0</v>
      </c>
      <c r="N493">
        <v>0</v>
      </c>
      <c r="O493">
        <v>0</v>
      </c>
      <c r="P493" t="str">
        <f t="shared" si="15"/>
        <v>Non Chronic</v>
      </c>
      <c r="Q493">
        <v>1</v>
      </c>
      <c r="R493">
        <v>0</v>
      </c>
      <c r="S493" t="s">
        <v>9</v>
      </c>
    </row>
    <row r="494" spans="1:19" x14ac:dyDescent="0.3">
      <c r="A494">
        <v>500493</v>
      </c>
      <c r="B494">
        <v>75214</v>
      </c>
      <c r="C494" t="s">
        <v>4</v>
      </c>
      <c r="D494" t="s">
        <v>25</v>
      </c>
      <c r="E494" s="1">
        <v>46112</v>
      </c>
      <c r="F494" t="s">
        <v>397</v>
      </c>
      <c r="G494" s="1">
        <v>46113</v>
      </c>
      <c r="H494" s="1" t="str">
        <f t="shared" si="14"/>
        <v>Wednesday</v>
      </c>
      <c r="I494">
        <v>39</v>
      </c>
      <c r="J494" t="s">
        <v>20</v>
      </c>
      <c r="K494">
        <v>1</v>
      </c>
      <c r="L494">
        <v>0</v>
      </c>
      <c r="M494">
        <v>0</v>
      </c>
      <c r="N494">
        <v>0</v>
      </c>
      <c r="O494">
        <v>0</v>
      </c>
      <c r="P494" t="str">
        <f t="shared" si="15"/>
        <v>Non Chronic</v>
      </c>
      <c r="Q494">
        <v>1</v>
      </c>
      <c r="R494">
        <v>1</v>
      </c>
      <c r="S494" t="s">
        <v>22</v>
      </c>
    </row>
    <row r="495" spans="1:19" x14ac:dyDescent="0.3">
      <c r="A495">
        <v>500494</v>
      </c>
      <c r="B495">
        <v>27009</v>
      </c>
      <c r="C495" t="s">
        <v>4</v>
      </c>
      <c r="D495" t="s">
        <v>36</v>
      </c>
      <c r="E495" s="1">
        <v>46161</v>
      </c>
      <c r="F495" t="s">
        <v>746</v>
      </c>
      <c r="G495" s="1">
        <v>46166</v>
      </c>
      <c r="H495" s="1" t="str">
        <f t="shared" si="14"/>
        <v>Sunday</v>
      </c>
      <c r="I495">
        <v>20</v>
      </c>
      <c r="J495" t="s">
        <v>45</v>
      </c>
      <c r="K495">
        <v>0</v>
      </c>
      <c r="L495">
        <v>0</v>
      </c>
      <c r="M495">
        <v>0</v>
      </c>
      <c r="N495">
        <v>0</v>
      </c>
      <c r="O495">
        <v>0</v>
      </c>
      <c r="P495" t="str">
        <f t="shared" si="15"/>
        <v>Non Chronic</v>
      </c>
      <c r="Q495">
        <v>1</v>
      </c>
      <c r="R495">
        <v>0</v>
      </c>
      <c r="S495" t="s">
        <v>22</v>
      </c>
    </row>
    <row r="496" spans="1:19" x14ac:dyDescent="0.3">
      <c r="A496">
        <v>500495</v>
      </c>
      <c r="B496">
        <v>60934</v>
      </c>
      <c r="C496" t="s">
        <v>8</v>
      </c>
      <c r="D496" t="s">
        <v>25</v>
      </c>
      <c r="E496" s="1">
        <v>46136</v>
      </c>
      <c r="F496" t="s">
        <v>745</v>
      </c>
      <c r="G496" s="1">
        <v>46143</v>
      </c>
      <c r="H496" s="1" t="str">
        <f t="shared" si="14"/>
        <v>Friday</v>
      </c>
      <c r="I496">
        <v>68</v>
      </c>
      <c r="J496" t="s">
        <v>17</v>
      </c>
      <c r="K496">
        <v>1</v>
      </c>
      <c r="L496">
        <v>1</v>
      </c>
      <c r="M496">
        <v>0</v>
      </c>
      <c r="N496">
        <v>1</v>
      </c>
      <c r="O496">
        <v>0</v>
      </c>
      <c r="P496" t="str">
        <f t="shared" si="15"/>
        <v>Chronic</v>
      </c>
      <c r="Q496">
        <v>0</v>
      </c>
      <c r="R496">
        <v>0</v>
      </c>
      <c r="S496" t="s">
        <v>9</v>
      </c>
    </row>
    <row r="497" spans="1:19" x14ac:dyDescent="0.3">
      <c r="A497">
        <v>500496</v>
      </c>
      <c r="B497">
        <v>71349</v>
      </c>
      <c r="C497" t="s">
        <v>4</v>
      </c>
      <c r="D497" t="s">
        <v>19</v>
      </c>
      <c r="E497" s="1">
        <v>46029</v>
      </c>
      <c r="F497" t="s">
        <v>744</v>
      </c>
      <c r="G497" s="1">
        <v>46036</v>
      </c>
      <c r="H497" s="1" t="str">
        <f t="shared" si="14"/>
        <v>Wednesday</v>
      </c>
      <c r="I497">
        <v>48</v>
      </c>
      <c r="J497" t="s">
        <v>12</v>
      </c>
      <c r="K497">
        <v>1</v>
      </c>
      <c r="L497">
        <v>0</v>
      </c>
      <c r="M497">
        <v>0</v>
      </c>
      <c r="N497">
        <v>1</v>
      </c>
      <c r="O497">
        <v>0</v>
      </c>
      <c r="P497" t="str">
        <f t="shared" si="15"/>
        <v>Non Chronic</v>
      </c>
      <c r="Q497">
        <v>1</v>
      </c>
      <c r="R497">
        <v>0</v>
      </c>
      <c r="S497" t="s">
        <v>0</v>
      </c>
    </row>
    <row r="498" spans="1:19" x14ac:dyDescent="0.3">
      <c r="A498">
        <v>500497</v>
      </c>
      <c r="B498">
        <v>49833</v>
      </c>
      <c r="C498" t="s">
        <v>4</v>
      </c>
      <c r="D498" t="s">
        <v>14</v>
      </c>
      <c r="E498" s="1">
        <v>46017</v>
      </c>
      <c r="F498" t="s">
        <v>743</v>
      </c>
      <c r="G498" s="1">
        <v>46018</v>
      </c>
      <c r="H498" s="1" t="str">
        <f t="shared" si="14"/>
        <v>Saturday</v>
      </c>
      <c r="I498">
        <v>17</v>
      </c>
      <c r="J498" t="s">
        <v>12</v>
      </c>
      <c r="K498">
        <v>0</v>
      </c>
      <c r="L498">
        <v>0</v>
      </c>
      <c r="M498">
        <v>0</v>
      </c>
      <c r="N498">
        <v>0</v>
      </c>
      <c r="O498">
        <v>0</v>
      </c>
      <c r="P498" t="str">
        <f t="shared" si="15"/>
        <v>Non Chronic</v>
      </c>
      <c r="Q498">
        <v>0</v>
      </c>
      <c r="R498">
        <v>0</v>
      </c>
      <c r="S498" t="s">
        <v>30</v>
      </c>
    </row>
    <row r="499" spans="1:19" x14ac:dyDescent="0.3">
      <c r="A499">
        <v>500498</v>
      </c>
      <c r="B499">
        <v>34832</v>
      </c>
      <c r="C499" t="s">
        <v>4</v>
      </c>
      <c r="D499" t="s">
        <v>14</v>
      </c>
      <c r="E499" s="1">
        <v>46058</v>
      </c>
      <c r="F499" t="s">
        <v>136</v>
      </c>
      <c r="G499" s="1">
        <v>46065</v>
      </c>
      <c r="H499" s="1" t="str">
        <f t="shared" si="14"/>
        <v>Thursday</v>
      </c>
      <c r="I499">
        <v>34</v>
      </c>
      <c r="J499" t="s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 t="str">
        <f t="shared" si="15"/>
        <v>Non Chronic</v>
      </c>
      <c r="Q499">
        <v>0</v>
      </c>
      <c r="R499">
        <v>0</v>
      </c>
      <c r="S499" t="s">
        <v>22</v>
      </c>
    </row>
    <row r="500" spans="1:19" x14ac:dyDescent="0.3">
      <c r="A500">
        <v>500499</v>
      </c>
      <c r="B500">
        <v>85571</v>
      </c>
      <c r="C500" t="s">
        <v>8</v>
      </c>
      <c r="D500" t="s">
        <v>7</v>
      </c>
      <c r="E500" s="1">
        <v>46150</v>
      </c>
      <c r="F500" t="s">
        <v>742</v>
      </c>
      <c r="G500" s="1">
        <v>46151</v>
      </c>
      <c r="H500" s="1" t="str">
        <f t="shared" si="14"/>
        <v>Saturday</v>
      </c>
      <c r="I500">
        <v>20</v>
      </c>
      <c r="J500" t="s">
        <v>23</v>
      </c>
      <c r="K500">
        <v>0</v>
      </c>
      <c r="L500">
        <v>0</v>
      </c>
      <c r="M500">
        <v>0</v>
      </c>
      <c r="N500">
        <v>0</v>
      </c>
      <c r="O500">
        <v>0</v>
      </c>
      <c r="P500" t="str">
        <f t="shared" si="15"/>
        <v>Non Chronic</v>
      </c>
      <c r="Q500">
        <v>1</v>
      </c>
      <c r="R500">
        <v>0</v>
      </c>
      <c r="S500" t="s">
        <v>22</v>
      </c>
    </row>
    <row r="501" spans="1:19" x14ac:dyDescent="0.3">
      <c r="A501">
        <v>500500</v>
      </c>
      <c r="B501">
        <v>54238</v>
      </c>
      <c r="C501" t="s">
        <v>4</v>
      </c>
      <c r="D501" t="s">
        <v>7</v>
      </c>
      <c r="E501" s="1">
        <v>46132</v>
      </c>
      <c r="F501" t="s">
        <v>34</v>
      </c>
      <c r="G501" s="1">
        <v>46152</v>
      </c>
      <c r="H501" s="1" t="str">
        <f t="shared" si="14"/>
        <v>Sunday</v>
      </c>
      <c r="I501">
        <v>10</v>
      </c>
      <c r="J501" t="s">
        <v>20</v>
      </c>
      <c r="K501">
        <v>0</v>
      </c>
      <c r="L501">
        <v>0</v>
      </c>
      <c r="M501">
        <v>0</v>
      </c>
      <c r="N501">
        <v>0</v>
      </c>
      <c r="O501">
        <v>0</v>
      </c>
      <c r="P501" t="str">
        <f t="shared" si="15"/>
        <v>Non Chronic</v>
      </c>
      <c r="Q501">
        <v>1</v>
      </c>
      <c r="R501">
        <v>0</v>
      </c>
      <c r="S501" t="s">
        <v>30</v>
      </c>
    </row>
    <row r="502" spans="1:19" x14ac:dyDescent="0.3">
      <c r="A502">
        <v>500501</v>
      </c>
      <c r="B502">
        <v>58722</v>
      </c>
      <c r="C502" t="s">
        <v>8</v>
      </c>
      <c r="D502" t="s">
        <v>3</v>
      </c>
      <c r="E502" s="1">
        <v>46007</v>
      </c>
      <c r="F502" t="s">
        <v>269</v>
      </c>
      <c r="G502" s="1">
        <v>46009</v>
      </c>
      <c r="H502" s="1" t="str">
        <f t="shared" si="14"/>
        <v>Thursday</v>
      </c>
      <c r="I502">
        <v>56</v>
      </c>
      <c r="J502" t="s">
        <v>20</v>
      </c>
      <c r="K502">
        <v>0</v>
      </c>
      <c r="L502">
        <v>0</v>
      </c>
      <c r="M502">
        <v>1</v>
      </c>
      <c r="N502">
        <v>0</v>
      </c>
      <c r="O502">
        <v>0</v>
      </c>
      <c r="P502" t="str">
        <f t="shared" si="15"/>
        <v>Chronic</v>
      </c>
      <c r="Q502">
        <v>0</v>
      </c>
      <c r="R502">
        <v>0</v>
      </c>
      <c r="S502" t="s">
        <v>0</v>
      </c>
    </row>
    <row r="503" spans="1:19" x14ac:dyDescent="0.3">
      <c r="A503">
        <v>500502</v>
      </c>
      <c r="B503">
        <v>62047</v>
      </c>
      <c r="C503" t="s">
        <v>4</v>
      </c>
      <c r="D503" t="s">
        <v>36</v>
      </c>
      <c r="E503" s="1">
        <v>46032</v>
      </c>
      <c r="F503" t="s">
        <v>613</v>
      </c>
      <c r="G503" s="1">
        <v>46034</v>
      </c>
      <c r="H503" s="1" t="str">
        <f t="shared" si="14"/>
        <v>Monday</v>
      </c>
      <c r="I503">
        <v>76</v>
      </c>
      <c r="J503" t="s">
        <v>5</v>
      </c>
      <c r="K503">
        <v>0</v>
      </c>
      <c r="L503">
        <v>0</v>
      </c>
      <c r="M503">
        <v>0</v>
      </c>
      <c r="N503">
        <v>0</v>
      </c>
      <c r="O503">
        <v>0</v>
      </c>
      <c r="P503" t="str">
        <f t="shared" si="15"/>
        <v>Non Chronic</v>
      </c>
      <c r="Q503">
        <v>0</v>
      </c>
      <c r="R503">
        <v>1</v>
      </c>
      <c r="S503" t="s">
        <v>9</v>
      </c>
    </row>
    <row r="504" spans="1:19" x14ac:dyDescent="0.3">
      <c r="A504">
        <v>500503</v>
      </c>
      <c r="B504">
        <v>46170</v>
      </c>
      <c r="C504" t="s">
        <v>4</v>
      </c>
      <c r="D504" t="s">
        <v>58</v>
      </c>
      <c r="E504" s="1">
        <v>46010</v>
      </c>
      <c r="F504" t="s">
        <v>538</v>
      </c>
      <c r="G504" s="1">
        <v>46015</v>
      </c>
      <c r="H504" s="1" t="str">
        <f t="shared" si="14"/>
        <v>Wednesday</v>
      </c>
      <c r="I504">
        <v>10</v>
      </c>
      <c r="J504" t="s">
        <v>17</v>
      </c>
      <c r="K504">
        <v>0</v>
      </c>
      <c r="L504">
        <v>0</v>
      </c>
      <c r="M504">
        <v>0</v>
      </c>
      <c r="N504">
        <v>0</v>
      </c>
      <c r="O504">
        <v>0</v>
      </c>
      <c r="P504" t="str">
        <f t="shared" si="15"/>
        <v>Non Chronic</v>
      </c>
      <c r="Q504">
        <v>1</v>
      </c>
      <c r="R504">
        <v>0</v>
      </c>
      <c r="S504" t="s">
        <v>30</v>
      </c>
    </row>
    <row r="505" spans="1:19" x14ac:dyDescent="0.3">
      <c r="A505">
        <v>500504</v>
      </c>
      <c r="B505">
        <v>86304</v>
      </c>
      <c r="C505" t="s">
        <v>4</v>
      </c>
      <c r="D505" t="s">
        <v>14</v>
      </c>
      <c r="E505" s="1">
        <v>45983</v>
      </c>
      <c r="F505" t="s">
        <v>741</v>
      </c>
      <c r="G505" s="1">
        <v>45993</v>
      </c>
      <c r="H505" s="1" t="str">
        <f t="shared" si="14"/>
        <v>Tuesday</v>
      </c>
      <c r="I505">
        <v>49</v>
      </c>
      <c r="J505" t="s">
        <v>5</v>
      </c>
      <c r="K505">
        <v>1</v>
      </c>
      <c r="L505">
        <v>1</v>
      </c>
      <c r="M505">
        <v>0</v>
      </c>
      <c r="N505">
        <v>0</v>
      </c>
      <c r="O505">
        <v>0</v>
      </c>
      <c r="P505" t="str">
        <f t="shared" si="15"/>
        <v>Chronic</v>
      </c>
      <c r="Q505">
        <v>0</v>
      </c>
      <c r="R505">
        <v>0</v>
      </c>
      <c r="S505" t="s">
        <v>0</v>
      </c>
    </row>
    <row r="506" spans="1:19" x14ac:dyDescent="0.3">
      <c r="A506">
        <v>500505</v>
      </c>
      <c r="B506">
        <v>32662</v>
      </c>
      <c r="C506" t="s">
        <v>8</v>
      </c>
      <c r="D506" t="s">
        <v>58</v>
      </c>
      <c r="E506" s="1">
        <v>45991</v>
      </c>
      <c r="F506" t="s">
        <v>740</v>
      </c>
      <c r="G506" s="1">
        <v>46006</v>
      </c>
      <c r="H506" s="1" t="str">
        <f t="shared" si="14"/>
        <v>Monday</v>
      </c>
      <c r="I506">
        <v>24</v>
      </c>
      <c r="J506" t="s">
        <v>1</v>
      </c>
      <c r="K506">
        <v>1</v>
      </c>
      <c r="L506">
        <v>0</v>
      </c>
      <c r="M506">
        <v>0</v>
      </c>
      <c r="N506">
        <v>1</v>
      </c>
      <c r="O506">
        <v>0</v>
      </c>
      <c r="P506" t="str">
        <f t="shared" si="15"/>
        <v>Non Chronic</v>
      </c>
      <c r="Q506">
        <v>1</v>
      </c>
      <c r="R506">
        <v>0</v>
      </c>
      <c r="S506" t="s">
        <v>22</v>
      </c>
    </row>
    <row r="507" spans="1:19" x14ac:dyDescent="0.3">
      <c r="A507">
        <v>500506</v>
      </c>
      <c r="B507">
        <v>53829</v>
      </c>
      <c r="C507" t="s">
        <v>8</v>
      </c>
      <c r="D507" t="s">
        <v>3</v>
      </c>
      <c r="E507" s="1">
        <v>45996</v>
      </c>
      <c r="F507" t="s">
        <v>358</v>
      </c>
      <c r="G507" s="1">
        <v>45998</v>
      </c>
      <c r="H507" s="1" t="str">
        <f t="shared" si="14"/>
        <v>Sunday</v>
      </c>
      <c r="I507">
        <v>28</v>
      </c>
      <c r="J507" t="s">
        <v>23</v>
      </c>
      <c r="K507">
        <v>0</v>
      </c>
      <c r="L507">
        <v>0</v>
      </c>
      <c r="M507">
        <v>0</v>
      </c>
      <c r="N507">
        <v>0</v>
      </c>
      <c r="O507">
        <v>0</v>
      </c>
      <c r="P507" t="str">
        <f t="shared" si="15"/>
        <v>Non Chronic</v>
      </c>
      <c r="Q507">
        <v>1</v>
      </c>
      <c r="R507">
        <v>0</v>
      </c>
      <c r="S507" t="s">
        <v>22</v>
      </c>
    </row>
    <row r="508" spans="1:19" x14ac:dyDescent="0.3">
      <c r="A508">
        <v>500507</v>
      </c>
      <c r="B508">
        <v>11498</v>
      </c>
      <c r="C508" t="s">
        <v>8</v>
      </c>
      <c r="D508" t="s">
        <v>36</v>
      </c>
      <c r="E508" s="1">
        <v>46150</v>
      </c>
      <c r="F508" t="s">
        <v>530</v>
      </c>
      <c r="G508" s="1">
        <v>46157</v>
      </c>
      <c r="H508" s="1" t="str">
        <f t="shared" si="14"/>
        <v>Friday</v>
      </c>
      <c r="I508">
        <v>26</v>
      </c>
      <c r="J508" t="s">
        <v>5</v>
      </c>
      <c r="K508">
        <v>0</v>
      </c>
      <c r="L508">
        <v>0</v>
      </c>
      <c r="M508">
        <v>0</v>
      </c>
      <c r="N508">
        <v>0</v>
      </c>
      <c r="O508">
        <v>0</v>
      </c>
      <c r="P508" t="str">
        <f t="shared" si="15"/>
        <v>Non Chronic</v>
      </c>
      <c r="Q508">
        <v>1</v>
      </c>
      <c r="R508">
        <v>0</v>
      </c>
      <c r="S508" t="s">
        <v>22</v>
      </c>
    </row>
    <row r="509" spans="1:19" x14ac:dyDescent="0.3">
      <c r="A509">
        <v>500508</v>
      </c>
      <c r="B509">
        <v>30079</v>
      </c>
      <c r="C509" t="s">
        <v>4</v>
      </c>
      <c r="D509" t="s">
        <v>3</v>
      </c>
      <c r="E509" s="1">
        <v>46149</v>
      </c>
      <c r="F509" t="s">
        <v>728</v>
      </c>
      <c r="G509" s="1">
        <v>46151</v>
      </c>
      <c r="H509" s="1" t="str">
        <f t="shared" si="14"/>
        <v>Saturday</v>
      </c>
      <c r="I509">
        <v>20</v>
      </c>
      <c r="J509" t="s">
        <v>10</v>
      </c>
      <c r="K509">
        <v>0</v>
      </c>
      <c r="L509">
        <v>0</v>
      </c>
      <c r="M509">
        <v>0</v>
      </c>
      <c r="N509">
        <v>0</v>
      </c>
      <c r="O509">
        <v>0</v>
      </c>
      <c r="P509" t="str">
        <f t="shared" si="15"/>
        <v>Non Chronic</v>
      </c>
      <c r="Q509">
        <v>1</v>
      </c>
      <c r="R509">
        <v>0</v>
      </c>
      <c r="S509" t="s">
        <v>22</v>
      </c>
    </row>
    <row r="510" spans="1:19" x14ac:dyDescent="0.3">
      <c r="A510">
        <v>500509</v>
      </c>
      <c r="B510">
        <v>27326</v>
      </c>
      <c r="C510" t="s">
        <v>8</v>
      </c>
      <c r="D510" t="s">
        <v>58</v>
      </c>
      <c r="E510" s="1">
        <v>46057</v>
      </c>
      <c r="F510" t="s">
        <v>177</v>
      </c>
      <c r="G510" s="1">
        <v>46059</v>
      </c>
      <c r="H510" s="1" t="str">
        <f t="shared" si="14"/>
        <v>Friday</v>
      </c>
      <c r="I510">
        <v>38</v>
      </c>
      <c r="J510" t="s">
        <v>10</v>
      </c>
      <c r="K510">
        <v>0</v>
      </c>
      <c r="L510">
        <v>0</v>
      </c>
      <c r="M510">
        <v>0</v>
      </c>
      <c r="N510">
        <v>0</v>
      </c>
      <c r="O510">
        <v>0</v>
      </c>
      <c r="P510" t="str">
        <f t="shared" si="15"/>
        <v>Non Chronic</v>
      </c>
      <c r="Q510">
        <v>1</v>
      </c>
      <c r="R510">
        <v>0</v>
      </c>
      <c r="S510" t="s">
        <v>22</v>
      </c>
    </row>
    <row r="511" spans="1:19" x14ac:dyDescent="0.3">
      <c r="A511">
        <v>500510</v>
      </c>
      <c r="B511">
        <v>27088</v>
      </c>
      <c r="C511" t="s">
        <v>4</v>
      </c>
      <c r="D511" t="s">
        <v>7</v>
      </c>
      <c r="E511" s="1">
        <v>45992</v>
      </c>
      <c r="F511" t="s">
        <v>18</v>
      </c>
      <c r="G511" s="1">
        <v>45999</v>
      </c>
      <c r="H511" s="1" t="str">
        <f t="shared" si="14"/>
        <v>Monday</v>
      </c>
      <c r="I511">
        <v>21</v>
      </c>
      <c r="J511" t="s">
        <v>12</v>
      </c>
      <c r="K511">
        <v>0</v>
      </c>
      <c r="L511">
        <v>0</v>
      </c>
      <c r="M511">
        <v>0</v>
      </c>
      <c r="N511">
        <v>0</v>
      </c>
      <c r="O511">
        <v>0</v>
      </c>
      <c r="P511" t="str">
        <f t="shared" si="15"/>
        <v>Non Chronic</v>
      </c>
      <c r="Q511">
        <v>1</v>
      </c>
      <c r="R511">
        <v>0</v>
      </c>
      <c r="S511" t="s">
        <v>22</v>
      </c>
    </row>
    <row r="512" spans="1:19" x14ac:dyDescent="0.3">
      <c r="A512">
        <v>500511</v>
      </c>
      <c r="B512">
        <v>78714</v>
      </c>
      <c r="C512" t="s">
        <v>4</v>
      </c>
      <c r="D512" t="s">
        <v>14</v>
      </c>
      <c r="E512" s="1">
        <v>46014</v>
      </c>
      <c r="F512" t="s">
        <v>739</v>
      </c>
      <c r="G512" s="1">
        <v>46034</v>
      </c>
      <c r="H512" s="1" t="str">
        <f t="shared" si="14"/>
        <v>Monday</v>
      </c>
      <c r="I512">
        <v>43</v>
      </c>
      <c r="J512" t="s">
        <v>15</v>
      </c>
      <c r="K512">
        <v>1</v>
      </c>
      <c r="L512">
        <v>0</v>
      </c>
      <c r="M512">
        <v>0</v>
      </c>
      <c r="N512">
        <v>0</v>
      </c>
      <c r="O512">
        <v>0</v>
      </c>
      <c r="P512" t="str">
        <f t="shared" si="15"/>
        <v>Non Chronic</v>
      </c>
      <c r="Q512">
        <v>1</v>
      </c>
      <c r="R512">
        <v>0</v>
      </c>
      <c r="S512" t="s">
        <v>0</v>
      </c>
    </row>
    <row r="513" spans="1:19" x14ac:dyDescent="0.3">
      <c r="A513">
        <v>500512</v>
      </c>
      <c r="B513">
        <v>65514</v>
      </c>
      <c r="C513" t="s">
        <v>8</v>
      </c>
      <c r="D513" t="s">
        <v>19</v>
      </c>
      <c r="E513" s="1">
        <v>46029</v>
      </c>
      <c r="F513" t="s">
        <v>738</v>
      </c>
      <c r="G513" s="1">
        <v>46036</v>
      </c>
      <c r="H513" s="1" t="str">
        <f t="shared" si="14"/>
        <v>Wednesday</v>
      </c>
      <c r="I513">
        <v>36</v>
      </c>
      <c r="J513" t="s">
        <v>45</v>
      </c>
      <c r="K513">
        <v>1</v>
      </c>
      <c r="L513">
        <v>0</v>
      </c>
      <c r="M513">
        <v>0</v>
      </c>
      <c r="N513">
        <v>0</v>
      </c>
      <c r="O513">
        <v>0</v>
      </c>
      <c r="P513" t="str">
        <f t="shared" si="15"/>
        <v>Non Chronic</v>
      </c>
      <c r="Q513">
        <v>0</v>
      </c>
      <c r="R513">
        <v>1</v>
      </c>
      <c r="S513" t="s">
        <v>22</v>
      </c>
    </row>
    <row r="514" spans="1:19" x14ac:dyDescent="0.3">
      <c r="A514">
        <v>500513</v>
      </c>
      <c r="B514">
        <v>55838</v>
      </c>
      <c r="C514" t="s">
        <v>8</v>
      </c>
      <c r="D514" t="s">
        <v>28</v>
      </c>
      <c r="E514" s="1">
        <v>46125</v>
      </c>
      <c r="F514" t="s">
        <v>547</v>
      </c>
      <c r="G514" s="1">
        <v>46127</v>
      </c>
      <c r="H514" s="1" t="str">
        <f t="shared" si="14"/>
        <v>Wednesday</v>
      </c>
      <c r="I514">
        <v>33</v>
      </c>
      <c r="J514" t="s">
        <v>10</v>
      </c>
      <c r="K514">
        <v>0</v>
      </c>
      <c r="L514">
        <v>0</v>
      </c>
      <c r="M514">
        <v>0</v>
      </c>
      <c r="N514">
        <v>0</v>
      </c>
      <c r="O514">
        <v>0</v>
      </c>
      <c r="P514" t="str">
        <f t="shared" si="15"/>
        <v>Non Chronic</v>
      </c>
      <c r="Q514">
        <v>1</v>
      </c>
      <c r="R514">
        <v>1</v>
      </c>
      <c r="S514" t="s">
        <v>22</v>
      </c>
    </row>
    <row r="515" spans="1:19" x14ac:dyDescent="0.3">
      <c r="A515">
        <v>500514</v>
      </c>
      <c r="B515">
        <v>21247</v>
      </c>
      <c r="C515" t="s">
        <v>4</v>
      </c>
      <c r="D515" t="s">
        <v>36</v>
      </c>
      <c r="E515" s="1">
        <v>46045</v>
      </c>
      <c r="F515" t="s">
        <v>527</v>
      </c>
      <c r="G515" s="1">
        <v>46065</v>
      </c>
      <c r="H515" s="1" t="str">
        <f t="shared" ref="H515:H578" si="16">TEXT(G515,"dddd")</f>
        <v>Thursday</v>
      </c>
      <c r="I515">
        <v>19</v>
      </c>
      <c r="J515" t="s">
        <v>45</v>
      </c>
      <c r="K515">
        <v>0</v>
      </c>
      <c r="L515">
        <v>0</v>
      </c>
      <c r="M515">
        <v>0</v>
      </c>
      <c r="N515">
        <v>0</v>
      </c>
      <c r="O515">
        <v>0</v>
      </c>
      <c r="P515" t="str">
        <f t="shared" ref="P515:P578" si="17">IF(OR(L515=1,M515=1),"Chronic","Non Chronic")</f>
        <v>Non Chronic</v>
      </c>
      <c r="Q515">
        <v>0</v>
      </c>
      <c r="R515">
        <v>1</v>
      </c>
      <c r="S515" t="s">
        <v>22</v>
      </c>
    </row>
    <row r="516" spans="1:19" x14ac:dyDescent="0.3">
      <c r="A516">
        <v>500515</v>
      </c>
      <c r="B516">
        <v>24585</v>
      </c>
      <c r="C516" t="s">
        <v>8</v>
      </c>
      <c r="D516" t="s">
        <v>7</v>
      </c>
      <c r="E516" s="1">
        <v>46075</v>
      </c>
      <c r="F516" t="s">
        <v>737</v>
      </c>
      <c r="G516" s="1">
        <v>46085</v>
      </c>
      <c r="H516" s="1" t="str">
        <f t="shared" si="16"/>
        <v>Wednesday</v>
      </c>
      <c r="I516">
        <v>26</v>
      </c>
      <c r="J516" t="s">
        <v>10</v>
      </c>
      <c r="K516">
        <v>0</v>
      </c>
      <c r="L516">
        <v>0</v>
      </c>
      <c r="M516">
        <v>0</v>
      </c>
      <c r="N516">
        <v>0</v>
      </c>
      <c r="O516">
        <v>0</v>
      </c>
      <c r="P516" t="str">
        <f t="shared" si="17"/>
        <v>Non Chronic</v>
      </c>
      <c r="Q516">
        <v>1</v>
      </c>
      <c r="R516">
        <v>0</v>
      </c>
      <c r="S516" t="s">
        <v>22</v>
      </c>
    </row>
    <row r="517" spans="1:19" x14ac:dyDescent="0.3">
      <c r="A517">
        <v>500516</v>
      </c>
      <c r="B517">
        <v>43902</v>
      </c>
      <c r="C517" t="s">
        <v>8</v>
      </c>
      <c r="D517" t="s">
        <v>28</v>
      </c>
      <c r="E517" s="1">
        <v>46086</v>
      </c>
      <c r="F517" t="s">
        <v>592</v>
      </c>
      <c r="G517" s="1">
        <v>46087</v>
      </c>
      <c r="H517" s="1" t="str">
        <f t="shared" si="16"/>
        <v>Friday</v>
      </c>
      <c r="I517">
        <v>53</v>
      </c>
      <c r="J517" t="s">
        <v>17</v>
      </c>
      <c r="K517">
        <v>1</v>
      </c>
      <c r="L517">
        <v>0</v>
      </c>
      <c r="M517">
        <v>0</v>
      </c>
      <c r="N517">
        <v>1</v>
      </c>
      <c r="O517">
        <v>0</v>
      </c>
      <c r="P517" t="str">
        <f t="shared" si="17"/>
        <v>Non Chronic</v>
      </c>
      <c r="Q517">
        <v>1</v>
      </c>
      <c r="R517">
        <v>0</v>
      </c>
      <c r="S517" t="s">
        <v>0</v>
      </c>
    </row>
    <row r="518" spans="1:19" x14ac:dyDescent="0.3">
      <c r="A518">
        <v>500517</v>
      </c>
      <c r="B518">
        <v>90997</v>
      </c>
      <c r="C518" t="s">
        <v>8</v>
      </c>
      <c r="D518" t="s">
        <v>36</v>
      </c>
      <c r="E518" s="1">
        <v>46093</v>
      </c>
      <c r="F518" t="s">
        <v>736</v>
      </c>
      <c r="G518" s="1">
        <v>46113</v>
      </c>
      <c r="H518" s="1" t="str">
        <f t="shared" si="16"/>
        <v>Wednesday</v>
      </c>
      <c r="I518">
        <v>48</v>
      </c>
      <c r="J518" t="s">
        <v>10</v>
      </c>
      <c r="K518">
        <v>0</v>
      </c>
      <c r="L518">
        <v>1</v>
      </c>
      <c r="M518">
        <v>0</v>
      </c>
      <c r="N518">
        <v>0</v>
      </c>
      <c r="O518">
        <v>0</v>
      </c>
      <c r="P518" t="str">
        <f t="shared" si="17"/>
        <v>Chronic</v>
      </c>
      <c r="Q518">
        <v>1</v>
      </c>
      <c r="R518">
        <v>1</v>
      </c>
      <c r="S518" t="s">
        <v>0</v>
      </c>
    </row>
    <row r="519" spans="1:19" x14ac:dyDescent="0.3">
      <c r="A519">
        <v>500518</v>
      </c>
      <c r="B519">
        <v>48337</v>
      </c>
      <c r="C519" t="s">
        <v>8</v>
      </c>
      <c r="D519" t="s">
        <v>14</v>
      </c>
      <c r="E519" s="1">
        <v>46021</v>
      </c>
      <c r="F519" t="s">
        <v>735</v>
      </c>
      <c r="G519" s="1">
        <v>46026</v>
      </c>
      <c r="H519" s="1" t="str">
        <f t="shared" si="16"/>
        <v>Sunday</v>
      </c>
      <c r="I519">
        <v>18</v>
      </c>
      <c r="J519" t="s">
        <v>23</v>
      </c>
      <c r="K519">
        <v>0</v>
      </c>
      <c r="L519">
        <v>0</v>
      </c>
      <c r="M519">
        <v>0</v>
      </c>
      <c r="N519">
        <v>0</v>
      </c>
      <c r="O519">
        <v>0</v>
      </c>
      <c r="P519" t="str">
        <f t="shared" si="17"/>
        <v>Non Chronic</v>
      </c>
      <c r="Q519">
        <v>1</v>
      </c>
      <c r="R519">
        <v>0</v>
      </c>
      <c r="S519" t="s">
        <v>30</v>
      </c>
    </row>
    <row r="520" spans="1:19" x14ac:dyDescent="0.3">
      <c r="A520">
        <v>500519</v>
      </c>
      <c r="B520">
        <v>73525</v>
      </c>
      <c r="C520" t="s">
        <v>4</v>
      </c>
      <c r="D520" t="s">
        <v>28</v>
      </c>
      <c r="E520" s="1">
        <v>45981</v>
      </c>
      <c r="F520" t="s">
        <v>734</v>
      </c>
      <c r="G520" s="1">
        <v>45991</v>
      </c>
      <c r="H520" s="1" t="str">
        <f t="shared" si="16"/>
        <v>Sunday</v>
      </c>
      <c r="I520">
        <v>39</v>
      </c>
      <c r="J520" t="s">
        <v>45</v>
      </c>
      <c r="K520">
        <v>1</v>
      </c>
      <c r="L520">
        <v>0</v>
      </c>
      <c r="M520">
        <v>0</v>
      </c>
      <c r="N520">
        <v>0</v>
      </c>
      <c r="O520">
        <v>0</v>
      </c>
      <c r="P520" t="str">
        <f t="shared" si="17"/>
        <v>Non Chronic</v>
      </c>
      <c r="Q520">
        <v>1</v>
      </c>
      <c r="R520">
        <v>0</v>
      </c>
      <c r="S520" t="s">
        <v>22</v>
      </c>
    </row>
    <row r="521" spans="1:19" x14ac:dyDescent="0.3">
      <c r="A521">
        <v>500520</v>
      </c>
      <c r="B521">
        <v>49967</v>
      </c>
      <c r="C521" t="s">
        <v>8</v>
      </c>
      <c r="D521" t="s">
        <v>7</v>
      </c>
      <c r="E521" s="1">
        <v>46108</v>
      </c>
      <c r="F521" t="s">
        <v>639</v>
      </c>
      <c r="G521" s="1">
        <v>46110</v>
      </c>
      <c r="H521" s="1" t="str">
        <f t="shared" si="16"/>
        <v>Sunday</v>
      </c>
      <c r="I521">
        <v>53</v>
      </c>
      <c r="J521" t="s">
        <v>23</v>
      </c>
      <c r="K521">
        <v>0</v>
      </c>
      <c r="L521">
        <v>1</v>
      </c>
      <c r="M521">
        <v>0</v>
      </c>
      <c r="N521">
        <v>0</v>
      </c>
      <c r="O521">
        <v>0</v>
      </c>
      <c r="P521" t="str">
        <f t="shared" si="17"/>
        <v>Chronic</v>
      </c>
      <c r="Q521">
        <v>0</v>
      </c>
      <c r="R521">
        <v>0</v>
      </c>
      <c r="S521" t="s">
        <v>0</v>
      </c>
    </row>
    <row r="522" spans="1:19" x14ac:dyDescent="0.3">
      <c r="A522">
        <v>500521</v>
      </c>
      <c r="B522">
        <v>46159</v>
      </c>
      <c r="C522" t="s">
        <v>4</v>
      </c>
      <c r="D522" t="s">
        <v>25</v>
      </c>
      <c r="E522" s="1">
        <v>46027</v>
      </c>
      <c r="F522" t="s">
        <v>184</v>
      </c>
      <c r="G522" s="1">
        <v>46047</v>
      </c>
      <c r="H522" s="1" t="str">
        <f t="shared" si="16"/>
        <v>Sunday</v>
      </c>
      <c r="I522">
        <v>4</v>
      </c>
      <c r="J522" t="s">
        <v>23</v>
      </c>
      <c r="K522">
        <v>0</v>
      </c>
      <c r="L522">
        <v>0</v>
      </c>
      <c r="M522">
        <v>0</v>
      </c>
      <c r="N522">
        <v>0</v>
      </c>
      <c r="O522">
        <v>0</v>
      </c>
      <c r="P522" t="str">
        <f t="shared" si="17"/>
        <v>Non Chronic</v>
      </c>
      <c r="Q522">
        <v>0</v>
      </c>
      <c r="R522">
        <v>1</v>
      </c>
      <c r="S522" t="s">
        <v>30</v>
      </c>
    </row>
    <row r="523" spans="1:19" x14ac:dyDescent="0.3">
      <c r="A523">
        <v>500522</v>
      </c>
      <c r="B523">
        <v>82737</v>
      </c>
      <c r="C523" t="s">
        <v>8</v>
      </c>
      <c r="D523" t="s">
        <v>14</v>
      </c>
      <c r="E523" s="1">
        <v>46018</v>
      </c>
      <c r="F523" t="s">
        <v>733</v>
      </c>
      <c r="G523" s="1">
        <v>46021</v>
      </c>
      <c r="H523" s="1" t="str">
        <f t="shared" si="16"/>
        <v>Tuesday</v>
      </c>
      <c r="I523">
        <v>48</v>
      </c>
      <c r="J523" t="s">
        <v>31</v>
      </c>
      <c r="K523">
        <v>1</v>
      </c>
      <c r="L523">
        <v>0</v>
      </c>
      <c r="M523">
        <v>0</v>
      </c>
      <c r="N523">
        <v>0</v>
      </c>
      <c r="O523">
        <v>0</v>
      </c>
      <c r="P523" t="str">
        <f t="shared" si="17"/>
        <v>Non Chronic</v>
      </c>
      <c r="Q523">
        <v>0</v>
      </c>
      <c r="R523">
        <v>0</v>
      </c>
      <c r="S523" t="s">
        <v>0</v>
      </c>
    </row>
    <row r="524" spans="1:19" x14ac:dyDescent="0.3">
      <c r="A524">
        <v>500523</v>
      </c>
      <c r="B524">
        <v>91988</v>
      </c>
      <c r="C524" t="s">
        <v>4</v>
      </c>
      <c r="D524" t="s">
        <v>3</v>
      </c>
      <c r="E524" s="1">
        <v>46104</v>
      </c>
      <c r="F524" t="s">
        <v>259</v>
      </c>
      <c r="G524" s="1">
        <v>46106</v>
      </c>
      <c r="H524" s="1" t="str">
        <f t="shared" si="16"/>
        <v>Wednesday</v>
      </c>
      <c r="I524">
        <v>24</v>
      </c>
      <c r="J524" t="s">
        <v>45</v>
      </c>
      <c r="K524">
        <v>0</v>
      </c>
      <c r="L524">
        <v>0</v>
      </c>
      <c r="M524">
        <v>0</v>
      </c>
      <c r="N524">
        <v>0</v>
      </c>
      <c r="O524">
        <v>0</v>
      </c>
      <c r="P524" t="str">
        <f t="shared" si="17"/>
        <v>Non Chronic</v>
      </c>
      <c r="Q524">
        <v>1</v>
      </c>
      <c r="R524">
        <v>0</v>
      </c>
      <c r="S524" t="s">
        <v>22</v>
      </c>
    </row>
    <row r="525" spans="1:19" x14ac:dyDescent="0.3">
      <c r="A525">
        <v>500524</v>
      </c>
      <c r="B525">
        <v>27271</v>
      </c>
      <c r="C525" t="s">
        <v>4</v>
      </c>
      <c r="D525" t="s">
        <v>28</v>
      </c>
      <c r="E525" s="1">
        <v>46134</v>
      </c>
      <c r="F525" t="s">
        <v>732</v>
      </c>
      <c r="G525" s="1">
        <v>46139</v>
      </c>
      <c r="H525" s="1" t="str">
        <f t="shared" si="16"/>
        <v>Monday</v>
      </c>
      <c r="I525">
        <v>49</v>
      </c>
      <c r="J525" t="s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 t="str">
        <f t="shared" si="17"/>
        <v>Non Chronic</v>
      </c>
      <c r="Q525">
        <v>1</v>
      </c>
      <c r="R525">
        <v>0</v>
      </c>
      <c r="S525" t="s">
        <v>0</v>
      </c>
    </row>
    <row r="526" spans="1:19" x14ac:dyDescent="0.3">
      <c r="A526">
        <v>500525</v>
      </c>
      <c r="B526">
        <v>29025</v>
      </c>
      <c r="C526" t="s">
        <v>4</v>
      </c>
      <c r="D526" t="s">
        <v>19</v>
      </c>
      <c r="E526" s="1">
        <v>46130</v>
      </c>
      <c r="F526" t="s">
        <v>731</v>
      </c>
      <c r="G526" s="1">
        <v>46145</v>
      </c>
      <c r="H526" s="1" t="str">
        <f t="shared" si="16"/>
        <v>Sunday</v>
      </c>
      <c r="I526">
        <v>22</v>
      </c>
      <c r="J526" t="s">
        <v>15</v>
      </c>
      <c r="K526">
        <v>0</v>
      </c>
      <c r="L526">
        <v>0</v>
      </c>
      <c r="M526">
        <v>0</v>
      </c>
      <c r="N526">
        <v>0</v>
      </c>
      <c r="O526">
        <v>0</v>
      </c>
      <c r="P526" t="str">
        <f t="shared" si="17"/>
        <v>Non Chronic</v>
      </c>
      <c r="Q526">
        <v>1</v>
      </c>
      <c r="R526">
        <v>1</v>
      </c>
      <c r="S526" t="s">
        <v>22</v>
      </c>
    </row>
    <row r="527" spans="1:19" x14ac:dyDescent="0.3">
      <c r="A527">
        <v>500526</v>
      </c>
      <c r="B527">
        <v>51771</v>
      </c>
      <c r="C527" t="s">
        <v>8</v>
      </c>
      <c r="D527" t="s">
        <v>3</v>
      </c>
      <c r="E527" s="1">
        <v>46126</v>
      </c>
      <c r="F527" t="s">
        <v>730</v>
      </c>
      <c r="G527" s="1">
        <v>46131</v>
      </c>
      <c r="H527" s="1" t="str">
        <f t="shared" si="16"/>
        <v>Sunday</v>
      </c>
      <c r="I527">
        <v>1</v>
      </c>
      <c r="J527" t="s">
        <v>5</v>
      </c>
      <c r="K527">
        <v>0</v>
      </c>
      <c r="L527">
        <v>0</v>
      </c>
      <c r="M527">
        <v>0</v>
      </c>
      <c r="N527">
        <v>0</v>
      </c>
      <c r="O527">
        <v>0</v>
      </c>
      <c r="P527" t="str">
        <f t="shared" si="17"/>
        <v>Non Chronic</v>
      </c>
      <c r="Q527">
        <v>0</v>
      </c>
      <c r="R527">
        <v>0</v>
      </c>
      <c r="S527" t="s">
        <v>30</v>
      </c>
    </row>
    <row r="528" spans="1:19" x14ac:dyDescent="0.3">
      <c r="A528">
        <v>500527</v>
      </c>
      <c r="B528">
        <v>45887</v>
      </c>
      <c r="C528" t="s">
        <v>4</v>
      </c>
      <c r="D528" t="s">
        <v>14</v>
      </c>
      <c r="E528" s="1">
        <v>46010</v>
      </c>
      <c r="F528" t="s">
        <v>602</v>
      </c>
      <c r="G528" s="1">
        <v>46011</v>
      </c>
      <c r="H528" s="1" t="str">
        <f t="shared" si="16"/>
        <v>Saturday</v>
      </c>
      <c r="I528">
        <v>5</v>
      </c>
      <c r="J528" t="s">
        <v>15</v>
      </c>
      <c r="K528">
        <v>0</v>
      </c>
      <c r="L528">
        <v>0</v>
      </c>
      <c r="M528">
        <v>0</v>
      </c>
      <c r="N528">
        <v>0</v>
      </c>
      <c r="O528">
        <v>0</v>
      </c>
      <c r="P528" t="str">
        <f t="shared" si="17"/>
        <v>Non Chronic</v>
      </c>
      <c r="Q528">
        <v>1</v>
      </c>
      <c r="R528">
        <v>0</v>
      </c>
      <c r="S528" t="s">
        <v>30</v>
      </c>
    </row>
    <row r="529" spans="1:19" x14ac:dyDescent="0.3">
      <c r="A529">
        <v>500528</v>
      </c>
      <c r="B529">
        <v>90864</v>
      </c>
      <c r="C529" t="s">
        <v>8</v>
      </c>
      <c r="D529" t="s">
        <v>14</v>
      </c>
      <c r="E529" s="1">
        <v>46105</v>
      </c>
      <c r="F529" t="s">
        <v>729</v>
      </c>
      <c r="G529" s="1">
        <v>46105</v>
      </c>
      <c r="H529" s="1" t="str">
        <f t="shared" si="16"/>
        <v>Tuesday</v>
      </c>
      <c r="I529">
        <v>38</v>
      </c>
      <c r="J529" t="s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 t="str">
        <f t="shared" si="17"/>
        <v>Non Chronic</v>
      </c>
      <c r="Q529">
        <v>1</v>
      </c>
      <c r="R529">
        <v>0</v>
      </c>
      <c r="S529" t="s">
        <v>22</v>
      </c>
    </row>
    <row r="530" spans="1:19" x14ac:dyDescent="0.3">
      <c r="A530">
        <v>500529</v>
      </c>
      <c r="B530">
        <v>27575</v>
      </c>
      <c r="C530" t="s">
        <v>8</v>
      </c>
      <c r="D530" t="s">
        <v>19</v>
      </c>
      <c r="E530" s="1">
        <v>46019</v>
      </c>
      <c r="F530" t="s">
        <v>728</v>
      </c>
      <c r="G530" s="1">
        <v>46021</v>
      </c>
      <c r="H530" s="1" t="str">
        <f t="shared" si="16"/>
        <v>Tuesday</v>
      </c>
      <c r="I530">
        <v>43</v>
      </c>
      <c r="J530" t="s">
        <v>31</v>
      </c>
      <c r="K530">
        <v>1</v>
      </c>
      <c r="L530">
        <v>0</v>
      </c>
      <c r="M530">
        <v>0</v>
      </c>
      <c r="N530">
        <v>0</v>
      </c>
      <c r="O530">
        <v>0</v>
      </c>
      <c r="P530" t="str">
        <f t="shared" si="17"/>
        <v>Non Chronic</v>
      </c>
      <c r="Q530">
        <v>1</v>
      </c>
      <c r="R530">
        <v>0</v>
      </c>
      <c r="S530" t="s">
        <v>0</v>
      </c>
    </row>
    <row r="531" spans="1:19" x14ac:dyDescent="0.3">
      <c r="A531">
        <v>500530</v>
      </c>
      <c r="B531">
        <v>11967</v>
      </c>
      <c r="C531" t="s">
        <v>8</v>
      </c>
      <c r="D531" t="s">
        <v>3</v>
      </c>
      <c r="E531" s="1">
        <v>46114</v>
      </c>
      <c r="F531" t="s">
        <v>162</v>
      </c>
      <c r="G531" s="1">
        <v>46124</v>
      </c>
      <c r="H531" s="1" t="str">
        <f t="shared" si="16"/>
        <v>Sunday</v>
      </c>
      <c r="I531">
        <v>19</v>
      </c>
      <c r="J531" t="s">
        <v>45</v>
      </c>
      <c r="K531">
        <v>0</v>
      </c>
      <c r="L531">
        <v>0</v>
      </c>
      <c r="M531">
        <v>0</v>
      </c>
      <c r="N531">
        <v>0</v>
      </c>
      <c r="O531">
        <v>0</v>
      </c>
      <c r="P531" t="str">
        <f t="shared" si="17"/>
        <v>Non Chronic</v>
      </c>
      <c r="Q531">
        <v>1</v>
      </c>
      <c r="R531">
        <v>0</v>
      </c>
      <c r="S531" t="s">
        <v>22</v>
      </c>
    </row>
    <row r="532" spans="1:19" x14ac:dyDescent="0.3">
      <c r="A532">
        <v>500531</v>
      </c>
      <c r="B532">
        <v>67577</v>
      </c>
      <c r="C532" t="s">
        <v>8</v>
      </c>
      <c r="D532" t="s">
        <v>19</v>
      </c>
      <c r="E532" s="1">
        <v>46046</v>
      </c>
      <c r="F532" t="s">
        <v>727</v>
      </c>
      <c r="G532" s="1">
        <v>46061</v>
      </c>
      <c r="H532" s="1" t="str">
        <f t="shared" si="16"/>
        <v>Sunday</v>
      </c>
      <c r="I532">
        <v>50</v>
      </c>
      <c r="J532" t="s">
        <v>10</v>
      </c>
      <c r="K532">
        <v>0</v>
      </c>
      <c r="L532">
        <v>0</v>
      </c>
      <c r="M532">
        <v>0</v>
      </c>
      <c r="N532">
        <v>0</v>
      </c>
      <c r="O532">
        <v>0</v>
      </c>
      <c r="P532" t="str">
        <f t="shared" si="17"/>
        <v>Non Chronic</v>
      </c>
      <c r="Q532">
        <v>0</v>
      </c>
      <c r="R532">
        <v>0</v>
      </c>
      <c r="S532" t="s">
        <v>0</v>
      </c>
    </row>
    <row r="533" spans="1:19" x14ac:dyDescent="0.3">
      <c r="A533">
        <v>500532</v>
      </c>
      <c r="B533">
        <v>84964</v>
      </c>
      <c r="C533" t="s">
        <v>4</v>
      </c>
      <c r="D533" t="s">
        <v>58</v>
      </c>
      <c r="E533" s="1">
        <v>46054</v>
      </c>
      <c r="F533" t="s">
        <v>726</v>
      </c>
      <c r="G533" s="1">
        <v>46059</v>
      </c>
      <c r="H533" s="1" t="str">
        <f t="shared" si="16"/>
        <v>Friday</v>
      </c>
      <c r="I533">
        <v>4</v>
      </c>
      <c r="J533" t="s">
        <v>10</v>
      </c>
      <c r="K533">
        <v>0</v>
      </c>
      <c r="L533">
        <v>0</v>
      </c>
      <c r="M533">
        <v>0</v>
      </c>
      <c r="N533">
        <v>0</v>
      </c>
      <c r="O533">
        <v>0</v>
      </c>
      <c r="P533" t="str">
        <f t="shared" si="17"/>
        <v>Non Chronic</v>
      </c>
      <c r="Q533">
        <v>0</v>
      </c>
      <c r="R533">
        <v>0</v>
      </c>
      <c r="S533" t="s">
        <v>30</v>
      </c>
    </row>
    <row r="534" spans="1:19" x14ac:dyDescent="0.3">
      <c r="A534">
        <v>500533</v>
      </c>
      <c r="B534">
        <v>42207</v>
      </c>
      <c r="C534" t="s">
        <v>8</v>
      </c>
      <c r="D534" t="s">
        <v>36</v>
      </c>
      <c r="E534" s="1">
        <v>46137</v>
      </c>
      <c r="F534" t="s">
        <v>500</v>
      </c>
      <c r="G534" s="1">
        <v>46144</v>
      </c>
      <c r="H534" s="1" t="str">
        <f t="shared" si="16"/>
        <v>Saturday</v>
      </c>
      <c r="I534">
        <v>36</v>
      </c>
      <c r="J534" t="s">
        <v>12</v>
      </c>
      <c r="K534">
        <v>1</v>
      </c>
      <c r="L534">
        <v>0</v>
      </c>
      <c r="M534">
        <v>0</v>
      </c>
      <c r="N534">
        <v>0</v>
      </c>
      <c r="O534">
        <v>0</v>
      </c>
      <c r="P534" t="str">
        <f t="shared" si="17"/>
        <v>Non Chronic</v>
      </c>
      <c r="Q534">
        <v>1</v>
      </c>
      <c r="R534">
        <v>0</v>
      </c>
      <c r="S534" t="s">
        <v>22</v>
      </c>
    </row>
    <row r="535" spans="1:19" x14ac:dyDescent="0.3">
      <c r="A535">
        <v>500534</v>
      </c>
      <c r="B535">
        <v>62171</v>
      </c>
      <c r="C535" t="s">
        <v>8</v>
      </c>
      <c r="D535" t="s">
        <v>25</v>
      </c>
      <c r="E535" s="1">
        <v>46106</v>
      </c>
      <c r="F535" t="s">
        <v>40</v>
      </c>
      <c r="G535" s="1">
        <v>46107</v>
      </c>
      <c r="H535" s="1" t="str">
        <f t="shared" si="16"/>
        <v>Thursday</v>
      </c>
      <c r="I535">
        <v>13</v>
      </c>
      <c r="J535" t="s">
        <v>10</v>
      </c>
      <c r="K535">
        <v>0</v>
      </c>
      <c r="L535">
        <v>0</v>
      </c>
      <c r="M535">
        <v>0</v>
      </c>
      <c r="N535">
        <v>0</v>
      </c>
      <c r="O535">
        <v>0</v>
      </c>
      <c r="P535" t="str">
        <f t="shared" si="17"/>
        <v>Non Chronic</v>
      </c>
      <c r="Q535">
        <v>1</v>
      </c>
      <c r="R535">
        <v>0</v>
      </c>
      <c r="S535" t="s">
        <v>30</v>
      </c>
    </row>
    <row r="536" spans="1:19" x14ac:dyDescent="0.3">
      <c r="A536">
        <v>500535</v>
      </c>
      <c r="B536">
        <v>77760</v>
      </c>
      <c r="C536" t="s">
        <v>4</v>
      </c>
      <c r="D536" t="s">
        <v>7</v>
      </c>
      <c r="E536" s="1">
        <v>46109</v>
      </c>
      <c r="F536" t="s">
        <v>711</v>
      </c>
      <c r="G536" s="1">
        <v>46110</v>
      </c>
      <c r="H536" s="1" t="str">
        <f t="shared" si="16"/>
        <v>Sunday</v>
      </c>
      <c r="I536">
        <v>24</v>
      </c>
      <c r="J536" t="s">
        <v>10</v>
      </c>
      <c r="K536">
        <v>0</v>
      </c>
      <c r="L536">
        <v>0</v>
      </c>
      <c r="M536">
        <v>0</v>
      </c>
      <c r="N536">
        <v>0</v>
      </c>
      <c r="O536">
        <v>0</v>
      </c>
      <c r="P536" t="str">
        <f t="shared" si="17"/>
        <v>Non Chronic</v>
      </c>
      <c r="Q536">
        <v>0</v>
      </c>
      <c r="R536">
        <v>0</v>
      </c>
      <c r="S536" t="s">
        <v>22</v>
      </c>
    </row>
    <row r="537" spans="1:19" x14ac:dyDescent="0.3">
      <c r="A537">
        <v>500536</v>
      </c>
      <c r="B537">
        <v>81618</v>
      </c>
      <c r="C537" t="s">
        <v>4</v>
      </c>
      <c r="D537" t="s">
        <v>3</v>
      </c>
      <c r="E537" s="1">
        <v>46016</v>
      </c>
      <c r="F537" t="s">
        <v>171</v>
      </c>
      <c r="G537" s="1">
        <v>46017</v>
      </c>
      <c r="H537" s="1" t="str">
        <f t="shared" si="16"/>
        <v>Friday</v>
      </c>
      <c r="I537">
        <v>38</v>
      </c>
      <c r="J537" t="s">
        <v>23</v>
      </c>
      <c r="K537">
        <v>1</v>
      </c>
      <c r="L537">
        <v>0</v>
      </c>
      <c r="M537">
        <v>0</v>
      </c>
      <c r="N537">
        <v>0</v>
      </c>
      <c r="O537">
        <v>0</v>
      </c>
      <c r="P537" t="str">
        <f t="shared" si="17"/>
        <v>Non Chronic</v>
      </c>
      <c r="Q537">
        <v>1</v>
      </c>
      <c r="R537">
        <v>0</v>
      </c>
      <c r="S537" t="s">
        <v>22</v>
      </c>
    </row>
    <row r="538" spans="1:19" x14ac:dyDescent="0.3">
      <c r="A538">
        <v>500537</v>
      </c>
      <c r="B538">
        <v>36467</v>
      </c>
      <c r="C538" t="s">
        <v>8</v>
      </c>
      <c r="D538" t="s">
        <v>58</v>
      </c>
      <c r="E538" s="1">
        <v>46064</v>
      </c>
      <c r="F538" t="s">
        <v>725</v>
      </c>
      <c r="G538" s="1">
        <v>46074</v>
      </c>
      <c r="H538" s="1" t="str">
        <f t="shared" si="16"/>
        <v>Saturday</v>
      </c>
      <c r="I538">
        <v>20</v>
      </c>
      <c r="J538" t="s">
        <v>5</v>
      </c>
      <c r="K538">
        <v>1</v>
      </c>
      <c r="L538">
        <v>0</v>
      </c>
      <c r="M538">
        <v>0</v>
      </c>
      <c r="N538">
        <v>0</v>
      </c>
      <c r="O538">
        <v>0</v>
      </c>
      <c r="P538" t="str">
        <f t="shared" si="17"/>
        <v>Non Chronic</v>
      </c>
      <c r="Q538">
        <v>0</v>
      </c>
      <c r="R538">
        <v>0</v>
      </c>
      <c r="S538" t="s">
        <v>22</v>
      </c>
    </row>
    <row r="539" spans="1:19" x14ac:dyDescent="0.3">
      <c r="A539">
        <v>500538</v>
      </c>
      <c r="B539">
        <v>26193</v>
      </c>
      <c r="C539" t="s">
        <v>4</v>
      </c>
      <c r="D539" t="s">
        <v>58</v>
      </c>
      <c r="E539" s="1">
        <v>46113</v>
      </c>
      <c r="F539" t="s">
        <v>724</v>
      </c>
      <c r="G539" s="1">
        <v>46123</v>
      </c>
      <c r="H539" s="1" t="str">
        <f t="shared" si="16"/>
        <v>Saturday</v>
      </c>
      <c r="I539">
        <v>30</v>
      </c>
      <c r="J539" t="s">
        <v>10</v>
      </c>
      <c r="K539">
        <v>1</v>
      </c>
      <c r="L539">
        <v>0</v>
      </c>
      <c r="M539">
        <v>0</v>
      </c>
      <c r="N539">
        <v>0</v>
      </c>
      <c r="O539">
        <v>0</v>
      </c>
      <c r="P539" t="str">
        <f t="shared" si="17"/>
        <v>Non Chronic</v>
      </c>
      <c r="Q539">
        <v>0</v>
      </c>
      <c r="R539">
        <v>0</v>
      </c>
      <c r="S539" t="s">
        <v>22</v>
      </c>
    </row>
    <row r="540" spans="1:19" x14ac:dyDescent="0.3">
      <c r="A540">
        <v>500539</v>
      </c>
      <c r="B540">
        <v>90225</v>
      </c>
      <c r="C540" t="s">
        <v>4</v>
      </c>
      <c r="D540" t="s">
        <v>3</v>
      </c>
      <c r="E540" s="1">
        <v>46079</v>
      </c>
      <c r="F540" t="s">
        <v>723</v>
      </c>
      <c r="G540" s="1">
        <v>46094</v>
      </c>
      <c r="H540" s="1" t="str">
        <f t="shared" si="16"/>
        <v>Friday</v>
      </c>
      <c r="I540">
        <v>58</v>
      </c>
      <c r="J540" t="s">
        <v>12</v>
      </c>
      <c r="K540">
        <v>1</v>
      </c>
      <c r="L540">
        <v>1</v>
      </c>
      <c r="M540">
        <v>1</v>
      </c>
      <c r="N540">
        <v>0</v>
      </c>
      <c r="O540">
        <v>0</v>
      </c>
      <c r="P540" t="str">
        <f t="shared" si="17"/>
        <v>Chronic</v>
      </c>
      <c r="Q540">
        <v>1</v>
      </c>
      <c r="R540">
        <v>1</v>
      </c>
      <c r="S540" t="s">
        <v>0</v>
      </c>
    </row>
    <row r="541" spans="1:19" x14ac:dyDescent="0.3">
      <c r="A541">
        <v>500540</v>
      </c>
      <c r="B541">
        <v>16725</v>
      </c>
      <c r="C541" t="s">
        <v>8</v>
      </c>
      <c r="D541" t="s">
        <v>25</v>
      </c>
      <c r="E541" s="1">
        <v>46055</v>
      </c>
      <c r="F541" t="s">
        <v>722</v>
      </c>
      <c r="G541" s="1">
        <v>46056</v>
      </c>
      <c r="H541" s="1" t="str">
        <f t="shared" si="16"/>
        <v>Tuesday</v>
      </c>
      <c r="I541">
        <v>26</v>
      </c>
      <c r="J541" t="s">
        <v>5</v>
      </c>
      <c r="K541">
        <v>1</v>
      </c>
      <c r="L541">
        <v>0</v>
      </c>
      <c r="M541">
        <v>0</v>
      </c>
      <c r="N541">
        <v>0</v>
      </c>
      <c r="O541">
        <v>0</v>
      </c>
      <c r="P541" t="str">
        <f t="shared" si="17"/>
        <v>Non Chronic</v>
      </c>
      <c r="Q541">
        <v>0</v>
      </c>
      <c r="R541">
        <v>0</v>
      </c>
      <c r="S541" t="s">
        <v>22</v>
      </c>
    </row>
    <row r="542" spans="1:19" x14ac:dyDescent="0.3">
      <c r="A542">
        <v>500541</v>
      </c>
      <c r="B542">
        <v>10463</v>
      </c>
      <c r="C542" t="s">
        <v>8</v>
      </c>
      <c r="D542" t="s">
        <v>36</v>
      </c>
      <c r="E542" s="1">
        <v>46151</v>
      </c>
      <c r="F542" t="s">
        <v>504</v>
      </c>
      <c r="G542" s="1">
        <v>46171</v>
      </c>
      <c r="H542" s="1" t="str">
        <f t="shared" si="16"/>
        <v>Friday</v>
      </c>
      <c r="I542">
        <v>54</v>
      </c>
      <c r="J542" t="s">
        <v>10</v>
      </c>
      <c r="K542">
        <v>1</v>
      </c>
      <c r="L542">
        <v>0</v>
      </c>
      <c r="M542">
        <v>0</v>
      </c>
      <c r="N542">
        <v>1</v>
      </c>
      <c r="O542">
        <v>0</v>
      </c>
      <c r="P542" t="str">
        <f t="shared" si="17"/>
        <v>Non Chronic</v>
      </c>
      <c r="Q542">
        <v>1</v>
      </c>
      <c r="R542">
        <v>0</v>
      </c>
      <c r="S542" t="s">
        <v>0</v>
      </c>
    </row>
    <row r="543" spans="1:19" x14ac:dyDescent="0.3">
      <c r="A543">
        <v>500542</v>
      </c>
      <c r="B543">
        <v>72352</v>
      </c>
      <c r="C543" t="s">
        <v>8</v>
      </c>
      <c r="D543" t="s">
        <v>3</v>
      </c>
      <c r="E543" s="1">
        <v>46145</v>
      </c>
      <c r="F543" t="s">
        <v>721</v>
      </c>
      <c r="G543" s="1">
        <v>46145</v>
      </c>
      <c r="H543" s="1" t="str">
        <f t="shared" si="16"/>
        <v>Sunday</v>
      </c>
      <c r="I543">
        <v>15</v>
      </c>
      <c r="J543" t="s">
        <v>10</v>
      </c>
      <c r="K543">
        <v>0</v>
      </c>
      <c r="L543">
        <v>0</v>
      </c>
      <c r="M543">
        <v>0</v>
      </c>
      <c r="N543">
        <v>0</v>
      </c>
      <c r="O543">
        <v>0</v>
      </c>
      <c r="P543" t="str">
        <f t="shared" si="17"/>
        <v>Non Chronic</v>
      </c>
      <c r="Q543">
        <v>1</v>
      </c>
      <c r="R543">
        <v>0</v>
      </c>
      <c r="S543" t="s">
        <v>30</v>
      </c>
    </row>
    <row r="544" spans="1:19" x14ac:dyDescent="0.3">
      <c r="A544">
        <v>500543</v>
      </c>
      <c r="B544">
        <v>81741</v>
      </c>
      <c r="C544" t="s">
        <v>8</v>
      </c>
      <c r="D544" t="s">
        <v>14</v>
      </c>
      <c r="E544" s="1">
        <v>46068</v>
      </c>
      <c r="F544" t="s">
        <v>654</v>
      </c>
      <c r="G544" s="1">
        <v>46083</v>
      </c>
      <c r="H544" s="1" t="str">
        <f t="shared" si="16"/>
        <v>Monday</v>
      </c>
      <c r="I544">
        <v>48</v>
      </c>
      <c r="J544" t="s">
        <v>17</v>
      </c>
      <c r="K544">
        <v>0</v>
      </c>
      <c r="L544">
        <v>1</v>
      </c>
      <c r="M544">
        <v>0</v>
      </c>
      <c r="N544">
        <v>1</v>
      </c>
      <c r="O544">
        <v>0</v>
      </c>
      <c r="P544" t="str">
        <f t="shared" si="17"/>
        <v>Chronic</v>
      </c>
      <c r="Q544">
        <v>1</v>
      </c>
      <c r="R544">
        <v>0</v>
      </c>
      <c r="S544" t="s">
        <v>0</v>
      </c>
    </row>
    <row r="545" spans="1:19" x14ac:dyDescent="0.3">
      <c r="A545">
        <v>500544</v>
      </c>
      <c r="B545">
        <v>49117</v>
      </c>
      <c r="C545" t="s">
        <v>8</v>
      </c>
      <c r="D545" t="s">
        <v>58</v>
      </c>
      <c r="E545" s="1">
        <v>46065</v>
      </c>
      <c r="F545" t="s">
        <v>720</v>
      </c>
      <c r="G545" s="1">
        <v>46075</v>
      </c>
      <c r="H545" s="1" t="str">
        <f t="shared" si="16"/>
        <v>Sunday</v>
      </c>
      <c r="I545">
        <v>66</v>
      </c>
      <c r="J545" t="s">
        <v>17</v>
      </c>
      <c r="K545">
        <v>0</v>
      </c>
      <c r="L545">
        <v>0</v>
      </c>
      <c r="M545">
        <v>1</v>
      </c>
      <c r="N545">
        <v>0</v>
      </c>
      <c r="O545">
        <v>0</v>
      </c>
      <c r="P545" t="str">
        <f t="shared" si="17"/>
        <v>Chronic</v>
      </c>
      <c r="Q545">
        <v>1</v>
      </c>
      <c r="R545">
        <v>0</v>
      </c>
      <c r="S545" t="s">
        <v>9</v>
      </c>
    </row>
    <row r="546" spans="1:19" x14ac:dyDescent="0.3">
      <c r="A546">
        <v>500545</v>
      </c>
      <c r="B546">
        <v>33254</v>
      </c>
      <c r="C546" t="s">
        <v>8</v>
      </c>
      <c r="D546" t="s">
        <v>19</v>
      </c>
      <c r="E546" s="1">
        <v>46111</v>
      </c>
      <c r="F546" t="s">
        <v>719</v>
      </c>
      <c r="G546" s="1">
        <v>46112</v>
      </c>
      <c r="H546" s="1" t="str">
        <f t="shared" si="16"/>
        <v>Tuesday</v>
      </c>
      <c r="I546">
        <v>0</v>
      </c>
      <c r="J546" t="s">
        <v>17</v>
      </c>
      <c r="K546">
        <v>0</v>
      </c>
      <c r="L546">
        <v>0</v>
      </c>
      <c r="M546">
        <v>0</v>
      </c>
      <c r="N546">
        <v>0</v>
      </c>
      <c r="O546">
        <v>0</v>
      </c>
      <c r="P546" t="str">
        <f t="shared" si="17"/>
        <v>Non Chronic</v>
      </c>
      <c r="Q546">
        <v>1</v>
      </c>
      <c r="R546">
        <v>0</v>
      </c>
      <c r="S546" t="s">
        <v>30</v>
      </c>
    </row>
    <row r="547" spans="1:19" x14ac:dyDescent="0.3">
      <c r="A547">
        <v>500546</v>
      </c>
      <c r="B547">
        <v>59668</v>
      </c>
      <c r="C547" t="s">
        <v>4</v>
      </c>
      <c r="D547" t="s">
        <v>3</v>
      </c>
      <c r="E547" s="1">
        <v>46105</v>
      </c>
      <c r="F547" t="s">
        <v>718</v>
      </c>
      <c r="G547" s="1">
        <v>46106</v>
      </c>
      <c r="H547" s="1" t="str">
        <f t="shared" si="16"/>
        <v>Wednesday</v>
      </c>
      <c r="I547">
        <v>22</v>
      </c>
      <c r="J547" t="s">
        <v>12</v>
      </c>
      <c r="K547">
        <v>0</v>
      </c>
      <c r="L547">
        <v>0</v>
      </c>
      <c r="M547">
        <v>0</v>
      </c>
      <c r="N547">
        <v>0</v>
      </c>
      <c r="O547">
        <v>0</v>
      </c>
      <c r="P547" t="str">
        <f t="shared" si="17"/>
        <v>Non Chronic</v>
      </c>
      <c r="Q547">
        <v>1</v>
      </c>
      <c r="R547">
        <v>0</v>
      </c>
      <c r="S547" t="s">
        <v>22</v>
      </c>
    </row>
    <row r="548" spans="1:19" x14ac:dyDescent="0.3">
      <c r="A548">
        <v>500547</v>
      </c>
      <c r="B548">
        <v>79081</v>
      </c>
      <c r="C548" t="s">
        <v>8</v>
      </c>
      <c r="D548" t="s">
        <v>14</v>
      </c>
      <c r="E548" s="1">
        <v>46016</v>
      </c>
      <c r="F548" t="s">
        <v>398</v>
      </c>
      <c r="G548" s="1">
        <v>46046</v>
      </c>
      <c r="H548" s="1" t="str">
        <f t="shared" si="16"/>
        <v>Saturday</v>
      </c>
      <c r="I548">
        <v>49</v>
      </c>
      <c r="J548" t="s">
        <v>45</v>
      </c>
      <c r="K548">
        <v>0</v>
      </c>
      <c r="L548">
        <v>1</v>
      </c>
      <c r="M548">
        <v>0</v>
      </c>
      <c r="N548">
        <v>0</v>
      </c>
      <c r="O548">
        <v>0</v>
      </c>
      <c r="P548" t="str">
        <f t="shared" si="17"/>
        <v>Chronic</v>
      </c>
      <c r="Q548">
        <v>1</v>
      </c>
      <c r="R548">
        <v>0</v>
      </c>
      <c r="S548" t="s">
        <v>0</v>
      </c>
    </row>
    <row r="549" spans="1:19" x14ac:dyDescent="0.3">
      <c r="A549">
        <v>500548</v>
      </c>
      <c r="B549">
        <v>47642</v>
      </c>
      <c r="C549" t="s">
        <v>8</v>
      </c>
      <c r="D549" t="s">
        <v>19</v>
      </c>
      <c r="E549" s="1">
        <v>46135</v>
      </c>
      <c r="F549" t="s">
        <v>717</v>
      </c>
      <c r="G549" s="1">
        <v>46142</v>
      </c>
      <c r="H549" s="1" t="str">
        <f t="shared" si="16"/>
        <v>Thursday</v>
      </c>
      <c r="I549">
        <v>33</v>
      </c>
      <c r="J549" t="s">
        <v>5</v>
      </c>
      <c r="K549">
        <v>1</v>
      </c>
      <c r="L549">
        <v>0</v>
      </c>
      <c r="M549">
        <v>0</v>
      </c>
      <c r="N549">
        <v>0</v>
      </c>
      <c r="O549">
        <v>0</v>
      </c>
      <c r="P549" t="str">
        <f t="shared" si="17"/>
        <v>Non Chronic</v>
      </c>
      <c r="Q549">
        <v>1</v>
      </c>
      <c r="R549">
        <v>0</v>
      </c>
      <c r="S549" t="s">
        <v>22</v>
      </c>
    </row>
    <row r="550" spans="1:19" x14ac:dyDescent="0.3">
      <c r="A550">
        <v>500549</v>
      </c>
      <c r="B550">
        <v>75239</v>
      </c>
      <c r="C550" t="s">
        <v>8</v>
      </c>
      <c r="D550" t="s">
        <v>28</v>
      </c>
      <c r="E550" s="1">
        <v>46053</v>
      </c>
      <c r="F550" t="s">
        <v>716</v>
      </c>
      <c r="G550" s="1">
        <v>46053</v>
      </c>
      <c r="H550" s="1" t="str">
        <f t="shared" si="16"/>
        <v>Saturday</v>
      </c>
      <c r="I550">
        <v>45</v>
      </c>
      <c r="J550" t="s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 t="str">
        <f t="shared" si="17"/>
        <v>Non Chronic</v>
      </c>
      <c r="Q550">
        <v>1</v>
      </c>
      <c r="R550">
        <v>0</v>
      </c>
      <c r="S550" t="s">
        <v>0</v>
      </c>
    </row>
    <row r="551" spans="1:19" x14ac:dyDescent="0.3">
      <c r="A551">
        <v>500550</v>
      </c>
      <c r="B551">
        <v>25456</v>
      </c>
      <c r="C551" t="s">
        <v>4</v>
      </c>
      <c r="D551" t="s">
        <v>3</v>
      </c>
      <c r="E551" s="1">
        <v>46026</v>
      </c>
      <c r="F551" t="s">
        <v>587</v>
      </c>
      <c r="G551" s="1">
        <v>46033</v>
      </c>
      <c r="H551" s="1" t="str">
        <f t="shared" si="16"/>
        <v>Sunday</v>
      </c>
      <c r="I551">
        <v>25</v>
      </c>
      <c r="J551" t="s">
        <v>23</v>
      </c>
      <c r="K551">
        <v>0</v>
      </c>
      <c r="L551">
        <v>0</v>
      </c>
      <c r="M551">
        <v>0</v>
      </c>
      <c r="N551">
        <v>0</v>
      </c>
      <c r="O551">
        <v>0</v>
      </c>
      <c r="P551" t="str">
        <f t="shared" si="17"/>
        <v>Non Chronic</v>
      </c>
      <c r="Q551">
        <v>1</v>
      </c>
      <c r="R551">
        <v>1</v>
      </c>
      <c r="S551" t="s">
        <v>22</v>
      </c>
    </row>
    <row r="552" spans="1:19" x14ac:dyDescent="0.3">
      <c r="A552">
        <v>500551</v>
      </c>
      <c r="B552">
        <v>36370</v>
      </c>
      <c r="C552" t="s">
        <v>8</v>
      </c>
      <c r="D552" t="s">
        <v>25</v>
      </c>
      <c r="E552" s="1">
        <v>46145</v>
      </c>
      <c r="F552" t="s">
        <v>11</v>
      </c>
      <c r="G552" s="1">
        <v>46150</v>
      </c>
      <c r="H552" s="1" t="str">
        <f t="shared" si="16"/>
        <v>Friday</v>
      </c>
      <c r="I552">
        <v>39</v>
      </c>
      <c r="J552" t="s">
        <v>15</v>
      </c>
      <c r="K552">
        <v>1</v>
      </c>
      <c r="L552">
        <v>0</v>
      </c>
      <c r="M552">
        <v>0</v>
      </c>
      <c r="N552">
        <v>0</v>
      </c>
      <c r="O552">
        <v>0</v>
      </c>
      <c r="P552" t="str">
        <f t="shared" si="17"/>
        <v>Non Chronic</v>
      </c>
      <c r="Q552">
        <v>0</v>
      </c>
      <c r="R552">
        <v>1</v>
      </c>
      <c r="S552" t="s">
        <v>22</v>
      </c>
    </row>
    <row r="553" spans="1:19" x14ac:dyDescent="0.3">
      <c r="A553">
        <v>500552</v>
      </c>
      <c r="B553">
        <v>53684</v>
      </c>
      <c r="C553" t="s">
        <v>8</v>
      </c>
      <c r="D553" t="s">
        <v>3</v>
      </c>
      <c r="E553" s="1">
        <v>46089</v>
      </c>
      <c r="F553" t="s">
        <v>715</v>
      </c>
      <c r="G553" s="1">
        <v>46091</v>
      </c>
      <c r="H553" s="1" t="str">
        <f t="shared" si="16"/>
        <v>Tuesday</v>
      </c>
      <c r="I553">
        <v>34</v>
      </c>
      <c r="J553" t="s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 t="str">
        <f t="shared" si="17"/>
        <v>Non Chronic</v>
      </c>
      <c r="Q553">
        <v>0</v>
      </c>
      <c r="R553">
        <v>0</v>
      </c>
      <c r="S553" t="s">
        <v>22</v>
      </c>
    </row>
    <row r="554" spans="1:19" x14ac:dyDescent="0.3">
      <c r="A554">
        <v>500553</v>
      </c>
      <c r="B554">
        <v>72797</v>
      </c>
      <c r="C554" t="s">
        <v>8</v>
      </c>
      <c r="D554" t="s">
        <v>36</v>
      </c>
      <c r="E554" s="1">
        <v>46142</v>
      </c>
      <c r="F554" t="s">
        <v>714</v>
      </c>
      <c r="G554" s="1">
        <v>46147</v>
      </c>
      <c r="H554" s="1" t="str">
        <f t="shared" si="16"/>
        <v>Tuesday</v>
      </c>
      <c r="I554">
        <v>61</v>
      </c>
      <c r="J554" t="s">
        <v>31</v>
      </c>
      <c r="K554">
        <v>1</v>
      </c>
      <c r="L554">
        <v>1</v>
      </c>
      <c r="M554">
        <v>0</v>
      </c>
      <c r="N554">
        <v>0</v>
      </c>
      <c r="O554">
        <v>0</v>
      </c>
      <c r="P554" t="str">
        <f t="shared" si="17"/>
        <v>Chronic</v>
      </c>
      <c r="Q554">
        <v>0</v>
      </c>
      <c r="R554">
        <v>0</v>
      </c>
      <c r="S554" t="s">
        <v>9</v>
      </c>
    </row>
    <row r="555" spans="1:19" x14ac:dyDescent="0.3">
      <c r="A555">
        <v>500554</v>
      </c>
      <c r="B555">
        <v>17342</v>
      </c>
      <c r="C555" t="s">
        <v>8</v>
      </c>
      <c r="D555" t="s">
        <v>19</v>
      </c>
      <c r="E555" s="1">
        <v>46118</v>
      </c>
      <c r="F555" t="s">
        <v>713</v>
      </c>
      <c r="G555" s="1">
        <v>46133</v>
      </c>
      <c r="H555" s="1" t="str">
        <f t="shared" si="16"/>
        <v>Tuesday</v>
      </c>
      <c r="I555">
        <v>43</v>
      </c>
      <c r="J555" t="s">
        <v>12</v>
      </c>
      <c r="K555">
        <v>0</v>
      </c>
      <c r="L555">
        <v>0</v>
      </c>
      <c r="M555">
        <v>1</v>
      </c>
      <c r="N555">
        <v>0</v>
      </c>
      <c r="O555">
        <v>0</v>
      </c>
      <c r="P555" t="str">
        <f t="shared" si="17"/>
        <v>Chronic</v>
      </c>
      <c r="Q555">
        <v>0</v>
      </c>
      <c r="R555">
        <v>0</v>
      </c>
      <c r="S555" t="s">
        <v>0</v>
      </c>
    </row>
    <row r="556" spans="1:19" x14ac:dyDescent="0.3">
      <c r="A556">
        <v>500555</v>
      </c>
      <c r="B556">
        <v>29569</v>
      </c>
      <c r="C556" t="s">
        <v>8</v>
      </c>
      <c r="D556" t="s">
        <v>36</v>
      </c>
      <c r="E556" s="1">
        <v>46097</v>
      </c>
      <c r="F556" t="s">
        <v>712</v>
      </c>
      <c r="G556" s="1">
        <v>46104</v>
      </c>
      <c r="H556" s="1" t="str">
        <f t="shared" si="16"/>
        <v>Monday</v>
      </c>
      <c r="I556">
        <v>44</v>
      </c>
      <c r="J556" t="s">
        <v>20</v>
      </c>
      <c r="K556">
        <v>1</v>
      </c>
      <c r="L556">
        <v>0</v>
      </c>
      <c r="M556">
        <v>0</v>
      </c>
      <c r="N556">
        <v>0</v>
      </c>
      <c r="O556">
        <v>0</v>
      </c>
      <c r="P556" t="str">
        <f t="shared" si="17"/>
        <v>Non Chronic</v>
      </c>
      <c r="Q556">
        <v>1</v>
      </c>
      <c r="R556">
        <v>0</v>
      </c>
      <c r="S556" t="s">
        <v>0</v>
      </c>
    </row>
    <row r="557" spans="1:19" x14ac:dyDescent="0.3">
      <c r="A557">
        <v>500556</v>
      </c>
      <c r="B557">
        <v>50407</v>
      </c>
      <c r="C557" t="s">
        <v>8</v>
      </c>
      <c r="D557" t="s">
        <v>36</v>
      </c>
      <c r="E557" s="1">
        <v>46151</v>
      </c>
      <c r="F557" t="s">
        <v>711</v>
      </c>
      <c r="G557" s="1">
        <v>46171</v>
      </c>
      <c r="H557" s="1" t="str">
        <f t="shared" si="16"/>
        <v>Friday</v>
      </c>
      <c r="I557">
        <v>29</v>
      </c>
      <c r="J557" t="s">
        <v>5</v>
      </c>
      <c r="K557">
        <v>1</v>
      </c>
      <c r="L557">
        <v>0</v>
      </c>
      <c r="M557">
        <v>0</v>
      </c>
      <c r="N557">
        <v>0</v>
      </c>
      <c r="O557">
        <v>0</v>
      </c>
      <c r="P557" t="str">
        <f t="shared" si="17"/>
        <v>Non Chronic</v>
      </c>
      <c r="Q557">
        <v>1</v>
      </c>
      <c r="R557">
        <v>0</v>
      </c>
      <c r="S557" t="s">
        <v>22</v>
      </c>
    </row>
    <row r="558" spans="1:19" x14ac:dyDescent="0.3">
      <c r="A558">
        <v>500557</v>
      </c>
      <c r="B558">
        <v>49666</v>
      </c>
      <c r="C558" t="s">
        <v>4</v>
      </c>
      <c r="D558" t="s">
        <v>25</v>
      </c>
      <c r="E558" s="1">
        <v>46159</v>
      </c>
      <c r="F558" t="s">
        <v>710</v>
      </c>
      <c r="G558" s="1">
        <v>46159</v>
      </c>
      <c r="H558" s="1" t="str">
        <f t="shared" si="16"/>
        <v>Sunday</v>
      </c>
      <c r="I558">
        <v>28</v>
      </c>
      <c r="J558" t="s">
        <v>31</v>
      </c>
      <c r="K558">
        <v>0</v>
      </c>
      <c r="L558">
        <v>0</v>
      </c>
      <c r="M558">
        <v>0</v>
      </c>
      <c r="N558">
        <v>0</v>
      </c>
      <c r="O558">
        <v>0</v>
      </c>
      <c r="P558" t="str">
        <f t="shared" si="17"/>
        <v>Non Chronic</v>
      </c>
      <c r="Q558">
        <v>1</v>
      </c>
      <c r="R558">
        <v>1</v>
      </c>
      <c r="S558" t="s">
        <v>22</v>
      </c>
    </row>
    <row r="559" spans="1:19" x14ac:dyDescent="0.3">
      <c r="A559">
        <v>500558</v>
      </c>
      <c r="B559">
        <v>76321</v>
      </c>
      <c r="C559" t="s">
        <v>4</v>
      </c>
      <c r="D559" t="s">
        <v>7</v>
      </c>
      <c r="E559" s="1">
        <v>45981</v>
      </c>
      <c r="F559" t="s">
        <v>709</v>
      </c>
      <c r="G559" s="1">
        <v>46001</v>
      </c>
      <c r="H559" s="1" t="str">
        <f t="shared" si="16"/>
        <v>Wednesday</v>
      </c>
      <c r="I559">
        <v>29</v>
      </c>
      <c r="J559" t="s">
        <v>12</v>
      </c>
      <c r="K559">
        <v>0</v>
      </c>
      <c r="L559">
        <v>0</v>
      </c>
      <c r="M559">
        <v>0</v>
      </c>
      <c r="N559">
        <v>0</v>
      </c>
      <c r="O559">
        <v>0</v>
      </c>
      <c r="P559" t="str">
        <f t="shared" si="17"/>
        <v>Non Chronic</v>
      </c>
      <c r="Q559">
        <v>0</v>
      </c>
      <c r="R559">
        <v>0</v>
      </c>
      <c r="S559" t="s">
        <v>22</v>
      </c>
    </row>
    <row r="560" spans="1:19" x14ac:dyDescent="0.3">
      <c r="A560">
        <v>500559</v>
      </c>
      <c r="B560">
        <v>52904</v>
      </c>
      <c r="C560" t="s">
        <v>4</v>
      </c>
      <c r="D560" t="s">
        <v>58</v>
      </c>
      <c r="E560" s="1">
        <v>46082</v>
      </c>
      <c r="F560" t="s">
        <v>515</v>
      </c>
      <c r="G560" s="1">
        <v>46085</v>
      </c>
      <c r="H560" s="1" t="str">
        <f t="shared" si="16"/>
        <v>Wednesday</v>
      </c>
      <c r="I560">
        <v>45</v>
      </c>
      <c r="J560" t="s">
        <v>12</v>
      </c>
      <c r="K560">
        <v>0</v>
      </c>
      <c r="L560">
        <v>0</v>
      </c>
      <c r="M560">
        <v>1</v>
      </c>
      <c r="N560">
        <v>1</v>
      </c>
      <c r="O560">
        <v>0</v>
      </c>
      <c r="P560" t="str">
        <f t="shared" si="17"/>
        <v>Chronic</v>
      </c>
      <c r="Q560">
        <v>0</v>
      </c>
      <c r="R560">
        <v>1</v>
      </c>
      <c r="S560" t="s">
        <v>0</v>
      </c>
    </row>
    <row r="561" spans="1:19" x14ac:dyDescent="0.3">
      <c r="A561">
        <v>500560</v>
      </c>
      <c r="B561">
        <v>50760</v>
      </c>
      <c r="C561" t="s">
        <v>4</v>
      </c>
      <c r="D561" t="s">
        <v>58</v>
      </c>
      <c r="E561" s="1">
        <v>46067</v>
      </c>
      <c r="F561" t="s">
        <v>647</v>
      </c>
      <c r="G561" s="1">
        <v>46068</v>
      </c>
      <c r="H561" s="1" t="str">
        <f t="shared" si="16"/>
        <v>Sunday</v>
      </c>
      <c r="I561">
        <v>29</v>
      </c>
      <c r="J561" t="s">
        <v>20</v>
      </c>
      <c r="K561">
        <v>1</v>
      </c>
      <c r="L561">
        <v>0</v>
      </c>
      <c r="M561">
        <v>0</v>
      </c>
      <c r="N561">
        <v>0</v>
      </c>
      <c r="O561">
        <v>0</v>
      </c>
      <c r="P561" t="str">
        <f t="shared" si="17"/>
        <v>Non Chronic</v>
      </c>
      <c r="Q561">
        <v>0</v>
      </c>
      <c r="R561">
        <v>0</v>
      </c>
      <c r="S561" t="s">
        <v>22</v>
      </c>
    </row>
    <row r="562" spans="1:19" x14ac:dyDescent="0.3">
      <c r="A562">
        <v>500561</v>
      </c>
      <c r="B562">
        <v>12946</v>
      </c>
      <c r="C562" t="s">
        <v>8</v>
      </c>
      <c r="D562" t="s">
        <v>14</v>
      </c>
      <c r="E562" s="1">
        <v>46149</v>
      </c>
      <c r="F562" t="s">
        <v>708</v>
      </c>
      <c r="G562" s="1">
        <v>46152</v>
      </c>
      <c r="H562" s="1" t="str">
        <f t="shared" si="16"/>
        <v>Sunday</v>
      </c>
      <c r="I562">
        <v>43</v>
      </c>
      <c r="J562" t="s">
        <v>20</v>
      </c>
      <c r="K562">
        <v>0</v>
      </c>
      <c r="L562">
        <v>0</v>
      </c>
      <c r="M562">
        <v>1</v>
      </c>
      <c r="N562">
        <v>0</v>
      </c>
      <c r="O562">
        <v>0</v>
      </c>
      <c r="P562" t="str">
        <f t="shared" si="17"/>
        <v>Chronic</v>
      </c>
      <c r="Q562">
        <v>1</v>
      </c>
      <c r="R562">
        <v>1</v>
      </c>
      <c r="S562" t="s">
        <v>0</v>
      </c>
    </row>
    <row r="563" spans="1:19" x14ac:dyDescent="0.3">
      <c r="A563">
        <v>500562</v>
      </c>
      <c r="B563">
        <v>29571</v>
      </c>
      <c r="C563" t="s">
        <v>4</v>
      </c>
      <c r="D563" t="s">
        <v>25</v>
      </c>
      <c r="E563" s="1">
        <v>46041</v>
      </c>
      <c r="F563" t="s">
        <v>488</v>
      </c>
      <c r="G563" s="1">
        <v>46046</v>
      </c>
      <c r="H563" s="1" t="str">
        <f t="shared" si="16"/>
        <v>Saturday</v>
      </c>
      <c r="I563">
        <v>79</v>
      </c>
      <c r="J563" t="s">
        <v>15</v>
      </c>
      <c r="K563">
        <v>0</v>
      </c>
      <c r="L563">
        <v>0</v>
      </c>
      <c r="M563">
        <v>0</v>
      </c>
      <c r="N563">
        <v>0</v>
      </c>
      <c r="O563">
        <v>0</v>
      </c>
      <c r="P563" t="str">
        <f t="shared" si="17"/>
        <v>Non Chronic</v>
      </c>
      <c r="Q563">
        <v>1</v>
      </c>
      <c r="R563">
        <v>0</v>
      </c>
      <c r="S563" t="s">
        <v>9</v>
      </c>
    </row>
    <row r="564" spans="1:19" x14ac:dyDescent="0.3">
      <c r="A564">
        <v>500563</v>
      </c>
      <c r="B564">
        <v>47128</v>
      </c>
      <c r="C564" t="s">
        <v>4</v>
      </c>
      <c r="D564" t="s">
        <v>28</v>
      </c>
      <c r="E564" s="1">
        <v>46110</v>
      </c>
      <c r="F564" t="s">
        <v>707</v>
      </c>
      <c r="G564" s="1">
        <v>46111</v>
      </c>
      <c r="H564" s="1" t="str">
        <f t="shared" si="16"/>
        <v>Monday</v>
      </c>
      <c r="I564">
        <v>55</v>
      </c>
      <c r="J564" t="s">
        <v>15</v>
      </c>
      <c r="K564">
        <v>1</v>
      </c>
      <c r="L564">
        <v>0</v>
      </c>
      <c r="M564">
        <v>0</v>
      </c>
      <c r="N564">
        <v>0</v>
      </c>
      <c r="O564">
        <v>0</v>
      </c>
      <c r="P564" t="str">
        <f t="shared" si="17"/>
        <v>Non Chronic</v>
      </c>
      <c r="Q564">
        <v>1</v>
      </c>
      <c r="R564">
        <v>0</v>
      </c>
      <c r="S564" t="s">
        <v>0</v>
      </c>
    </row>
    <row r="565" spans="1:19" x14ac:dyDescent="0.3">
      <c r="A565">
        <v>500564</v>
      </c>
      <c r="B565">
        <v>23884</v>
      </c>
      <c r="C565" t="s">
        <v>8</v>
      </c>
      <c r="D565" t="s">
        <v>36</v>
      </c>
      <c r="E565" s="1">
        <v>46114</v>
      </c>
      <c r="F565" t="s">
        <v>194</v>
      </c>
      <c r="G565" s="1">
        <v>46124</v>
      </c>
      <c r="H565" s="1" t="str">
        <f t="shared" si="16"/>
        <v>Sunday</v>
      </c>
      <c r="I565">
        <v>31</v>
      </c>
      <c r="J565" t="s">
        <v>15</v>
      </c>
      <c r="K565">
        <v>1</v>
      </c>
      <c r="L565">
        <v>0</v>
      </c>
      <c r="M565">
        <v>0</v>
      </c>
      <c r="N565">
        <v>0</v>
      </c>
      <c r="O565">
        <v>0</v>
      </c>
      <c r="P565" t="str">
        <f t="shared" si="17"/>
        <v>Non Chronic</v>
      </c>
      <c r="Q565">
        <v>0</v>
      </c>
      <c r="R565">
        <v>0</v>
      </c>
      <c r="S565" t="s">
        <v>22</v>
      </c>
    </row>
    <row r="566" spans="1:19" x14ac:dyDescent="0.3">
      <c r="A566">
        <v>500565</v>
      </c>
      <c r="B566">
        <v>68436</v>
      </c>
      <c r="C566" t="s">
        <v>8</v>
      </c>
      <c r="D566" t="s">
        <v>25</v>
      </c>
      <c r="E566" s="1">
        <v>46125</v>
      </c>
      <c r="F566" t="s">
        <v>428</v>
      </c>
      <c r="G566" s="1">
        <v>46135</v>
      </c>
      <c r="H566" s="1" t="str">
        <f t="shared" si="16"/>
        <v>Thursday</v>
      </c>
      <c r="I566">
        <v>62</v>
      </c>
      <c r="J566" t="s">
        <v>20</v>
      </c>
      <c r="K566">
        <v>0</v>
      </c>
      <c r="L566">
        <v>0</v>
      </c>
      <c r="M566">
        <v>0</v>
      </c>
      <c r="N566">
        <v>0</v>
      </c>
      <c r="O566">
        <v>0</v>
      </c>
      <c r="P566" t="str">
        <f t="shared" si="17"/>
        <v>Non Chronic</v>
      </c>
      <c r="Q566">
        <v>1</v>
      </c>
      <c r="R566">
        <v>1</v>
      </c>
      <c r="S566" t="s">
        <v>9</v>
      </c>
    </row>
    <row r="567" spans="1:19" x14ac:dyDescent="0.3">
      <c r="A567">
        <v>500566</v>
      </c>
      <c r="B567">
        <v>71377</v>
      </c>
      <c r="C567" t="s">
        <v>4</v>
      </c>
      <c r="D567" t="s">
        <v>7</v>
      </c>
      <c r="E567" s="1">
        <v>46117</v>
      </c>
      <c r="F567" t="s">
        <v>706</v>
      </c>
      <c r="G567" s="1">
        <v>46147</v>
      </c>
      <c r="H567" s="1" t="str">
        <f t="shared" si="16"/>
        <v>Tuesday</v>
      </c>
      <c r="I567">
        <v>29</v>
      </c>
      <c r="J567" t="s">
        <v>5</v>
      </c>
      <c r="K567">
        <v>1</v>
      </c>
      <c r="L567">
        <v>0</v>
      </c>
      <c r="M567">
        <v>0</v>
      </c>
      <c r="N567">
        <v>0</v>
      </c>
      <c r="O567">
        <v>0</v>
      </c>
      <c r="P567" t="str">
        <f t="shared" si="17"/>
        <v>Non Chronic</v>
      </c>
      <c r="Q567">
        <v>1</v>
      </c>
      <c r="R567">
        <v>0</v>
      </c>
      <c r="S567" t="s">
        <v>22</v>
      </c>
    </row>
    <row r="568" spans="1:19" x14ac:dyDescent="0.3">
      <c r="A568">
        <v>500567</v>
      </c>
      <c r="B568">
        <v>43823</v>
      </c>
      <c r="C568" t="s">
        <v>8</v>
      </c>
      <c r="D568" t="s">
        <v>3</v>
      </c>
      <c r="E568" s="1">
        <v>46003</v>
      </c>
      <c r="F568" t="s">
        <v>705</v>
      </c>
      <c r="G568" s="1">
        <v>46013</v>
      </c>
      <c r="H568" s="1" t="str">
        <f t="shared" si="16"/>
        <v>Monday</v>
      </c>
      <c r="I568">
        <v>0</v>
      </c>
      <c r="J568" t="s">
        <v>31</v>
      </c>
      <c r="K568">
        <v>0</v>
      </c>
      <c r="L568">
        <v>0</v>
      </c>
      <c r="M568">
        <v>0</v>
      </c>
      <c r="N568">
        <v>0</v>
      </c>
      <c r="O568">
        <v>0</v>
      </c>
      <c r="P568" t="str">
        <f t="shared" si="17"/>
        <v>Non Chronic</v>
      </c>
      <c r="Q568">
        <v>1</v>
      </c>
      <c r="R568">
        <v>0</v>
      </c>
      <c r="S568" t="s">
        <v>30</v>
      </c>
    </row>
    <row r="569" spans="1:19" x14ac:dyDescent="0.3">
      <c r="A569">
        <v>500568</v>
      </c>
      <c r="B569">
        <v>52567</v>
      </c>
      <c r="C569" t="s">
        <v>8</v>
      </c>
      <c r="D569" t="s">
        <v>7</v>
      </c>
      <c r="E569" s="1">
        <v>46113</v>
      </c>
      <c r="F569" t="s">
        <v>704</v>
      </c>
      <c r="G569" s="1">
        <v>46113</v>
      </c>
      <c r="H569" s="1" t="str">
        <f t="shared" si="16"/>
        <v>Wednesday</v>
      </c>
      <c r="I569">
        <v>17</v>
      </c>
      <c r="J569" t="s">
        <v>17</v>
      </c>
      <c r="K569">
        <v>0</v>
      </c>
      <c r="L569">
        <v>0</v>
      </c>
      <c r="M569">
        <v>0</v>
      </c>
      <c r="N569">
        <v>0</v>
      </c>
      <c r="O569">
        <v>0</v>
      </c>
      <c r="P569" t="str">
        <f t="shared" si="17"/>
        <v>Non Chronic</v>
      </c>
      <c r="Q569">
        <v>1</v>
      </c>
      <c r="R569">
        <v>0</v>
      </c>
      <c r="S569" t="s">
        <v>30</v>
      </c>
    </row>
    <row r="570" spans="1:19" x14ac:dyDescent="0.3">
      <c r="A570">
        <v>500569</v>
      </c>
      <c r="B570">
        <v>32387</v>
      </c>
      <c r="C570" t="s">
        <v>8</v>
      </c>
      <c r="D570" t="s">
        <v>19</v>
      </c>
      <c r="E570" s="1">
        <v>46026</v>
      </c>
      <c r="F570" t="s">
        <v>703</v>
      </c>
      <c r="G570" s="1">
        <v>46033</v>
      </c>
      <c r="H570" s="1" t="str">
        <f t="shared" si="16"/>
        <v>Sunday</v>
      </c>
      <c r="I570">
        <v>0</v>
      </c>
      <c r="J570" t="s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 t="str">
        <f t="shared" si="17"/>
        <v>Non Chronic</v>
      </c>
      <c r="Q570">
        <v>1</v>
      </c>
      <c r="R570">
        <v>0</v>
      </c>
      <c r="S570" t="s">
        <v>30</v>
      </c>
    </row>
    <row r="571" spans="1:19" x14ac:dyDescent="0.3">
      <c r="A571">
        <v>500570</v>
      </c>
      <c r="B571">
        <v>24022</v>
      </c>
      <c r="C571" t="s">
        <v>8</v>
      </c>
      <c r="D571" t="s">
        <v>58</v>
      </c>
      <c r="E571" s="1">
        <v>46081</v>
      </c>
      <c r="F571" t="s">
        <v>702</v>
      </c>
      <c r="G571" s="1">
        <v>46084</v>
      </c>
      <c r="H571" s="1" t="str">
        <f t="shared" si="16"/>
        <v>Tuesday</v>
      </c>
      <c r="I571">
        <v>30</v>
      </c>
      <c r="J571" t="s">
        <v>5</v>
      </c>
      <c r="K571">
        <v>1</v>
      </c>
      <c r="L571">
        <v>0</v>
      </c>
      <c r="M571">
        <v>0</v>
      </c>
      <c r="N571">
        <v>0</v>
      </c>
      <c r="O571">
        <v>0</v>
      </c>
      <c r="P571" t="str">
        <f t="shared" si="17"/>
        <v>Non Chronic</v>
      </c>
      <c r="Q571">
        <v>1</v>
      </c>
      <c r="R571">
        <v>0</v>
      </c>
      <c r="S571" t="s">
        <v>22</v>
      </c>
    </row>
    <row r="572" spans="1:19" x14ac:dyDescent="0.3">
      <c r="A572">
        <v>500571</v>
      </c>
      <c r="B572">
        <v>73225</v>
      </c>
      <c r="C572" t="s">
        <v>8</v>
      </c>
      <c r="D572" t="s">
        <v>58</v>
      </c>
      <c r="E572" s="1">
        <v>46131</v>
      </c>
      <c r="F572" t="s">
        <v>440</v>
      </c>
      <c r="G572" s="1">
        <v>46138</v>
      </c>
      <c r="H572" s="1" t="str">
        <f t="shared" si="16"/>
        <v>Sunday</v>
      </c>
      <c r="I572">
        <v>38</v>
      </c>
      <c r="J572" t="s">
        <v>20</v>
      </c>
      <c r="K572">
        <v>0</v>
      </c>
      <c r="L572">
        <v>0</v>
      </c>
      <c r="M572">
        <v>0</v>
      </c>
      <c r="N572">
        <v>0</v>
      </c>
      <c r="O572">
        <v>0</v>
      </c>
      <c r="P572" t="str">
        <f t="shared" si="17"/>
        <v>Non Chronic</v>
      </c>
      <c r="Q572">
        <v>0</v>
      </c>
      <c r="R572">
        <v>0</v>
      </c>
      <c r="S572" t="s">
        <v>22</v>
      </c>
    </row>
    <row r="573" spans="1:19" x14ac:dyDescent="0.3">
      <c r="A573">
        <v>500572</v>
      </c>
      <c r="B573">
        <v>54852</v>
      </c>
      <c r="C573" t="s">
        <v>4</v>
      </c>
      <c r="D573" t="s">
        <v>28</v>
      </c>
      <c r="E573" s="1">
        <v>46158</v>
      </c>
      <c r="F573" t="s">
        <v>701</v>
      </c>
      <c r="G573" s="1">
        <v>46163</v>
      </c>
      <c r="H573" s="1" t="str">
        <f t="shared" si="16"/>
        <v>Thursday</v>
      </c>
      <c r="I573">
        <v>71</v>
      </c>
      <c r="J573" t="s">
        <v>15</v>
      </c>
      <c r="K573">
        <v>1</v>
      </c>
      <c r="L573">
        <v>1</v>
      </c>
      <c r="M573">
        <v>0</v>
      </c>
      <c r="N573">
        <v>0</v>
      </c>
      <c r="O573">
        <v>0</v>
      </c>
      <c r="P573" t="str">
        <f t="shared" si="17"/>
        <v>Chronic</v>
      </c>
      <c r="Q573">
        <v>1</v>
      </c>
      <c r="R573">
        <v>0</v>
      </c>
      <c r="S573" t="s">
        <v>9</v>
      </c>
    </row>
    <row r="574" spans="1:19" x14ac:dyDescent="0.3">
      <c r="A574">
        <v>500573</v>
      </c>
      <c r="B574">
        <v>88415</v>
      </c>
      <c r="C574" t="s">
        <v>4</v>
      </c>
      <c r="D574" t="s">
        <v>3</v>
      </c>
      <c r="E574" s="1">
        <v>46031</v>
      </c>
      <c r="F574" t="s">
        <v>282</v>
      </c>
      <c r="G574" s="1">
        <v>46033</v>
      </c>
      <c r="H574" s="1" t="str">
        <f t="shared" si="16"/>
        <v>Sunday</v>
      </c>
      <c r="I574">
        <v>44</v>
      </c>
      <c r="J574" t="s">
        <v>20</v>
      </c>
      <c r="K574">
        <v>1</v>
      </c>
      <c r="L574">
        <v>0</v>
      </c>
      <c r="M574">
        <v>0</v>
      </c>
      <c r="N574">
        <v>1</v>
      </c>
      <c r="O574">
        <v>0</v>
      </c>
      <c r="P574" t="str">
        <f t="shared" si="17"/>
        <v>Non Chronic</v>
      </c>
      <c r="Q574">
        <v>1</v>
      </c>
      <c r="R574">
        <v>0</v>
      </c>
      <c r="S574" t="s">
        <v>0</v>
      </c>
    </row>
    <row r="575" spans="1:19" x14ac:dyDescent="0.3">
      <c r="A575">
        <v>500574</v>
      </c>
      <c r="B575">
        <v>93379</v>
      </c>
      <c r="C575" t="s">
        <v>4</v>
      </c>
      <c r="D575" t="s">
        <v>28</v>
      </c>
      <c r="E575" s="1">
        <v>46085</v>
      </c>
      <c r="F575" t="s">
        <v>230</v>
      </c>
      <c r="G575" s="1">
        <v>46088</v>
      </c>
      <c r="H575" s="1" t="str">
        <f t="shared" si="16"/>
        <v>Saturday</v>
      </c>
      <c r="I575">
        <v>33</v>
      </c>
      <c r="J575" t="s">
        <v>31</v>
      </c>
      <c r="K575">
        <v>1</v>
      </c>
      <c r="L575">
        <v>0</v>
      </c>
      <c r="M575">
        <v>0</v>
      </c>
      <c r="N575">
        <v>0</v>
      </c>
      <c r="O575">
        <v>0</v>
      </c>
      <c r="P575" t="str">
        <f t="shared" si="17"/>
        <v>Non Chronic</v>
      </c>
      <c r="Q575">
        <v>1</v>
      </c>
      <c r="R575">
        <v>1</v>
      </c>
      <c r="S575" t="s">
        <v>22</v>
      </c>
    </row>
    <row r="576" spans="1:19" x14ac:dyDescent="0.3">
      <c r="A576">
        <v>500575</v>
      </c>
      <c r="B576">
        <v>99327</v>
      </c>
      <c r="C576" t="s">
        <v>8</v>
      </c>
      <c r="D576" t="s">
        <v>25</v>
      </c>
      <c r="E576" s="1">
        <v>45985</v>
      </c>
      <c r="F576" t="s">
        <v>541</v>
      </c>
      <c r="G576" s="1">
        <v>46005</v>
      </c>
      <c r="H576" s="1" t="str">
        <f t="shared" si="16"/>
        <v>Sunday</v>
      </c>
      <c r="I576">
        <v>54</v>
      </c>
      <c r="J576" t="s">
        <v>1</v>
      </c>
      <c r="K576">
        <v>1</v>
      </c>
      <c r="L576">
        <v>0</v>
      </c>
      <c r="M576">
        <v>0</v>
      </c>
      <c r="N576">
        <v>0</v>
      </c>
      <c r="O576">
        <v>0</v>
      </c>
      <c r="P576" t="str">
        <f t="shared" si="17"/>
        <v>Non Chronic</v>
      </c>
      <c r="Q576">
        <v>0</v>
      </c>
      <c r="R576">
        <v>0</v>
      </c>
      <c r="S576" t="s">
        <v>0</v>
      </c>
    </row>
    <row r="577" spans="1:19" x14ac:dyDescent="0.3">
      <c r="A577">
        <v>500576</v>
      </c>
      <c r="B577">
        <v>90149</v>
      </c>
      <c r="C577" t="s">
        <v>8</v>
      </c>
      <c r="D577" t="s">
        <v>28</v>
      </c>
      <c r="E577" s="1">
        <v>45997</v>
      </c>
      <c r="F577" t="s">
        <v>492</v>
      </c>
      <c r="G577" s="1">
        <v>45997</v>
      </c>
      <c r="H577" s="1" t="str">
        <f t="shared" si="16"/>
        <v>Saturday</v>
      </c>
      <c r="I577">
        <v>0</v>
      </c>
      <c r="J577" t="s">
        <v>5</v>
      </c>
      <c r="K577">
        <v>0</v>
      </c>
      <c r="L577">
        <v>0</v>
      </c>
      <c r="M577">
        <v>0</v>
      </c>
      <c r="N577">
        <v>0</v>
      </c>
      <c r="O577">
        <v>0</v>
      </c>
      <c r="P577" t="str">
        <f t="shared" si="17"/>
        <v>Non Chronic</v>
      </c>
      <c r="Q577">
        <v>0</v>
      </c>
      <c r="R577">
        <v>0</v>
      </c>
      <c r="S577" t="s">
        <v>30</v>
      </c>
    </row>
    <row r="578" spans="1:19" x14ac:dyDescent="0.3">
      <c r="A578">
        <v>500577</v>
      </c>
      <c r="B578">
        <v>10110</v>
      </c>
      <c r="C578" t="s">
        <v>8</v>
      </c>
      <c r="D578" t="s">
        <v>58</v>
      </c>
      <c r="E578" s="1">
        <v>46083</v>
      </c>
      <c r="F578" t="s">
        <v>700</v>
      </c>
      <c r="G578" s="1">
        <v>46086</v>
      </c>
      <c r="H578" s="1" t="str">
        <f t="shared" si="16"/>
        <v>Thursday</v>
      </c>
      <c r="I578">
        <v>42</v>
      </c>
      <c r="J578" t="s">
        <v>5</v>
      </c>
      <c r="K578">
        <v>0</v>
      </c>
      <c r="L578">
        <v>0</v>
      </c>
      <c r="M578">
        <v>0</v>
      </c>
      <c r="N578">
        <v>0</v>
      </c>
      <c r="O578">
        <v>0</v>
      </c>
      <c r="P578" t="str">
        <f t="shared" si="17"/>
        <v>Non Chronic</v>
      </c>
      <c r="Q578">
        <v>1</v>
      </c>
      <c r="R578">
        <v>0</v>
      </c>
      <c r="S578" t="s">
        <v>0</v>
      </c>
    </row>
    <row r="579" spans="1:19" x14ac:dyDescent="0.3">
      <c r="A579">
        <v>500578</v>
      </c>
      <c r="B579">
        <v>60012</v>
      </c>
      <c r="C579" t="s">
        <v>8</v>
      </c>
      <c r="D579" t="s">
        <v>14</v>
      </c>
      <c r="E579" s="1">
        <v>46081</v>
      </c>
      <c r="F579" t="s">
        <v>661</v>
      </c>
      <c r="G579" s="1">
        <v>46084</v>
      </c>
      <c r="H579" s="1" t="str">
        <f t="shared" ref="H579:H642" si="18">TEXT(G579,"dddd")</f>
        <v>Tuesday</v>
      </c>
      <c r="I579">
        <v>53</v>
      </c>
      <c r="J579" t="s">
        <v>31</v>
      </c>
      <c r="K579">
        <v>1</v>
      </c>
      <c r="L579">
        <v>1</v>
      </c>
      <c r="M579">
        <v>0</v>
      </c>
      <c r="N579">
        <v>0</v>
      </c>
      <c r="O579">
        <v>0</v>
      </c>
      <c r="P579" t="str">
        <f t="shared" ref="P579:P642" si="19">IF(OR(L579=1,M579=1),"Chronic","Non Chronic")</f>
        <v>Chronic</v>
      </c>
      <c r="Q579">
        <v>1</v>
      </c>
      <c r="R579">
        <v>0</v>
      </c>
      <c r="S579" t="s">
        <v>0</v>
      </c>
    </row>
    <row r="580" spans="1:19" x14ac:dyDescent="0.3">
      <c r="A580">
        <v>500579</v>
      </c>
      <c r="B580">
        <v>97826</v>
      </c>
      <c r="C580" t="s">
        <v>4</v>
      </c>
      <c r="D580" t="s">
        <v>28</v>
      </c>
      <c r="E580" s="1">
        <v>46116</v>
      </c>
      <c r="F580" t="s">
        <v>699</v>
      </c>
      <c r="G580" s="1">
        <v>46116</v>
      </c>
      <c r="H580" s="1" t="str">
        <f t="shared" si="18"/>
        <v>Saturday</v>
      </c>
      <c r="I580">
        <v>8</v>
      </c>
      <c r="J580" t="s">
        <v>17</v>
      </c>
      <c r="K580">
        <v>0</v>
      </c>
      <c r="L580">
        <v>0</v>
      </c>
      <c r="M580">
        <v>0</v>
      </c>
      <c r="N580">
        <v>0</v>
      </c>
      <c r="O580">
        <v>0</v>
      </c>
      <c r="P580" t="str">
        <f t="shared" si="19"/>
        <v>Non Chronic</v>
      </c>
      <c r="Q580">
        <v>1</v>
      </c>
      <c r="R580">
        <v>0</v>
      </c>
      <c r="S580" t="s">
        <v>30</v>
      </c>
    </row>
    <row r="581" spans="1:19" x14ac:dyDescent="0.3">
      <c r="A581">
        <v>500580</v>
      </c>
      <c r="B581">
        <v>73792</v>
      </c>
      <c r="C581" t="s">
        <v>8</v>
      </c>
      <c r="D581" t="s">
        <v>28</v>
      </c>
      <c r="E581" s="1">
        <v>46046</v>
      </c>
      <c r="F581" t="s">
        <v>698</v>
      </c>
      <c r="G581" s="1">
        <v>46053</v>
      </c>
      <c r="H581" s="1" t="str">
        <f t="shared" si="18"/>
        <v>Saturday</v>
      </c>
      <c r="I581">
        <v>60</v>
      </c>
      <c r="J581" t="s">
        <v>15</v>
      </c>
      <c r="K581">
        <v>0</v>
      </c>
      <c r="L581">
        <v>0</v>
      </c>
      <c r="M581">
        <v>0</v>
      </c>
      <c r="N581">
        <v>0</v>
      </c>
      <c r="O581">
        <v>0</v>
      </c>
      <c r="P581" t="str">
        <f t="shared" si="19"/>
        <v>Non Chronic</v>
      </c>
      <c r="Q581">
        <v>1</v>
      </c>
      <c r="R581">
        <v>1</v>
      </c>
      <c r="S581" t="s">
        <v>0</v>
      </c>
    </row>
    <row r="582" spans="1:19" x14ac:dyDescent="0.3">
      <c r="A582">
        <v>500581</v>
      </c>
      <c r="B582">
        <v>76770</v>
      </c>
      <c r="C582" t="s">
        <v>8</v>
      </c>
      <c r="D582" t="s">
        <v>7</v>
      </c>
      <c r="E582" s="1">
        <v>46121</v>
      </c>
      <c r="F582" t="s">
        <v>501</v>
      </c>
      <c r="G582" s="1">
        <v>46121</v>
      </c>
      <c r="H582" s="1" t="str">
        <f t="shared" si="18"/>
        <v>Thursday</v>
      </c>
      <c r="I582">
        <v>44</v>
      </c>
      <c r="J582" t="s">
        <v>23</v>
      </c>
      <c r="K582">
        <v>1</v>
      </c>
      <c r="L582">
        <v>0</v>
      </c>
      <c r="M582">
        <v>0</v>
      </c>
      <c r="N582">
        <v>0</v>
      </c>
      <c r="O582">
        <v>0</v>
      </c>
      <c r="P582" t="str">
        <f t="shared" si="19"/>
        <v>Non Chronic</v>
      </c>
      <c r="Q582">
        <v>1</v>
      </c>
      <c r="R582">
        <v>0</v>
      </c>
      <c r="S582" t="s">
        <v>0</v>
      </c>
    </row>
    <row r="583" spans="1:19" x14ac:dyDescent="0.3">
      <c r="A583">
        <v>500582</v>
      </c>
      <c r="B583">
        <v>75762</v>
      </c>
      <c r="C583" t="s">
        <v>8</v>
      </c>
      <c r="D583" t="s">
        <v>3</v>
      </c>
      <c r="E583" s="1">
        <v>46098</v>
      </c>
      <c r="F583" t="s">
        <v>457</v>
      </c>
      <c r="G583" s="1">
        <v>46098</v>
      </c>
      <c r="H583" s="1" t="str">
        <f t="shared" si="18"/>
        <v>Tuesday</v>
      </c>
      <c r="I583">
        <v>29</v>
      </c>
      <c r="J583" t="s">
        <v>12</v>
      </c>
      <c r="K583">
        <v>1</v>
      </c>
      <c r="L583">
        <v>0</v>
      </c>
      <c r="M583">
        <v>0</v>
      </c>
      <c r="N583">
        <v>1</v>
      </c>
      <c r="O583">
        <v>0</v>
      </c>
      <c r="P583" t="str">
        <f t="shared" si="19"/>
        <v>Non Chronic</v>
      </c>
      <c r="Q583">
        <v>1</v>
      </c>
      <c r="R583">
        <v>0</v>
      </c>
      <c r="S583" t="s">
        <v>22</v>
      </c>
    </row>
    <row r="584" spans="1:19" x14ac:dyDescent="0.3">
      <c r="A584">
        <v>500583</v>
      </c>
      <c r="B584">
        <v>86056</v>
      </c>
      <c r="C584" t="s">
        <v>8</v>
      </c>
      <c r="D584" t="s">
        <v>58</v>
      </c>
      <c r="E584" s="1">
        <v>46096</v>
      </c>
      <c r="F584" t="s">
        <v>697</v>
      </c>
      <c r="G584" s="1">
        <v>46097</v>
      </c>
      <c r="H584" s="1" t="str">
        <f t="shared" si="18"/>
        <v>Monday</v>
      </c>
      <c r="I584">
        <v>50</v>
      </c>
      <c r="J584" t="s">
        <v>31</v>
      </c>
      <c r="K584">
        <v>1</v>
      </c>
      <c r="L584">
        <v>0</v>
      </c>
      <c r="M584">
        <v>1</v>
      </c>
      <c r="N584">
        <v>0</v>
      </c>
      <c r="O584">
        <v>0</v>
      </c>
      <c r="P584" t="str">
        <f t="shared" si="19"/>
        <v>Chronic</v>
      </c>
      <c r="Q584">
        <v>1</v>
      </c>
      <c r="R584">
        <v>0</v>
      </c>
      <c r="S584" t="s">
        <v>0</v>
      </c>
    </row>
    <row r="585" spans="1:19" x14ac:dyDescent="0.3">
      <c r="A585">
        <v>500584</v>
      </c>
      <c r="B585">
        <v>97650</v>
      </c>
      <c r="C585" t="s">
        <v>4</v>
      </c>
      <c r="D585" t="s">
        <v>25</v>
      </c>
      <c r="E585" s="1">
        <v>46052</v>
      </c>
      <c r="F585" t="s">
        <v>696</v>
      </c>
      <c r="G585" s="1">
        <v>46072</v>
      </c>
      <c r="H585" s="1" t="str">
        <f t="shared" si="18"/>
        <v>Thursday</v>
      </c>
      <c r="I585">
        <v>83</v>
      </c>
      <c r="J585" t="s">
        <v>1</v>
      </c>
      <c r="K585">
        <v>0</v>
      </c>
      <c r="L585">
        <v>0</v>
      </c>
      <c r="M585">
        <v>0</v>
      </c>
      <c r="N585">
        <v>1</v>
      </c>
      <c r="O585">
        <v>0</v>
      </c>
      <c r="P585" t="str">
        <f t="shared" si="19"/>
        <v>Non Chronic</v>
      </c>
      <c r="Q585">
        <v>1</v>
      </c>
      <c r="R585">
        <v>1</v>
      </c>
      <c r="S585" t="s">
        <v>9</v>
      </c>
    </row>
    <row r="586" spans="1:19" x14ac:dyDescent="0.3">
      <c r="A586">
        <v>500585</v>
      </c>
      <c r="B586">
        <v>56257</v>
      </c>
      <c r="C586" t="s">
        <v>8</v>
      </c>
      <c r="D586" t="s">
        <v>25</v>
      </c>
      <c r="E586" s="1">
        <v>46049</v>
      </c>
      <c r="F586" t="s">
        <v>695</v>
      </c>
      <c r="G586" s="1">
        <v>46051</v>
      </c>
      <c r="H586" s="1" t="str">
        <f t="shared" si="18"/>
        <v>Thursday</v>
      </c>
      <c r="I586">
        <v>41</v>
      </c>
      <c r="J586" t="s">
        <v>31</v>
      </c>
      <c r="K586">
        <v>0</v>
      </c>
      <c r="L586">
        <v>0</v>
      </c>
      <c r="M586">
        <v>0</v>
      </c>
      <c r="N586">
        <v>0</v>
      </c>
      <c r="O586">
        <v>0</v>
      </c>
      <c r="P586" t="str">
        <f t="shared" si="19"/>
        <v>Non Chronic</v>
      </c>
      <c r="Q586">
        <v>0</v>
      </c>
      <c r="R586">
        <v>0</v>
      </c>
      <c r="S586" t="s">
        <v>0</v>
      </c>
    </row>
    <row r="587" spans="1:19" x14ac:dyDescent="0.3">
      <c r="A587">
        <v>500586</v>
      </c>
      <c r="B587">
        <v>92483</v>
      </c>
      <c r="C587" t="s">
        <v>8</v>
      </c>
      <c r="D587" t="s">
        <v>28</v>
      </c>
      <c r="E587" s="1">
        <v>46154</v>
      </c>
      <c r="F587" t="s">
        <v>231</v>
      </c>
      <c r="G587" s="1">
        <v>46164</v>
      </c>
      <c r="H587" s="1" t="str">
        <f t="shared" si="18"/>
        <v>Friday</v>
      </c>
      <c r="I587">
        <v>42</v>
      </c>
      <c r="J587" t="s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 t="str">
        <f t="shared" si="19"/>
        <v>Non Chronic</v>
      </c>
      <c r="Q587">
        <v>1</v>
      </c>
      <c r="R587">
        <v>0</v>
      </c>
      <c r="S587" t="s">
        <v>0</v>
      </c>
    </row>
    <row r="588" spans="1:19" x14ac:dyDescent="0.3">
      <c r="A588">
        <v>500587</v>
      </c>
      <c r="B588">
        <v>26622</v>
      </c>
      <c r="C588" t="s">
        <v>4</v>
      </c>
      <c r="D588" t="s">
        <v>25</v>
      </c>
      <c r="E588" s="1">
        <v>46069</v>
      </c>
      <c r="F588" t="s">
        <v>308</v>
      </c>
      <c r="G588" s="1">
        <v>46071</v>
      </c>
      <c r="H588" s="1" t="str">
        <f t="shared" si="18"/>
        <v>Wednesday</v>
      </c>
      <c r="I588">
        <v>28</v>
      </c>
      <c r="J588" t="s">
        <v>5</v>
      </c>
      <c r="K588">
        <v>0</v>
      </c>
      <c r="L588">
        <v>0</v>
      </c>
      <c r="M588">
        <v>0</v>
      </c>
      <c r="N588">
        <v>0</v>
      </c>
      <c r="O588">
        <v>0</v>
      </c>
      <c r="P588" t="str">
        <f t="shared" si="19"/>
        <v>Non Chronic</v>
      </c>
      <c r="Q588">
        <v>1</v>
      </c>
      <c r="R588">
        <v>0</v>
      </c>
      <c r="S588" t="s">
        <v>22</v>
      </c>
    </row>
    <row r="589" spans="1:19" x14ac:dyDescent="0.3">
      <c r="A589">
        <v>500588</v>
      </c>
      <c r="B589">
        <v>89144</v>
      </c>
      <c r="C589" t="s">
        <v>4</v>
      </c>
      <c r="D589" t="s">
        <v>28</v>
      </c>
      <c r="E589" s="1">
        <v>46087</v>
      </c>
      <c r="F589" t="s">
        <v>694</v>
      </c>
      <c r="G589" s="1">
        <v>46089</v>
      </c>
      <c r="H589" s="1" t="str">
        <f t="shared" si="18"/>
        <v>Sunday</v>
      </c>
      <c r="I589">
        <v>21</v>
      </c>
      <c r="J589" t="s">
        <v>10</v>
      </c>
      <c r="K589">
        <v>1</v>
      </c>
      <c r="L589">
        <v>0</v>
      </c>
      <c r="M589">
        <v>0</v>
      </c>
      <c r="N589">
        <v>0</v>
      </c>
      <c r="O589">
        <v>0</v>
      </c>
      <c r="P589" t="str">
        <f t="shared" si="19"/>
        <v>Non Chronic</v>
      </c>
      <c r="Q589">
        <v>1</v>
      </c>
      <c r="R589">
        <v>0</v>
      </c>
      <c r="S589" t="s">
        <v>22</v>
      </c>
    </row>
    <row r="590" spans="1:19" x14ac:dyDescent="0.3">
      <c r="A590">
        <v>500589</v>
      </c>
      <c r="B590">
        <v>79125</v>
      </c>
      <c r="C590" t="s">
        <v>4</v>
      </c>
      <c r="D590" t="s">
        <v>19</v>
      </c>
      <c r="E590" s="1">
        <v>45996</v>
      </c>
      <c r="F590" t="s">
        <v>137</v>
      </c>
      <c r="G590" s="1">
        <v>46006</v>
      </c>
      <c r="H590" s="1" t="str">
        <f t="shared" si="18"/>
        <v>Monday</v>
      </c>
      <c r="I590">
        <v>54</v>
      </c>
      <c r="J590" t="s">
        <v>15</v>
      </c>
      <c r="K590">
        <v>0</v>
      </c>
      <c r="L590">
        <v>0</v>
      </c>
      <c r="M590">
        <v>0</v>
      </c>
      <c r="N590">
        <v>0</v>
      </c>
      <c r="O590">
        <v>0</v>
      </c>
      <c r="P590" t="str">
        <f t="shared" si="19"/>
        <v>Non Chronic</v>
      </c>
      <c r="Q590">
        <v>1</v>
      </c>
      <c r="R590">
        <v>0</v>
      </c>
      <c r="S590" t="s">
        <v>0</v>
      </c>
    </row>
    <row r="591" spans="1:19" x14ac:dyDescent="0.3">
      <c r="A591">
        <v>500590</v>
      </c>
      <c r="B591">
        <v>96594</v>
      </c>
      <c r="C591" t="s">
        <v>8</v>
      </c>
      <c r="D591" t="s">
        <v>28</v>
      </c>
      <c r="E591" s="1">
        <v>46052</v>
      </c>
      <c r="F591" t="s">
        <v>111</v>
      </c>
      <c r="G591" s="1">
        <v>46052</v>
      </c>
      <c r="H591" s="1" t="str">
        <f t="shared" si="18"/>
        <v>Friday</v>
      </c>
      <c r="I591">
        <v>20</v>
      </c>
      <c r="J591" t="s">
        <v>45</v>
      </c>
      <c r="K591">
        <v>1</v>
      </c>
      <c r="L591">
        <v>0</v>
      </c>
      <c r="M591">
        <v>0</v>
      </c>
      <c r="N591">
        <v>0</v>
      </c>
      <c r="O591">
        <v>0</v>
      </c>
      <c r="P591" t="str">
        <f t="shared" si="19"/>
        <v>Non Chronic</v>
      </c>
      <c r="Q591">
        <v>1</v>
      </c>
      <c r="R591">
        <v>0</v>
      </c>
      <c r="S591" t="s">
        <v>22</v>
      </c>
    </row>
    <row r="592" spans="1:19" x14ac:dyDescent="0.3">
      <c r="A592">
        <v>500591</v>
      </c>
      <c r="B592">
        <v>16884</v>
      </c>
      <c r="C592" t="s">
        <v>4</v>
      </c>
      <c r="D592" t="s">
        <v>7</v>
      </c>
      <c r="E592" s="1">
        <v>46001</v>
      </c>
      <c r="F592" t="s">
        <v>49</v>
      </c>
      <c r="G592" s="1">
        <v>46011</v>
      </c>
      <c r="H592" s="1" t="str">
        <f t="shared" si="18"/>
        <v>Saturday</v>
      </c>
      <c r="I592">
        <v>39</v>
      </c>
      <c r="J592" t="s">
        <v>23</v>
      </c>
      <c r="K592">
        <v>1</v>
      </c>
      <c r="L592">
        <v>0</v>
      </c>
      <c r="M592">
        <v>0</v>
      </c>
      <c r="N592">
        <v>0</v>
      </c>
      <c r="O592">
        <v>0</v>
      </c>
      <c r="P592" t="str">
        <f t="shared" si="19"/>
        <v>Non Chronic</v>
      </c>
      <c r="Q592">
        <v>0</v>
      </c>
      <c r="R592">
        <v>0</v>
      </c>
      <c r="S592" t="s">
        <v>22</v>
      </c>
    </row>
    <row r="593" spans="1:19" x14ac:dyDescent="0.3">
      <c r="A593">
        <v>500592</v>
      </c>
      <c r="B593">
        <v>59781</v>
      </c>
      <c r="C593" t="s">
        <v>8</v>
      </c>
      <c r="D593" t="s">
        <v>7</v>
      </c>
      <c r="E593" s="1">
        <v>46123</v>
      </c>
      <c r="F593" t="s">
        <v>693</v>
      </c>
      <c r="G593" s="1">
        <v>46126</v>
      </c>
      <c r="H593" s="1" t="str">
        <f t="shared" si="18"/>
        <v>Tuesday</v>
      </c>
      <c r="I593">
        <v>28</v>
      </c>
      <c r="J593" t="s">
        <v>5</v>
      </c>
      <c r="K593">
        <v>0</v>
      </c>
      <c r="L593">
        <v>0</v>
      </c>
      <c r="M593">
        <v>0</v>
      </c>
      <c r="N593">
        <v>0</v>
      </c>
      <c r="O593">
        <v>0</v>
      </c>
      <c r="P593" t="str">
        <f t="shared" si="19"/>
        <v>Non Chronic</v>
      </c>
      <c r="Q593">
        <v>1</v>
      </c>
      <c r="R593">
        <v>0</v>
      </c>
      <c r="S593" t="s">
        <v>22</v>
      </c>
    </row>
    <row r="594" spans="1:19" x14ac:dyDescent="0.3">
      <c r="A594">
        <v>500593</v>
      </c>
      <c r="B594">
        <v>60070</v>
      </c>
      <c r="C594" t="s">
        <v>8</v>
      </c>
      <c r="D594" t="s">
        <v>36</v>
      </c>
      <c r="E594" s="1">
        <v>46010</v>
      </c>
      <c r="F594" t="s">
        <v>692</v>
      </c>
      <c r="G594" s="1">
        <v>46025</v>
      </c>
      <c r="H594" s="1" t="str">
        <f t="shared" si="18"/>
        <v>Saturday</v>
      </c>
      <c r="I594">
        <v>47</v>
      </c>
      <c r="J594" t="s">
        <v>15</v>
      </c>
      <c r="K594">
        <v>1</v>
      </c>
      <c r="L594">
        <v>0</v>
      </c>
      <c r="M594">
        <v>0</v>
      </c>
      <c r="N594">
        <v>0</v>
      </c>
      <c r="O594">
        <v>0</v>
      </c>
      <c r="P594" t="str">
        <f t="shared" si="19"/>
        <v>Non Chronic</v>
      </c>
      <c r="Q594">
        <v>1</v>
      </c>
      <c r="R594">
        <v>1</v>
      </c>
      <c r="S594" t="s">
        <v>0</v>
      </c>
    </row>
    <row r="595" spans="1:19" x14ac:dyDescent="0.3">
      <c r="A595">
        <v>500594</v>
      </c>
      <c r="B595">
        <v>22881</v>
      </c>
      <c r="C595" t="s">
        <v>8</v>
      </c>
      <c r="D595" t="s">
        <v>3</v>
      </c>
      <c r="E595" s="1">
        <v>46102</v>
      </c>
      <c r="F595" t="s">
        <v>191</v>
      </c>
      <c r="G595" s="1">
        <v>46104</v>
      </c>
      <c r="H595" s="1" t="str">
        <f t="shared" si="18"/>
        <v>Monday</v>
      </c>
      <c r="I595">
        <v>44</v>
      </c>
      <c r="J595" t="s">
        <v>10</v>
      </c>
      <c r="K595">
        <v>0</v>
      </c>
      <c r="L595">
        <v>0</v>
      </c>
      <c r="M595">
        <v>0</v>
      </c>
      <c r="N595">
        <v>0</v>
      </c>
      <c r="O595">
        <v>0</v>
      </c>
      <c r="P595" t="str">
        <f t="shared" si="19"/>
        <v>Non Chronic</v>
      </c>
      <c r="Q595">
        <v>1</v>
      </c>
      <c r="R595">
        <v>0</v>
      </c>
      <c r="S595" t="s">
        <v>0</v>
      </c>
    </row>
    <row r="596" spans="1:19" x14ac:dyDescent="0.3">
      <c r="A596">
        <v>500595</v>
      </c>
      <c r="B596">
        <v>33582</v>
      </c>
      <c r="C596" t="s">
        <v>8</v>
      </c>
      <c r="D596" t="s">
        <v>36</v>
      </c>
      <c r="E596" s="1">
        <v>46085</v>
      </c>
      <c r="F596" t="s">
        <v>691</v>
      </c>
      <c r="G596" s="1">
        <v>46087</v>
      </c>
      <c r="H596" s="1" t="str">
        <f t="shared" si="18"/>
        <v>Friday</v>
      </c>
      <c r="I596">
        <v>58</v>
      </c>
      <c r="J596" t="s">
        <v>17</v>
      </c>
      <c r="K596">
        <v>0</v>
      </c>
      <c r="L596">
        <v>1</v>
      </c>
      <c r="M596">
        <v>1</v>
      </c>
      <c r="N596">
        <v>0</v>
      </c>
      <c r="O596">
        <v>0</v>
      </c>
      <c r="P596" t="str">
        <f t="shared" si="19"/>
        <v>Chronic</v>
      </c>
      <c r="Q596">
        <v>1</v>
      </c>
      <c r="R596">
        <v>0</v>
      </c>
      <c r="S596" t="s">
        <v>0</v>
      </c>
    </row>
    <row r="597" spans="1:19" x14ac:dyDescent="0.3">
      <c r="A597">
        <v>500596</v>
      </c>
      <c r="B597">
        <v>13106</v>
      </c>
      <c r="C597" t="s">
        <v>4</v>
      </c>
      <c r="D597" t="s">
        <v>36</v>
      </c>
      <c r="E597" s="1">
        <v>46131</v>
      </c>
      <c r="F597" t="s">
        <v>365</v>
      </c>
      <c r="G597" s="1">
        <v>46138</v>
      </c>
      <c r="H597" s="1" t="str">
        <f t="shared" si="18"/>
        <v>Sunday</v>
      </c>
      <c r="I597">
        <v>27</v>
      </c>
      <c r="J597" t="s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 t="str">
        <f t="shared" si="19"/>
        <v>Non Chronic</v>
      </c>
      <c r="Q597">
        <v>1</v>
      </c>
      <c r="R597">
        <v>1</v>
      </c>
      <c r="S597" t="s">
        <v>22</v>
      </c>
    </row>
    <row r="598" spans="1:19" x14ac:dyDescent="0.3">
      <c r="A598">
        <v>500597</v>
      </c>
      <c r="B598">
        <v>89257</v>
      </c>
      <c r="C598" t="s">
        <v>4</v>
      </c>
      <c r="D598" t="s">
        <v>3</v>
      </c>
      <c r="E598" s="1">
        <v>46084</v>
      </c>
      <c r="F598" t="s">
        <v>690</v>
      </c>
      <c r="G598" s="1">
        <v>46094</v>
      </c>
      <c r="H598" s="1" t="str">
        <f t="shared" si="18"/>
        <v>Friday</v>
      </c>
      <c r="I598">
        <v>32</v>
      </c>
      <c r="J598" t="s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 t="str">
        <f t="shared" si="19"/>
        <v>Non Chronic</v>
      </c>
      <c r="Q598">
        <v>1</v>
      </c>
      <c r="R598">
        <v>0</v>
      </c>
      <c r="S598" t="s">
        <v>22</v>
      </c>
    </row>
    <row r="599" spans="1:19" x14ac:dyDescent="0.3">
      <c r="A599">
        <v>500598</v>
      </c>
      <c r="B599">
        <v>19924</v>
      </c>
      <c r="C599" t="s">
        <v>8</v>
      </c>
      <c r="D599" t="s">
        <v>25</v>
      </c>
      <c r="E599" s="1">
        <v>46091</v>
      </c>
      <c r="F599" t="s">
        <v>689</v>
      </c>
      <c r="G599" s="1">
        <v>46101</v>
      </c>
      <c r="H599" s="1" t="str">
        <f t="shared" si="18"/>
        <v>Friday</v>
      </c>
      <c r="I599">
        <v>18</v>
      </c>
      <c r="J599" t="s">
        <v>23</v>
      </c>
      <c r="K599">
        <v>0</v>
      </c>
      <c r="L599">
        <v>0</v>
      </c>
      <c r="M599">
        <v>0</v>
      </c>
      <c r="N599">
        <v>0</v>
      </c>
      <c r="O599">
        <v>0</v>
      </c>
      <c r="P599" t="str">
        <f t="shared" si="19"/>
        <v>Non Chronic</v>
      </c>
      <c r="Q599">
        <v>1</v>
      </c>
      <c r="R599">
        <v>0</v>
      </c>
      <c r="S599" t="s">
        <v>30</v>
      </c>
    </row>
    <row r="600" spans="1:19" x14ac:dyDescent="0.3">
      <c r="A600">
        <v>500599</v>
      </c>
      <c r="B600">
        <v>43729</v>
      </c>
      <c r="C600" t="s">
        <v>4</v>
      </c>
      <c r="D600" t="s">
        <v>58</v>
      </c>
      <c r="E600" s="1">
        <v>46041</v>
      </c>
      <c r="F600" t="s">
        <v>565</v>
      </c>
      <c r="G600" s="1">
        <v>46044</v>
      </c>
      <c r="H600" s="1" t="str">
        <f t="shared" si="18"/>
        <v>Thursday</v>
      </c>
      <c r="I600">
        <v>29</v>
      </c>
      <c r="J600" t="s">
        <v>5</v>
      </c>
      <c r="K600">
        <v>0</v>
      </c>
      <c r="L600">
        <v>0</v>
      </c>
      <c r="M600">
        <v>0</v>
      </c>
      <c r="N600">
        <v>0</v>
      </c>
      <c r="O600">
        <v>0</v>
      </c>
      <c r="P600" t="str">
        <f t="shared" si="19"/>
        <v>Non Chronic</v>
      </c>
      <c r="Q600">
        <v>1</v>
      </c>
      <c r="R600">
        <v>0</v>
      </c>
      <c r="S600" t="s">
        <v>22</v>
      </c>
    </row>
    <row r="601" spans="1:19" x14ac:dyDescent="0.3">
      <c r="A601">
        <v>500600</v>
      </c>
      <c r="B601">
        <v>44690</v>
      </c>
      <c r="C601" t="s">
        <v>4</v>
      </c>
      <c r="D601" t="s">
        <v>7</v>
      </c>
      <c r="E601" s="1">
        <v>46110</v>
      </c>
      <c r="F601" t="s">
        <v>688</v>
      </c>
      <c r="G601" s="1">
        <v>46113</v>
      </c>
      <c r="H601" s="1" t="str">
        <f t="shared" si="18"/>
        <v>Wednesday</v>
      </c>
      <c r="I601">
        <v>45</v>
      </c>
      <c r="J601" t="s">
        <v>15</v>
      </c>
      <c r="K601">
        <v>1</v>
      </c>
      <c r="L601">
        <v>0</v>
      </c>
      <c r="M601">
        <v>0</v>
      </c>
      <c r="N601">
        <v>0</v>
      </c>
      <c r="O601">
        <v>0</v>
      </c>
      <c r="P601" t="str">
        <f t="shared" si="19"/>
        <v>Non Chronic</v>
      </c>
      <c r="Q601">
        <v>1</v>
      </c>
      <c r="R601">
        <v>1</v>
      </c>
      <c r="S601" t="s">
        <v>0</v>
      </c>
    </row>
    <row r="602" spans="1:19" x14ac:dyDescent="0.3">
      <c r="A602">
        <v>500601</v>
      </c>
      <c r="B602">
        <v>80861</v>
      </c>
      <c r="C602" t="s">
        <v>8</v>
      </c>
      <c r="D602" t="s">
        <v>14</v>
      </c>
      <c r="E602" s="1">
        <v>46025</v>
      </c>
      <c r="F602" t="s">
        <v>687</v>
      </c>
      <c r="G602" s="1">
        <v>46025</v>
      </c>
      <c r="H602" s="1" t="str">
        <f t="shared" si="18"/>
        <v>Saturday</v>
      </c>
      <c r="I602">
        <v>53</v>
      </c>
      <c r="J602" t="s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 t="str">
        <f t="shared" si="19"/>
        <v>Non Chronic</v>
      </c>
      <c r="Q602">
        <v>1</v>
      </c>
      <c r="R602">
        <v>0</v>
      </c>
      <c r="S602" t="s">
        <v>0</v>
      </c>
    </row>
    <row r="603" spans="1:19" x14ac:dyDescent="0.3">
      <c r="A603">
        <v>500602</v>
      </c>
      <c r="B603">
        <v>68442</v>
      </c>
      <c r="C603" t="s">
        <v>4</v>
      </c>
      <c r="D603" t="s">
        <v>7</v>
      </c>
      <c r="E603" s="1">
        <v>46123</v>
      </c>
      <c r="F603" t="s">
        <v>686</v>
      </c>
      <c r="G603" s="1">
        <v>46143</v>
      </c>
      <c r="H603" s="1" t="str">
        <f t="shared" si="18"/>
        <v>Friday</v>
      </c>
      <c r="I603">
        <v>19</v>
      </c>
      <c r="J603" t="s">
        <v>31</v>
      </c>
      <c r="K603">
        <v>0</v>
      </c>
      <c r="L603">
        <v>0</v>
      </c>
      <c r="M603">
        <v>0</v>
      </c>
      <c r="N603">
        <v>0</v>
      </c>
      <c r="O603">
        <v>0</v>
      </c>
      <c r="P603" t="str">
        <f t="shared" si="19"/>
        <v>Non Chronic</v>
      </c>
      <c r="Q603">
        <v>1</v>
      </c>
      <c r="R603">
        <v>1</v>
      </c>
      <c r="S603" t="s">
        <v>22</v>
      </c>
    </row>
    <row r="604" spans="1:19" x14ac:dyDescent="0.3">
      <c r="A604">
        <v>500603</v>
      </c>
      <c r="B604">
        <v>53231</v>
      </c>
      <c r="C604" t="s">
        <v>8</v>
      </c>
      <c r="D604" t="s">
        <v>36</v>
      </c>
      <c r="E604" s="1">
        <v>46037</v>
      </c>
      <c r="F604" t="s">
        <v>271</v>
      </c>
      <c r="G604" s="1">
        <v>46052</v>
      </c>
      <c r="H604" s="1" t="str">
        <f t="shared" si="18"/>
        <v>Friday</v>
      </c>
      <c r="I604">
        <v>55</v>
      </c>
      <c r="J604" t="s">
        <v>12</v>
      </c>
      <c r="K604">
        <v>1</v>
      </c>
      <c r="L604">
        <v>0</v>
      </c>
      <c r="M604">
        <v>0</v>
      </c>
      <c r="N604">
        <v>0</v>
      </c>
      <c r="O604">
        <v>0</v>
      </c>
      <c r="P604" t="str">
        <f t="shared" si="19"/>
        <v>Non Chronic</v>
      </c>
      <c r="Q604">
        <v>1</v>
      </c>
      <c r="R604">
        <v>1</v>
      </c>
      <c r="S604" t="s">
        <v>0</v>
      </c>
    </row>
    <row r="605" spans="1:19" x14ac:dyDescent="0.3">
      <c r="A605">
        <v>500604</v>
      </c>
      <c r="B605">
        <v>60387</v>
      </c>
      <c r="C605" t="s">
        <v>8</v>
      </c>
      <c r="D605" t="s">
        <v>58</v>
      </c>
      <c r="E605" s="1">
        <v>46083</v>
      </c>
      <c r="F605" t="s">
        <v>685</v>
      </c>
      <c r="G605" s="1">
        <v>46090</v>
      </c>
      <c r="H605" s="1" t="str">
        <f t="shared" si="18"/>
        <v>Monday</v>
      </c>
      <c r="I605">
        <v>65</v>
      </c>
      <c r="J605" t="s">
        <v>1</v>
      </c>
      <c r="K605">
        <v>1</v>
      </c>
      <c r="L605">
        <v>1</v>
      </c>
      <c r="M605">
        <v>0</v>
      </c>
      <c r="N605">
        <v>1</v>
      </c>
      <c r="O605">
        <v>0</v>
      </c>
      <c r="P605" t="str">
        <f t="shared" si="19"/>
        <v>Chronic</v>
      </c>
      <c r="Q605">
        <v>1</v>
      </c>
      <c r="R605">
        <v>0</v>
      </c>
      <c r="S605" t="s">
        <v>9</v>
      </c>
    </row>
    <row r="606" spans="1:19" x14ac:dyDescent="0.3">
      <c r="A606">
        <v>500605</v>
      </c>
      <c r="B606">
        <v>54572</v>
      </c>
      <c r="C606" t="s">
        <v>4</v>
      </c>
      <c r="D606" t="s">
        <v>7</v>
      </c>
      <c r="E606" s="1">
        <v>46117</v>
      </c>
      <c r="F606" t="s">
        <v>33</v>
      </c>
      <c r="G606" s="1">
        <v>46119</v>
      </c>
      <c r="H606" s="1" t="str">
        <f t="shared" si="18"/>
        <v>Tuesday</v>
      </c>
      <c r="I606">
        <v>46</v>
      </c>
      <c r="J606" t="s">
        <v>5</v>
      </c>
      <c r="K606">
        <v>0</v>
      </c>
      <c r="L606">
        <v>1</v>
      </c>
      <c r="M606">
        <v>1</v>
      </c>
      <c r="N606">
        <v>0</v>
      </c>
      <c r="O606">
        <v>0</v>
      </c>
      <c r="P606" t="str">
        <f t="shared" si="19"/>
        <v>Chronic</v>
      </c>
      <c r="Q606">
        <v>1</v>
      </c>
      <c r="R606">
        <v>0</v>
      </c>
      <c r="S606" t="s">
        <v>0</v>
      </c>
    </row>
    <row r="607" spans="1:19" x14ac:dyDescent="0.3">
      <c r="A607">
        <v>500606</v>
      </c>
      <c r="B607">
        <v>92656</v>
      </c>
      <c r="C607" t="s">
        <v>8</v>
      </c>
      <c r="D607" t="s">
        <v>7</v>
      </c>
      <c r="E607" s="1">
        <v>46068</v>
      </c>
      <c r="F607" t="s">
        <v>241</v>
      </c>
      <c r="G607" s="1">
        <v>46075</v>
      </c>
      <c r="H607" s="1" t="str">
        <f t="shared" si="18"/>
        <v>Sunday</v>
      </c>
      <c r="I607">
        <v>75</v>
      </c>
      <c r="J607" t="s">
        <v>15</v>
      </c>
      <c r="K607">
        <v>1</v>
      </c>
      <c r="L607">
        <v>0</v>
      </c>
      <c r="M607">
        <v>1</v>
      </c>
      <c r="N607">
        <v>0</v>
      </c>
      <c r="O607">
        <v>0</v>
      </c>
      <c r="P607" t="str">
        <f t="shared" si="19"/>
        <v>Chronic</v>
      </c>
      <c r="Q607">
        <v>1</v>
      </c>
      <c r="R607">
        <v>1</v>
      </c>
      <c r="S607" t="s">
        <v>9</v>
      </c>
    </row>
    <row r="608" spans="1:19" x14ac:dyDescent="0.3">
      <c r="A608">
        <v>500607</v>
      </c>
      <c r="B608">
        <v>80851</v>
      </c>
      <c r="C608" t="s">
        <v>8</v>
      </c>
      <c r="D608" t="s">
        <v>7</v>
      </c>
      <c r="E608" s="1">
        <v>46131</v>
      </c>
      <c r="F608" t="s">
        <v>611</v>
      </c>
      <c r="G608" s="1">
        <v>46131</v>
      </c>
      <c r="H608" s="1" t="str">
        <f t="shared" si="18"/>
        <v>Sunday</v>
      </c>
      <c r="I608">
        <v>22</v>
      </c>
      <c r="J608" t="s">
        <v>12</v>
      </c>
      <c r="K608">
        <v>1</v>
      </c>
      <c r="L608">
        <v>0</v>
      </c>
      <c r="M608">
        <v>0</v>
      </c>
      <c r="N608">
        <v>0</v>
      </c>
      <c r="O608">
        <v>0</v>
      </c>
      <c r="P608" t="str">
        <f t="shared" si="19"/>
        <v>Non Chronic</v>
      </c>
      <c r="Q608">
        <v>1</v>
      </c>
      <c r="R608">
        <v>0</v>
      </c>
      <c r="S608" t="s">
        <v>22</v>
      </c>
    </row>
    <row r="609" spans="1:19" x14ac:dyDescent="0.3">
      <c r="A609">
        <v>500608</v>
      </c>
      <c r="B609">
        <v>15611</v>
      </c>
      <c r="C609" t="s">
        <v>8</v>
      </c>
      <c r="D609" t="s">
        <v>58</v>
      </c>
      <c r="E609" s="1">
        <v>46050</v>
      </c>
      <c r="F609" t="s">
        <v>137</v>
      </c>
      <c r="G609" s="1">
        <v>46065</v>
      </c>
      <c r="H609" s="1" t="str">
        <f t="shared" si="18"/>
        <v>Thursday</v>
      </c>
      <c r="I609">
        <v>13</v>
      </c>
      <c r="J609" t="s">
        <v>45</v>
      </c>
      <c r="K609">
        <v>0</v>
      </c>
      <c r="L609">
        <v>0</v>
      </c>
      <c r="M609">
        <v>0</v>
      </c>
      <c r="N609">
        <v>0</v>
      </c>
      <c r="O609">
        <v>0</v>
      </c>
      <c r="P609" t="str">
        <f t="shared" si="19"/>
        <v>Non Chronic</v>
      </c>
      <c r="Q609">
        <v>1</v>
      </c>
      <c r="R609">
        <v>0</v>
      </c>
      <c r="S609" t="s">
        <v>30</v>
      </c>
    </row>
    <row r="610" spans="1:19" x14ac:dyDescent="0.3">
      <c r="A610">
        <v>500609</v>
      </c>
      <c r="B610">
        <v>98877</v>
      </c>
      <c r="C610" t="s">
        <v>4</v>
      </c>
      <c r="D610" t="s">
        <v>14</v>
      </c>
      <c r="E610" s="1">
        <v>46133</v>
      </c>
      <c r="F610" t="s">
        <v>684</v>
      </c>
      <c r="G610" s="1">
        <v>46133</v>
      </c>
      <c r="H610" s="1" t="str">
        <f t="shared" si="18"/>
        <v>Tuesday</v>
      </c>
      <c r="I610">
        <v>2</v>
      </c>
      <c r="J610" t="s">
        <v>15</v>
      </c>
      <c r="K610">
        <v>0</v>
      </c>
      <c r="L610">
        <v>0</v>
      </c>
      <c r="M610">
        <v>0</v>
      </c>
      <c r="N610">
        <v>0</v>
      </c>
      <c r="O610">
        <v>0</v>
      </c>
      <c r="P610" t="str">
        <f t="shared" si="19"/>
        <v>Non Chronic</v>
      </c>
      <c r="Q610">
        <v>1</v>
      </c>
      <c r="R610">
        <v>0</v>
      </c>
      <c r="S610" t="s">
        <v>30</v>
      </c>
    </row>
    <row r="611" spans="1:19" x14ac:dyDescent="0.3">
      <c r="A611">
        <v>500610</v>
      </c>
      <c r="B611">
        <v>71763</v>
      </c>
      <c r="C611" t="s">
        <v>4</v>
      </c>
      <c r="D611" t="s">
        <v>14</v>
      </c>
      <c r="E611" s="1">
        <v>46056</v>
      </c>
      <c r="F611" t="s">
        <v>63</v>
      </c>
      <c r="G611" s="1">
        <v>46061</v>
      </c>
      <c r="H611" s="1" t="str">
        <f t="shared" si="18"/>
        <v>Sunday</v>
      </c>
      <c r="I611">
        <v>67</v>
      </c>
      <c r="J611" t="s">
        <v>31</v>
      </c>
      <c r="K611">
        <v>0</v>
      </c>
      <c r="L611">
        <v>1</v>
      </c>
      <c r="M611">
        <v>1</v>
      </c>
      <c r="N611">
        <v>0</v>
      </c>
      <c r="O611">
        <v>0</v>
      </c>
      <c r="P611" t="str">
        <f t="shared" si="19"/>
        <v>Chronic</v>
      </c>
      <c r="Q611">
        <v>1</v>
      </c>
      <c r="R611">
        <v>0</v>
      </c>
      <c r="S611" t="s">
        <v>9</v>
      </c>
    </row>
    <row r="612" spans="1:19" x14ac:dyDescent="0.3">
      <c r="A612">
        <v>500611</v>
      </c>
      <c r="B612">
        <v>23937</v>
      </c>
      <c r="C612" t="s">
        <v>4</v>
      </c>
      <c r="D612" t="s">
        <v>7</v>
      </c>
      <c r="E612" s="1">
        <v>46048</v>
      </c>
      <c r="F612" t="s">
        <v>189</v>
      </c>
      <c r="G612" s="1">
        <v>46063</v>
      </c>
      <c r="H612" s="1" t="str">
        <f t="shared" si="18"/>
        <v>Tuesday</v>
      </c>
      <c r="I612">
        <v>51</v>
      </c>
      <c r="J612" t="s">
        <v>1</v>
      </c>
      <c r="K612">
        <v>0</v>
      </c>
      <c r="L612">
        <v>1</v>
      </c>
      <c r="M612">
        <v>1</v>
      </c>
      <c r="N612">
        <v>0</v>
      </c>
      <c r="O612">
        <v>0</v>
      </c>
      <c r="P612" t="str">
        <f t="shared" si="19"/>
        <v>Chronic</v>
      </c>
      <c r="Q612">
        <v>0</v>
      </c>
      <c r="R612">
        <v>0</v>
      </c>
      <c r="S612" t="s">
        <v>0</v>
      </c>
    </row>
    <row r="613" spans="1:19" x14ac:dyDescent="0.3">
      <c r="A613">
        <v>500612</v>
      </c>
      <c r="B613">
        <v>25833</v>
      </c>
      <c r="C613" t="s">
        <v>4</v>
      </c>
      <c r="D613" t="s">
        <v>19</v>
      </c>
      <c r="E613" s="1">
        <v>46039</v>
      </c>
      <c r="F613" t="s">
        <v>683</v>
      </c>
      <c r="G613" s="1">
        <v>46042</v>
      </c>
      <c r="H613" s="1" t="str">
        <f t="shared" si="18"/>
        <v>Tuesday</v>
      </c>
      <c r="I613">
        <v>36</v>
      </c>
      <c r="J613" t="s">
        <v>45</v>
      </c>
      <c r="K613">
        <v>0</v>
      </c>
      <c r="L613">
        <v>0</v>
      </c>
      <c r="M613">
        <v>0</v>
      </c>
      <c r="N613">
        <v>0</v>
      </c>
      <c r="O613">
        <v>0</v>
      </c>
      <c r="P613" t="str">
        <f t="shared" si="19"/>
        <v>Non Chronic</v>
      </c>
      <c r="Q613">
        <v>1</v>
      </c>
      <c r="R613">
        <v>0</v>
      </c>
      <c r="S613" t="s">
        <v>22</v>
      </c>
    </row>
    <row r="614" spans="1:19" x14ac:dyDescent="0.3">
      <c r="A614">
        <v>500613</v>
      </c>
      <c r="B614">
        <v>64415</v>
      </c>
      <c r="C614" t="s">
        <v>4</v>
      </c>
      <c r="D614" t="s">
        <v>19</v>
      </c>
      <c r="E614" s="1">
        <v>46144</v>
      </c>
      <c r="F614" t="s">
        <v>56</v>
      </c>
      <c r="G614" s="1">
        <v>46144</v>
      </c>
      <c r="H614" s="1" t="str">
        <f t="shared" si="18"/>
        <v>Saturday</v>
      </c>
      <c r="I614">
        <v>43</v>
      </c>
      <c r="J614" t="s">
        <v>12</v>
      </c>
      <c r="K614">
        <v>0</v>
      </c>
      <c r="L614">
        <v>0</v>
      </c>
      <c r="M614">
        <v>0</v>
      </c>
      <c r="N614">
        <v>0</v>
      </c>
      <c r="O614">
        <v>0</v>
      </c>
      <c r="P614" t="str">
        <f t="shared" si="19"/>
        <v>Non Chronic</v>
      </c>
      <c r="Q614">
        <v>1</v>
      </c>
      <c r="R614">
        <v>0</v>
      </c>
      <c r="S614" t="s">
        <v>0</v>
      </c>
    </row>
    <row r="615" spans="1:19" x14ac:dyDescent="0.3">
      <c r="A615">
        <v>500614</v>
      </c>
      <c r="B615">
        <v>90273</v>
      </c>
      <c r="C615" t="s">
        <v>8</v>
      </c>
      <c r="D615" t="s">
        <v>28</v>
      </c>
      <c r="E615" s="1">
        <v>46055</v>
      </c>
      <c r="F615" t="s">
        <v>682</v>
      </c>
      <c r="G615" s="1">
        <v>46075</v>
      </c>
      <c r="H615" s="1" t="str">
        <f t="shared" si="18"/>
        <v>Sunday</v>
      </c>
      <c r="I615">
        <v>15</v>
      </c>
      <c r="J615" t="s">
        <v>17</v>
      </c>
      <c r="K615">
        <v>0</v>
      </c>
      <c r="L615">
        <v>0</v>
      </c>
      <c r="M615">
        <v>0</v>
      </c>
      <c r="N615">
        <v>0</v>
      </c>
      <c r="O615">
        <v>0</v>
      </c>
      <c r="P615" t="str">
        <f t="shared" si="19"/>
        <v>Non Chronic</v>
      </c>
      <c r="Q615">
        <v>1</v>
      </c>
      <c r="R615">
        <v>1</v>
      </c>
      <c r="S615" t="s">
        <v>30</v>
      </c>
    </row>
    <row r="616" spans="1:19" x14ac:dyDescent="0.3">
      <c r="A616">
        <v>500615</v>
      </c>
      <c r="B616">
        <v>21683</v>
      </c>
      <c r="C616" t="s">
        <v>8</v>
      </c>
      <c r="D616" t="s">
        <v>3</v>
      </c>
      <c r="E616" s="1">
        <v>46028</v>
      </c>
      <c r="F616" t="s">
        <v>420</v>
      </c>
      <c r="G616" s="1">
        <v>46048</v>
      </c>
      <c r="H616" s="1" t="str">
        <f t="shared" si="18"/>
        <v>Monday</v>
      </c>
      <c r="I616">
        <v>86</v>
      </c>
      <c r="J616" t="s">
        <v>10</v>
      </c>
      <c r="K616">
        <v>0</v>
      </c>
      <c r="L616">
        <v>1</v>
      </c>
      <c r="M616">
        <v>0</v>
      </c>
      <c r="N616">
        <v>0</v>
      </c>
      <c r="O616">
        <v>0</v>
      </c>
      <c r="P616" t="str">
        <f t="shared" si="19"/>
        <v>Chronic</v>
      </c>
      <c r="Q616">
        <v>1</v>
      </c>
      <c r="R616">
        <v>1</v>
      </c>
      <c r="S616" t="s">
        <v>9</v>
      </c>
    </row>
    <row r="617" spans="1:19" x14ac:dyDescent="0.3">
      <c r="A617">
        <v>500616</v>
      </c>
      <c r="B617">
        <v>33593</v>
      </c>
      <c r="C617" t="s">
        <v>8</v>
      </c>
      <c r="D617" t="s">
        <v>58</v>
      </c>
      <c r="E617" s="1">
        <v>46033</v>
      </c>
      <c r="F617" t="s">
        <v>681</v>
      </c>
      <c r="G617" s="1">
        <v>46038</v>
      </c>
      <c r="H617" s="1" t="str">
        <f t="shared" si="18"/>
        <v>Friday</v>
      </c>
      <c r="I617">
        <v>40</v>
      </c>
      <c r="J617" t="s">
        <v>5</v>
      </c>
      <c r="K617">
        <v>1</v>
      </c>
      <c r="L617">
        <v>0</v>
      </c>
      <c r="M617">
        <v>0</v>
      </c>
      <c r="N617">
        <v>0</v>
      </c>
      <c r="O617">
        <v>0</v>
      </c>
      <c r="P617" t="str">
        <f t="shared" si="19"/>
        <v>Non Chronic</v>
      </c>
      <c r="Q617">
        <v>1</v>
      </c>
      <c r="R617">
        <v>0</v>
      </c>
      <c r="S617" t="s">
        <v>22</v>
      </c>
    </row>
    <row r="618" spans="1:19" x14ac:dyDescent="0.3">
      <c r="A618">
        <v>500617</v>
      </c>
      <c r="B618">
        <v>22541</v>
      </c>
      <c r="C618" t="s">
        <v>8</v>
      </c>
      <c r="D618" t="s">
        <v>14</v>
      </c>
      <c r="E618" s="1">
        <v>46032</v>
      </c>
      <c r="F618" t="s">
        <v>601</v>
      </c>
      <c r="G618" s="1">
        <v>46034</v>
      </c>
      <c r="H618" s="1" t="str">
        <f t="shared" si="18"/>
        <v>Monday</v>
      </c>
      <c r="I618">
        <v>40</v>
      </c>
      <c r="J618" t="s">
        <v>10</v>
      </c>
      <c r="K618">
        <v>0</v>
      </c>
      <c r="L618">
        <v>0</v>
      </c>
      <c r="M618">
        <v>0</v>
      </c>
      <c r="N618">
        <v>0</v>
      </c>
      <c r="O618">
        <v>0</v>
      </c>
      <c r="P618" t="str">
        <f t="shared" si="19"/>
        <v>Non Chronic</v>
      </c>
      <c r="Q618">
        <v>0</v>
      </c>
      <c r="R618">
        <v>0</v>
      </c>
      <c r="S618" t="s">
        <v>22</v>
      </c>
    </row>
    <row r="619" spans="1:19" x14ac:dyDescent="0.3">
      <c r="A619">
        <v>500618</v>
      </c>
      <c r="B619">
        <v>72182</v>
      </c>
      <c r="C619" t="s">
        <v>8</v>
      </c>
      <c r="D619" t="s">
        <v>28</v>
      </c>
      <c r="E619" s="1">
        <v>45997</v>
      </c>
      <c r="F619" t="s">
        <v>680</v>
      </c>
      <c r="G619" s="1">
        <v>45999</v>
      </c>
      <c r="H619" s="1" t="str">
        <f t="shared" si="18"/>
        <v>Monday</v>
      </c>
      <c r="I619">
        <v>52</v>
      </c>
      <c r="J619" t="s">
        <v>31</v>
      </c>
      <c r="K619">
        <v>0</v>
      </c>
      <c r="L619">
        <v>1</v>
      </c>
      <c r="M619">
        <v>0</v>
      </c>
      <c r="N619">
        <v>0</v>
      </c>
      <c r="O619">
        <v>0</v>
      </c>
      <c r="P619" t="str">
        <f t="shared" si="19"/>
        <v>Chronic</v>
      </c>
      <c r="Q619">
        <v>1</v>
      </c>
      <c r="R619">
        <v>0</v>
      </c>
      <c r="S619" t="s">
        <v>0</v>
      </c>
    </row>
    <row r="620" spans="1:19" x14ac:dyDescent="0.3">
      <c r="A620">
        <v>500619</v>
      </c>
      <c r="B620">
        <v>69394</v>
      </c>
      <c r="C620" t="s">
        <v>4</v>
      </c>
      <c r="D620" t="s">
        <v>58</v>
      </c>
      <c r="E620" s="1">
        <v>46096</v>
      </c>
      <c r="F620" t="s">
        <v>679</v>
      </c>
      <c r="G620" s="1">
        <v>46096</v>
      </c>
      <c r="H620" s="1" t="str">
        <f t="shared" si="18"/>
        <v>Sunday</v>
      </c>
      <c r="I620">
        <v>47</v>
      </c>
      <c r="J620" t="s">
        <v>17</v>
      </c>
      <c r="K620">
        <v>0</v>
      </c>
      <c r="L620">
        <v>1</v>
      </c>
      <c r="M620">
        <v>1</v>
      </c>
      <c r="N620">
        <v>0</v>
      </c>
      <c r="O620">
        <v>0</v>
      </c>
      <c r="P620" t="str">
        <f t="shared" si="19"/>
        <v>Chronic</v>
      </c>
      <c r="Q620">
        <v>1</v>
      </c>
      <c r="R620">
        <v>0</v>
      </c>
      <c r="S620" t="s">
        <v>0</v>
      </c>
    </row>
    <row r="621" spans="1:19" x14ac:dyDescent="0.3">
      <c r="A621">
        <v>500620</v>
      </c>
      <c r="B621">
        <v>85990</v>
      </c>
      <c r="C621" t="s">
        <v>8</v>
      </c>
      <c r="D621" t="s">
        <v>3</v>
      </c>
      <c r="E621" s="1">
        <v>46057</v>
      </c>
      <c r="F621" t="s">
        <v>678</v>
      </c>
      <c r="G621" s="1">
        <v>46059</v>
      </c>
      <c r="H621" s="1" t="str">
        <f t="shared" si="18"/>
        <v>Friday</v>
      </c>
      <c r="I621">
        <v>42</v>
      </c>
      <c r="J621" t="s">
        <v>45</v>
      </c>
      <c r="K621">
        <v>1</v>
      </c>
      <c r="L621">
        <v>0</v>
      </c>
      <c r="M621">
        <v>0</v>
      </c>
      <c r="N621">
        <v>0</v>
      </c>
      <c r="O621">
        <v>0</v>
      </c>
      <c r="P621" t="str">
        <f t="shared" si="19"/>
        <v>Non Chronic</v>
      </c>
      <c r="Q621">
        <v>1</v>
      </c>
      <c r="R621">
        <v>0</v>
      </c>
      <c r="S621" t="s">
        <v>0</v>
      </c>
    </row>
    <row r="622" spans="1:19" x14ac:dyDescent="0.3">
      <c r="A622">
        <v>500621</v>
      </c>
      <c r="B622">
        <v>36208</v>
      </c>
      <c r="C622" t="s">
        <v>8</v>
      </c>
      <c r="D622" t="s">
        <v>14</v>
      </c>
      <c r="E622" s="1">
        <v>46124</v>
      </c>
      <c r="F622" t="s">
        <v>140</v>
      </c>
      <c r="G622" s="1">
        <v>46124</v>
      </c>
      <c r="H622" s="1" t="str">
        <f t="shared" si="18"/>
        <v>Sunday</v>
      </c>
      <c r="I622">
        <v>22</v>
      </c>
      <c r="J622" t="s">
        <v>15</v>
      </c>
      <c r="K622">
        <v>1</v>
      </c>
      <c r="L622">
        <v>0</v>
      </c>
      <c r="M622">
        <v>0</v>
      </c>
      <c r="N622">
        <v>0</v>
      </c>
      <c r="O622">
        <v>0</v>
      </c>
      <c r="P622" t="str">
        <f t="shared" si="19"/>
        <v>Non Chronic</v>
      </c>
      <c r="Q622">
        <v>1</v>
      </c>
      <c r="R622">
        <v>1</v>
      </c>
      <c r="S622" t="s">
        <v>22</v>
      </c>
    </row>
    <row r="623" spans="1:19" x14ac:dyDescent="0.3">
      <c r="A623">
        <v>500622</v>
      </c>
      <c r="B623">
        <v>89879</v>
      </c>
      <c r="C623" t="s">
        <v>8</v>
      </c>
      <c r="D623" t="s">
        <v>28</v>
      </c>
      <c r="E623" s="1">
        <v>46049</v>
      </c>
      <c r="F623" t="s">
        <v>677</v>
      </c>
      <c r="G623" s="1">
        <v>46079</v>
      </c>
      <c r="H623" s="1" t="str">
        <f t="shared" si="18"/>
        <v>Thursday</v>
      </c>
      <c r="I623">
        <v>47</v>
      </c>
      <c r="J623" t="s">
        <v>23</v>
      </c>
      <c r="K623">
        <v>1</v>
      </c>
      <c r="L623">
        <v>1</v>
      </c>
      <c r="M623">
        <v>0</v>
      </c>
      <c r="N623">
        <v>0</v>
      </c>
      <c r="O623">
        <v>0</v>
      </c>
      <c r="P623" t="str">
        <f t="shared" si="19"/>
        <v>Chronic</v>
      </c>
      <c r="Q623">
        <v>1</v>
      </c>
      <c r="R623">
        <v>1</v>
      </c>
      <c r="S623" t="s">
        <v>0</v>
      </c>
    </row>
    <row r="624" spans="1:19" x14ac:dyDescent="0.3">
      <c r="A624">
        <v>500623</v>
      </c>
      <c r="B624">
        <v>84536</v>
      </c>
      <c r="C624" t="s">
        <v>4</v>
      </c>
      <c r="D624" t="s">
        <v>25</v>
      </c>
      <c r="E624" s="1">
        <v>46055</v>
      </c>
      <c r="F624" t="s">
        <v>676</v>
      </c>
      <c r="G624" s="1">
        <v>46075</v>
      </c>
      <c r="H624" s="1" t="str">
        <f t="shared" si="18"/>
        <v>Sunday</v>
      </c>
      <c r="I624">
        <v>75</v>
      </c>
      <c r="J624" t="s">
        <v>31</v>
      </c>
      <c r="K624">
        <v>0</v>
      </c>
      <c r="L624">
        <v>0</v>
      </c>
      <c r="M624">
        <v>0</v>
      </c>
      <c r="N624">
        <v>0</v>
      </c>
      <c r="O624">
        <v>0</v>
      </c>
      <c r="P624" t="str">
        <f t="shared" si="19"/>
        <v>Non Chronic</v>
      </c>
      <c r="Q624">
        <v>1</v>
      </c>
      <c r="R624">
        <v>0</v>
      </c>
      <c r="S624" t="s">
        <v>9</v>
      </c>
    </row>
    <row r="625" spans="1:19" x14ac:dyDescent="0.3">
      <c r="A625">
        <v>500624</v>
      </c>
      <c r="B625">
        <v>93623</v>
      </c>
      <c r="C625" t="s">
        <v>4</v>
      </c>
      <c r="D625" t="s">
        <v>14</v>
      </c>
      <c r="E625" s="1">
        <v>45987</v>
      </c>
      <c r="F625" t="s">
        <v>675</v>
      </c>
      <c r="G625" s="1">
        <v>46002</v>
      </c>
      <c r="H625" s="1" t="str">
        <f t="shared" si="18"/>
        <v>Thursday</v>
      </c>
      <c r="I625">
        <v>64</v>
      </c>
      <c r="J625" t="s">
        <v>15</v>
      </c>
      <c r="K625">
        <v>1</v>
      </c>
      <c r="L625">
        <v>0</v>
      </c>
      <c r="M625">
        <v>0</v>
      </c>
      <c r="N625">
        <v>0</v>
      </c>
      <c r="O625">
        <v>0</v>
      </c>
      <c r="P625" t="str">
        <f t="shared" si="19"/>
        <v>Non Chronic</v>
      </c>
      <c r="Q625">
        <v>1</v>
      </c>
      <c r="R625">
        <v>0</v>
      </c>
      <c r="S625" t="s">
        <v>9</v>
      </c>
    </row>
    <row r="626" spans="1:19" x14ac:dyDescent="0.3">
      <c r="A626">
        <v>500625</v>
      </c>
      <c r="B626">
        <v>42329</v>
      </c>
      <c r="C626" t="s">
        <v>4</v>
      </c>
      <c r="D626" t="s">
        <v>19</v>
      </c>
      <c r="E626" s="1">
        <v>46087</v>
      </c>
      <c r="F626" t="s">
        <v>616</v>
      </c>
      <c r="G626" s="1">
        <v>46087</v>
      </c>
      <c r="H626" s="1" t="str">
        <f t="shared" si="18"/>
        <v>Friday</v>
      </c>
      <c r="I626">
        <v>69</v>
      </c>
      <c r="J626" t="s">
        <v>23</v>
      </c>
      <c r="K626">
        <v>0</v>
      </c>
      <c r="L626">
        <v>0</v>
      </c>
      <c r="M626">
        <v>0</v>
      </c>
      <c r="N626">
        <v>0</v>
      </c>
      <c r="O626">
        <v>0</v>
      </c>
      <c r="P626" t="str">
        <f t="shared" si="19"/>
        <v>Non Chronic</v>
      </c>
      <c r="Q626">
        <v>0</v>
      </c>
      <c r="R626">
        <v>1</v>
      </c>
      <c r="S626" t="s">
        <v>9</v>
      </c>
    </row>
    <row r="627" spans="1:19" x14ac:dyDescent="0.3">
      <c r="A627">
        <v>500626</v>
      </c>
      <c r="B627">
        <v>71689</v>
      </c>
      <c r="C627" t="s">
        <v>4</v>
      </c>
      <c r="D627" t="s">
        <v>3</v>
      </c>
      <c r="E627" s="1">
        <v>46018</v>
      </c>
      <c r="F627" t="s">
        <v>674</v>
      </c>
      <c r="G627" s="1">
        <v>46033</v>
      </c>
      <c r="H627" s="1" t="str">
        <f t="shared" si="18"/>
        <v>Sunday</v>
      </c>
      <c r="I627">
        <v>27</v>
      </c>
      <c r="J627" t="s">
        <v>12</v>
      </c>
      <c r="K627">
        <v>1</v>
      </c>
      <c r="L627">
        <v>0</v>
      </c>
      <c r="M627">
        <v>0</v>
      </c>
      <c r="N627">
        <v>0</v>
      </c>
      <c r="O627">
        <v>0</v>
      </c>
      <c r="P627" t="str">
        <f t="shared" si="19"/>
        <v>Non Chronic</v>
      </c>
      <c r="Q627">
        <v>0</v>
      </c>
      <c r="R627">
        <v>0</v>
      </c>
      <c r="S627" t="s">
        <v>22</v>
      </c>
    </row>
    <row r="628" spans="1:19" x14ac:dyDescent="0.3">
      <c r="A628">
        <v>500627</v>
      </c>
      <c r="B628">
        <v>41524</v>
      </c>
      <c r="C628" t="s">
        <v>4</v>
      </c>
      <c r="D628" t="s">
        <v>36</v>
      </c>
      <c r="E628" s="1">
        <v>45995</v>
      </c>
      <c r="F628" t="s">
        <v>511</v>
      </c>
      <c r="G628" s="1">
        <v>46025</v>
      </c>
      <c r="H628" s="1" t="str">
        <f t="shared" si="18"/>
        <v>Saturday</v>
      </c>
      <c r="I628">
        <v>18</v>
      </c>
      <c r="J628" t="s">
        <v>23</v>
      </c>
      <c r="K628">
        <v>0</v>
      </c>
      <c r="L628">
        <v>0</v>
      </c>
      <c r="M628">
        <v>0</v>
      </c>
      <c r="N628">
        <v>0</v>
      </c>
      <c r="O628">
        <v>0</v>
      </c>
      <c r="P628" t="str">
        <f t="shared" si="19"/>
        <v>Non Chronic</v>
      </c>
      <c r="Q628">
        <v>1</v>
      </c>
      <c r="R628">
        <v>1</v>
      </c>
      <c r="S628" t="s">
        <v>30</v>
      </c>
    </row>
    <row r="629" spans="1:19" x14ac:dyDescent="0.3">
      <c r="A629">
        <v>500628</v>
      </c>
      <c r="B629">
        <v>94887</v>
      </c>
      <c r="C629" t="s">
        <v>4</v>
      </c>
      <c r="D629" t="s">
        <v>36</v>
      </c>
      <c r="E629" s="1">
        <v>46006</v>
      </c>
      <c r="F629" t="s">
        <v>673</v>
      </c>
      <c r="G629" s="1">
        <v>46011</v>
      </c>
      <c r="H629" s="1" t="str">
        <f t="shared" si="18"/>
        <v>Saturday</v>
      </c>
      <c r="I629">
        <v>35</v>
      </c>
      <c r="J629" t="s">
        <v>10</v>
      </c>
      <c r="K629">
        <v>1</v>
      </c>
      <c r="L629">
        <v>0</v>
      </c>
      <c r="M629">
        <v>0</v>
      </c>
      <c r="N629">
        <v>0</v>
      </c>
      <c r="O629">
        <v>0</v>
      </c>
      <c r="P629" t="str">
        <f t="shared" si="19"/>
        <v>Non Chronic</v>
      </c>
      <c r="Q629">
        <v>1</v>
      </c>
      <c r="R629">
        <v>0</v>
      </c>
      <c r="S629" t="s">
        <v>22</v>
      </c>
    </row>
    <row r="630" spans="1:19" x14ac:dyDescent="0.3">
      <c r="A630">
        <v>500629</v>
      </c>
      <c r="B630">
        <v>69616</v>
      </c>
      <c r="C630" t="s">
        <v>8</v>
      </c>
      <c r="D630" t="s">
        <v>28</v>
      </c>
      <c r="E630" s="1">
        <v>46089</v>
      </c>
      <c r="F630" t="s">
        <v>672</v>
      </c>
      <c r="G630" s="1">
        <v>46092</v>
      </c>
      <c r="H630" s="1" t="str">
        <f t="shared" si="18"/>
        <v>Wednesday</v>
      </c>
      <c r="I630">
        <v>39</v>
      </c>
      <c r="J630" t="s">
        <v>23</v>
      </c>
      <c r="K630">
        <v>0</v>
      </c>
      <c r="L630">
        <v>0</v>
      </c>
      <c r="M630">
        <v>0</v>
      </c>
      <c r="N630">
        <v>0</v>
      </c>
      <c r="O630">
        <v>0</v>
      </c>
      <c r="P630" t="str">
        <f t="shared" si="19"/>
        <v>Non Chronic</v>
      </c>
      <c r="Q630">
        <v>1</v>
      </c>
      <c r="R630">
        <v>0</v>
      </c>
      <c r="S630" t="s">
        <v>22</v>
      </c>
    </row>
    <row r="631" spans="1:19" x14ac:dyDescent="0.3">
      <c r="A631">
        <v>500630</v>
      </c>
      <c r="B631">
        <v>92222</v>
      </c>
      <c r="C631" t="s">
        <v>4</v>
      </c>
      <c r="D631" t="s">
        <v>3</v>
      </c>
      <c r="E631" s="1">
        <v>46109</v>
      </c>
      <c r="F631" t="s">
        <v>671</v>
      </c>
      <c r="G631" s="1">
        <v>46116</v>
      </c>
      <c r="H631" s="1" t="str">
        <f t="shared" si="18"/>
        <v>Saturday</v>
      </c>
      <c r="I631">
        <v>59</v>
      </c>
      <c r="J631" t="s">
        <v>20</v>
      </c>
      <c r="K631">
        <v>0</v>
      </c>
      <c r="L631">
        <v>1</v>
      </c>
      <c r="M631">
        <v>0</v>
      </c>
      <c r="N631">
        <v>0</v>
      </c>
      <c r="O631">
        <v>0</v>
      </c>
      <c r="P631" t="str">
        <f t="shared" si="19"/>
        <v>Chronic</v>
      </c>
      <c r="Q631">
        <v>1</v>
      </c>
      <c r="R631">
        <v>0</v>
      </c>
      <c r="S631" t="s">
        <v>0</v>
      </c>
    </row>
    <row r="632" spans="1:19" x14ac:dyDescent="0.3">
      <c r="A632">
        <v>500631</v>
      </c>
      <c r="B632">
        <v>91324</v>
      </c>
      <c r="C632" t="s">
        <v>8</v>
      </c>
      <c r="D632" t="s">
        <v>36</v>
      </c>
      <c r="E632" s="1">
        <v>46125</v>
      </c>
      <c r="F632" t="s">
        <v>670</v>
      </c>
      <c r="G632" s="1">
        <v>46145</v>
      </c>
      <c r="H632" s="1" t="str">
        <f t="shared" si="18"/>
        <v>Sunday</v>
      </c>
      <c r="I632">
        <v>4</v>
      </c>
      <c r="J632" t="s">
        <v>12</v>
      </c>
      <c r="K632">
        <v>0</v>
      </c>
      <c r="L632">
        <v>0</v>
      </c>
      <c r="M632">
        <v>0</v>
      </c>
      <c r="N632">
        <v>0</v>
      </c>
      <c r="O632">
        <v>0</v>
      </c>
      <c r="P632" t="str">
        <f t="shared" si="19"/>
        <v>Non Chronic</v>
      </c>
      <c r="Q632">
        <v>1</v>
      </c>
      <c r="R632">
        <v>0</v>
      </c>
      <c r="S632" t="s">
        <v>30</v>
      </c>
    </row>
    <row r="633" spans="1:19" x14ac:dyDescent="0.3">
      <c r="A633">
        <v>500632</v>
      </c>
      <c r="B633">
        <v>24544</v>
      </c>
      <c r="C633" t="s">
        <v>8</v>
      </c>
      <c r="D633" t="s">
        <v>19</v>
      </c>
      <c r="E633" s="1">
        <v>46009</v>
      </c>
      <c r="F633" t="s">
        <v>502</v>
      </c>
      <c r="G633" s="1">
        <v>46019</v>
      </c>
      <c r="H633" s="1" t="str">
        <f t="shared" si="18"/>
        <v>Sunday</v>
      </c>
      <c r="I633">
        <v>68</v>
      </c>
      <c r="J633" t="s">
        <v>10</v>
      </c>
      <c r="K633">
        <v>0</v>
      </c>
      <c r="L633">
        <v>0</v>
      </c>
      <c r="M633">
        <v>1</v>
      </c>
      <c r="N633">
        <v>0</v>
      </c>
      <c r="O633">
        <v>0</v>
      </c>
      <c r="P633" t="str">
        <f t="shared" si="19"/>
        <v>Chronic</v>
      </c>
      <c r="Q633">
        <v>1</v>
      </c>
      <c r="R633">
        <v>0</v>
      </c>
      <c r="S633" t="s">
        <v>9</v>
      </c>
    </row>
    <row r="634" spans="1:19" x14ac:dyDescent="0.3">
      <c r="A634">
        <v>500633</v>
      </c>
      <c r="B634">
        <v>41278</v>
      </c>
      <c r="C634" t="s">
        <v>4</v>
      </c>
      <c r="D634" t="s">
        <v>7</v>
      </c>
      <c r="E634" s="1">
        <v>46044</v>
      </c>
      <c r="F634" t="s">
        <v>669</v>
      </c>
      <c r="G634" s="1">
        <v>46054</v>
      </c>
      <c r="H634" s="1" t="str">
        <f t="shared" si="18"/>
        <v>Sunday</v>
      </c>
      <c r="I634">
        <v>34</v>
      </c>
      <c r="J634" t="s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 t="str">
        <f t="shared" si="19"/>
        <v>Non Chronic</v>
      </c>
      <c r="Q634">
        <v>1</v>
      </c>
      <c r="R634">
        <v>0</v>
      </c>
      <c r="S634" t="s">
        <v>22</v>
      </c>
    </row>
    <row r="635" spans="1:19" x14ac:dyDescent="0.3">
      <c r="A635">
        <v>500634</v>
      </c>
      <c r="B635">
        <v>76003</v>
      </c>
      <c r="C635" t="s">
        <v>8</v>
      </c>
      <c r="D635" t="s">
        <v>25</v>
      </c>
      <c r="E635" s="1">
        <v>46117</v>
      </c>
      <c r="F635" t="s">
        <v>668</v>
      </c>
      <c r="G635" s="1">
        <v>46122</v>
      </c>
      <c r="H635" s="1" t="str">
        <f t="shared" si="18"/>
        <v>Friday</v>
      </c>
      <c r="I635">
        <v>29</v>
      </c>
      <c r="J635" t="s">
        <v>17</v>
      </c>
      <c r="K635">
        <v>0</v>
      </c>
      <c r="L635">
        <v>0</v>
      </c>
      <c r="M635">
        <v>0</v>
      </c>
      <c r="N635">
        <v>0</v>
      </c>
      <c r="O635">
        <v>0</v>
      </c>
      <c r="P635" t="str">
        <f t="shared" si="19"/>
        <v>Non Chronic</v>
      </c>
      <c r="Q635">
        <v>1</v>
      </c>
      <c r="R635">
        <v>0</v>
      </c>
      <c r="S635" t="s">
        <v>22</v>
      </c>
    </row>
    <row r="636" spans="1:19" x14ac:dyDescent="0.3">
      <c r="A636">
        <v>500635</v>
      </c>
      <c r="B636">
        <v>71625</v>
      </c>
      <c r="C636" t="s">
        <v>8</v>
      </c>
      <c r="D636" t="s">
        <v>7</v>
      </c>
      <c r="E636" s="1">
        <v>46070</v>
      </c>
      <c r="F636" t="s">
        <v>540</v>
      </c>
      <c r="G636" s="1">
        <v>46073</v>
      </c>
      <c r="H636" s="1" t="str">
        <f t="shared" si="18"/>
        <v>Friday</v>
      </c>
      <c r="I636">
        <v>17</v>
      </c>
      <c r="J636" t="s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 t="str">
        <f t="shared" si="19"/>
        <v>Non Chronic</v>
      </c>
      <c r="Q636">
        <v>1</v>
      </c>
      <c r="R636">
        <v>0</v>
      </c>
      <c r="S636" t="s">
        <v>30</v>
      </c>
    </row>
    <row r="637" spans="1:19" x14ac:dyDescent="0.3">
      <c r="A637">
        <v>500636</v>
      </c>
      <c r="B637">
        <v>18601</v>
      </c>
      <c r="C637" t="s">
        <v>4</v>
      </c>
      <c r="D637" t="s">
        <v>7</v>
      </c>
      <c r="E637" s="1">
        <v>46153</v>
      </c>
      <c r="F637" t="s">
        <v>667</v>
      </c>
      <c r="G637" s="1">
        <v>46153</v>
      </c>
      <c r="H637" s="1" t="str">
        <f t="shared" si="18"/>
        <v>Monday</v>
      </c>
      <c r="I637">
        <v>4</v>
      </c>
      <c r="J637" t="s">
        <v>15</v>
      </c>
      <c r="K637">
        <v>0</v>
      </c>
      <c r="L637">
        <v>0</v>
      </c>
      <c r="M637">
        <v>0</v>
      </c>
      <c r="N637">
        <v>0</v>
      </c>
      <c r="O637">
        <v>0</v>
      </c>
      <c r="P637" t="str">
        <f t="shared" si="19"/>
        <v>Non Chronic</v>
      </c>
      <c r="Q637">
        <v>0</v>
      </c>
      <c r="R637">
        <v>0</v>
      </c>
      <c r="S637" t="s">
        <v>30</v>
      </c>
    </row>
    <row r="638" spans="1:19" x14ac:dyDescent="0.3">
      <c r="A638">
        <v>500637</v>
      </c>
      <c r="B638">
        <v>20085</v>
      </c>
      <c r="C638" t="s">
        <v>4</v>
      </c>
      <c r="D638" t="s">
        <v>28</v>
      </c>
      <c r="E638" s="1">
        <v>46100</v>
      </c>
      <c r="F638" t="s">
        <v>666</v>
      </c>
      <c r="G638" s="1">
        <v>46105</v>
      </c>
      <c r="H638" s="1" t="str">
        <f t="shared" si="18"/>
        <v>Tuesday</v>
      </c>
      <c r="I638">
        <v>54</v>
      </c>
      <c r="J638" t="s">
        <v>5</v>
      </c>
      <c r="K638">
        <v>0</v>
      </c>
      <c r="L638">
        <v>0</v>
      </c>
      <c r="M638">
        <v>0</v>
      </c>
      <c r="N638">
        <v>0</v>
      </c>
      <c r="O638">
        <v>0</v>
      </c>
      <c r="P638" t="str">
        <f t="shared" si="19"/>
        <v>Non Chronic</v>
      </c>
      <c r="Q638">
        <v>1</v>
      </c>
      <c r="R638">
        <v>0</v>
      </c>
      <c r="S638" t="s">
        <v>0</v>
      </c>
    </row>
    <row r="639" spans="1:19" x14ac:dyDescent="0.3">
      <c r="A639">
        <v>500638</v>
      </c>
      <c r="B639">
        <v>99443</v>
      </c>
      <c r="C639" t="s">
        <v>4</v>
      </c>
      <c r="D639" t="s">
        <v>7</v>
      </c>
      <c r="E639" s="1">
        <v>46163</v>
      </c>
      <c r="F639" t="s">
        <v>68</v>
      </c>
      <c r="G639" s="1">
        <v>46170</v>
      </c>
      <c r="H639" s="1" t="str">
        <f t="shared" si="18"/>
        <v>Thursday</v>
      </c>
      <c r="I639">
        <v>39</v>
      </c>
      <c r="J639" t="s">
        <v>20</v>
      </c>
      <c r="K639">
        <v>1</v>
      </c>
      <c r="L639">
        <v>0</v>
      </c>
      <c r="M639">
        <v>0</v>
      </c>
      <c r="N639">
        <v>0</v>
      </c>
      <c r="O639">
        <v>0</v>
      </c>
      <c r="P639" t="str">
        <f t="shared" si="19"/>
        <v>Non Chronic</v>
      </c>
      <c r="Q639">
        <v>1</v>
      </c>
      <c r="R639">
        <v>1</v>
      </c>
      <c r="S639" t="s">
        <v>22</v>
      </c>
    </row>
    <row r="640" spans="1:19" x14ac:dyDescent="0.3">
      <c r="A640">
        <v>500639</v>
      </c>
      <c r="B640">
        <v>40451</v>
      </c>
      <c r="C640" t="s">
        <v>8</v>
      </c>
      <c r="D640" t="s">
        <v>3</v>
      </c>
      <c r="E640" s="1">
        <v>46054</v>
      </c>
      <c r="F640" t="s">
        <v>665</v>
      </c>
      <c r="G640" s="1">
        <v>46057</v>
      </c>
      <c r="H640" s="1" t="str">
        <f t="shared" si="18"/>
        <v>Wednesday</v>
      </c>
      <c r="I640">
        <v>12</v>
      </c>
      <c r="J640" t="s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 t="str">
        <f t="shared" si="19"/>
        <v>Non Chronic</v>
      </c>
      <c r="Q640">
        <v>1</v>
      </c>
      <c r="R640">
        <v>0</v>
      </c>
      <c r="S640" t="s">
        <v>30</v>
      </c>
    </row>
    <row r="641" spans="1:19" x14ac:dyDescent="0.3">
      <c r="A641">
        <v>500640</v>
      </c>
      <c r="B641">
        <v>87772</v>
      </c>
      <c r="C641" t="s">
        <v>8</v>
      </c>
      <c r="D641" t="s">
        <v>7</v>
      </c>
      <c r="E641" s="1">
        <v>46153</v>
      </c>
      <c r="F641" t="s">
        <v>120</v>
      </c>
      <c r="G641" s="1">
        <v>46160</v>
      </c>
      <c r="H641" s="1" t="str">
        <f t="shared" si="18"/>
        <v>Monday</v>
      </c>
      <c r="I641">
        <v>12</v>
      </c>
      <c r="J641" t="s">
        <v>5</v>
      </c>
      <c r="K641">
        <v>0</v>
      </c>
      <c r="L641">
        <v>0</v>
      </c>
      <c r="M641">
        <v>0</v>
      </c>
      <c r="N641">
        <v>0</v>
      </c>
      <c r="O641">
        <v>0</v>
      </c>
      <c r="P641" t="str">
        <f t="shared" si="19"/>
        <v>Non Chronic</v>
      </c>
      <c r="Q641">
        <v>0</v>
      </c>
      <c r="R641">
        <v>0</v>
      </c>
      <c r="S641" t="s">
        <v>30</v>
      </c>
    </row>
    <row r="642" spans="1:19" x14ac:dyDescent="0.3">
      <c r="A642">
        <v>500641</v>
      </c>
      <c r="B642">
        <v>44079</v>
      </c>
      <c r="C642" t="s">
        <v>4</v>
      </c>
      <c r="D642" t="s">
        <v>7</v>
      </c>
      <c r="E642" s="1">
        <v>46038</v>
      </c>
      <c r="F642" t="s">
        <v>664</v>
      </c>
      <c r="G642" s="1">
        <v>46038</v>
      </c>
      <c r="H642" s="1" t="str">
        <f t="shared" si="18"/>
        <v>Friday</v>
      </c>
      <c r="I642">
        <v>31</v>
      </c>
      <c r="J642" t="s">
        <v>20</v>
      </c>
      <c r="K642">
        <v>1</v>
      </c>
      <c r="L642">
        <v>0</v>
      </c>
      <c r="M642">
        <v>0</v>
      </c>
      <c r="N642">
        <v>0</v>
      </c>
      <c r="O642">
        <v>0</v>
      </c>
      <c r="P642" t="str">
        <f t="shared" si="19"/>
        <v>Non Chronic</v>
      </c>
      <c r="Q642">
        <v>1</v>
      </c>
      <c r="R642">
        <v>0</v>
      </c>
      <c r="S642" t="s">
        <v>22</v>
      </c>
    </row>
    <row r="643" spans="1:19" x14ac:dyDescent="0.3">
      <c r="A643">
        <v>500642</v>
      </c>
      <c r="B643">
        <v>31805</v>
      </c>
      <c r="C643" t="s">
        <v>4</v>
      </c>
      <c r="D643" t="s">
        <v>25</v>
      </c>
      <c r="E643" s="1">
        <v>46113</v>
      </c>
      <c r="F643" t="s">
        <v>561</v>
      </c>
      <c r="G643" s="1">
        <v>46115</v>
      </c>
      <c r="H643" s="1" t="str">
        <f t="shared" ref="H643:H706" si="20">TEXT(G643,"dddd")</f>
        <v>Friday</v>
      </c>
      <c r="I643">
        <v>71</v>
      </c>
      <c r="J643" t="s">
        <v>31</v>
      </c>
      <c r="K643">
        <v>0</v>
      </c>
      <c r="L643">
        <v>0</v>
      </c>
      <c r="M643">
        <v>0</v>
      </c>
      <c r="N643">
        <v>0</v>
      </c>
      <c r="O643">
        <v>0</v>
      </c>
      <c r="P643" t="str">
        <f t="shared" ref="P643:P706" si="21">IF(OR(L643=1,M643=1),"Chronic","Non Chronic")</f>
        <v>Non Chronic</v>
      </c>
      <c r="Q643">
        <v>1</v>
      </c>
      <c r="R643">
        <v>0</v>
      </c>
      <c r="S643" t="s">
        <v>9</v>
      </c>
    </row>
    <row r="644" spans="1:19" x14ac:dyDescent="0.3">
      <c r="A644">
        <v>500643</v>
      </c>
      <c r="B644">
        <v>26577</v>
      </c>
      <c r="C644" t="s">
        <v>8</v>
      </c>
      <c r="D644" t="s">
        <v>25</v>
      </c>
      <c r="E644" s="1">
        <v>46060</v>
      </c>
      <c r="F644" t="s">
        <v>663</v>
      </c>
      <c r="G644" s="1">
        <v>46070</v>
      </c>
      <c r="H644" s="1" t="str">
        <f t="shared" si="20"/>
        <v>Tuesday</v>
      </c>
      <c r="I644">
        <v>32</v>
      </c>
      <c r="J644" t="s">
        <v>20</v>
      </c>
      <c r="K644">
        <v>0</v>
      </c>
      <c r="L644">
        <v>0</v>
      </c>
      <c r="M644">
        <v>0</v>
      </c>
      <c r="N644">
        <v>0</v>
      </c>
      <c r="O644">
        <v>0</v>
      </c>
      <c r="P644" t="str">
        <f t="shared" si="21"/>
        <v>Non Chronic</v>
      </c>
      <c r="Q644">
        <v>1</v>
      </c>
      <c r="R644">
        <v>0</v>
      </c>
      <c r="S644" t="s">
        <v>22</v>
      </c>
    </row>
    <row r="645" spans="1:19" x14ac:dyDescent="0.3">
      <c r="A645">
        <v>500644</v>
      </c>
      <c r="B645">
        <v>29391</v>
      </c>
      <c r="C645" t="s">
        <v>8</v>
      </c>
      <c r="D645" t="s">
        <v>7</v>
      </c>
      <c r="E645" s="1">
        <v>46025</v>
      </c>
      <c r="F645" t="s">
        <v>662</v>
      </c>
      <c r="G645" s="1">
        <v>46055</v>
      </c>
      <c r="H645" s="1" t="str">
        <f t="shared" si="20"/>
        <v>Monday</v>
      </c>
      <c r="I645">
        <v>7</v>
      </c>
      <c r="J645" t="s">
        <v>12</v>
      </c>
      <c r="K645">
        <v>0</v>
      </c>
      <c r="L645">
        <v>0</v>
      </c>
      <c r="M645">
        <v>0</v>
      </c>
      <c r="N645">
        <v>0</v>
      </c>
      <c r="O645">
        <v>0</v>
      </c>
      <c r="P645" t="str">
        <f t="shared" si="21"/>
        <v>Non Chronic</v>
      </c>
      <c r="Q645">
        <v>1</v>
      </c>
      <c r="R645">
        <v>1</v>
      </c>
      <c r="S645" t="s">
        <v>30</v>
      </c>
    </row>
    <row r="646" spans="1:19" x14ac:dyDescent="0.3">
      <c r="A646">
        <v>500645</v>
      </c>
      <c r="B646">
        <v>13266</v>
      </c>
      <c r="C646" t="s">
        <v>8</v>
      </c>
      <c r="D646" t="s">
        <v>7</v>
      </c>
      <c r="E646" s="1">
        <v>45998</v>
      </c>
      <c r="F646" t="s">
        <v>584</v>
      </c>
      <c r="G646" s="1">
        <v>45999</v>
      </c>
      <c r="H646" s="1" t="str">
        <f t="shared" si="20"/>
        <v>Monday</v>
      </c>
      <c r="I646">
        <v>33</v>
      </c>
      <c r="J646" t="s">
        <v>31</v>
      </c>
      <c r="K646">
        <v>1</v>
      </c>
      <c r="L646">
        <v>0</v>
      </c>
      <c r="M646">
        <v>0</v>
      </c>
      <c r="N646">
        <v>0</v>
      </c>
      <c r="O646">
        <v>0</v>
      </c>
      <c r="P646" t="str">
        <f t="shared" si="21"/>
        <v>Non Chronic</v>
      </c>
      <c r="Q646">
        <v>0</v>
      </c>
      <c r="R646">
        <v>0</v>
      </c>
      <c r="S646" t="s">
        <v>22</v>
      </c>
    </row>
    <row r="647" spans="1:19" x14ac:dyDescent="0.3">
      <c r="A647">
        <v>500646</v>
      </c>
      <c r="B647">
        <v>76507</v>
      </c>
      <c r="C647" t="s">
        <v>8</v>
      </c>
      <c r="D647" t="s">
        <v>25</v>
      </c>
      <c r="E647" s="1">
        <v>46154</v>
      </c>
      <c r="F647" t="s">
        <v>661</v>
      </c>
      <c r="G647" s="1">
        <v>46164</v>
      </c>
      <c r="H647" s="1" t="str">
        <f t="shared" si="20"/>
        <v>Friday</v>
      </c>
      <c r="I647">
        <v>32</v>
      </c>
      <c r="J647" t="s">
        <v>10</v>
      </c>
      <c r="K647">
        <v>1</v>
      </c>
      <c r="L647">
        <v>0</v>
      </c>
      <c r="M647">
        <v>0</v>
      </c>
      <c r="N647">
        <v>0</v>
      </c>
      <c r="O647">
        <v>0</v>
      </c>
      <c r="P647" t="str">
        <f t="shared" si="21"/>
        <v>Non Chronic</v>
      </c>
      <c r="Q647">
        <v>0</v>
      </c>
      <c r="R647">
        <v>0</v>
      </c>
      <c r="S647" t="s">
        <v>22</v>
      </c>
    </row>
    <row r="648" spans="1:19" x14ac:dyDescent="0.3">
      <c r="A648">
        <v>500647</v>
      </c>
      <c r="B648">
        <v>84086</v>
      </c>
      <c r="C648" t="s">
        <v>8</v>
      </c>
      <c r="D648" t="s">
        <v>19</v>
      </c>
      <c r="E648" s="1">
        <v>46008</v>
      </c>
      <c r="F648" t="s">
        <v>262</v>
      </c>
      <c r="G648" s="1">
        <v>46018</v>
      </c>
      <c r="H648" s="1" t="str">
        <f t="shared" si="20"/>
        <v>Saturday</v>
      </c>
      <c r="I648">
        <v>0</v>
      </c>
      <c r="J648" t="s">
        <v>15</v>
      </c>
      <c r="K648">
        <v>0</v>
      </c>
      <c r="L648">
        <v>0</v>
      </c>
      <c r="M648">
        <v>0</v>
      </c>
      <c r="N648">
        <v>0</v>
      </c>
      <c r="O648">
        <v>0</v>
      </c>
      <c r="P648" t="str">
        <f t="shared" si="21"/>
        <v>Non Chronic</v>
      </c>
      <c r="Q648">
        <v>0</v>
      </c>
      <c r="R648">
        <v>1</v>
      </c>
      <c r="S648" t="s">
        <v>30</v>
      </c>
    </row>
    <row r="649" spans="1:19" x14ac:dyDescent="0.3">
      <c r="A649">
        <v>500648</v>
      </c>
      <c r="B649">
        <v>82215</v>
      </c>
      <c r="C649" t="s">
        <v>4</v>
      </c>
      <c r="D649" t="s">
        <v>25</v>
      </c>
      <c r="E649" s="1">
        <v>46013</v>
      </c>
      <c r="F649" t="s">
        <v>103</v>
      </c>
      <c r="G649" s="1">
        <v>46015</v>
      </c>
      <c r="H649" s="1" t="str">
        <f t="shared" si="20"/>
        <v>Wednesday</v>
      </c>
      <c r="I649">
        <v>36</v>
      </c>
      <c r="J649" t="s">
        <v>17</v>
      </c>
      <c r="K649">
        <v>1</v>
      </c>
      <c r="L649">
        <v>0</v>
      </c>
      <c r="M649">
        <v>0</v>
      </c>
      <c r="N649">
        <v>0</v>
      </c>
      <c r="O649">
        <v>0</v>
      </c>
      <c r="P649" t="str">
        <f t="shared" si="21"/>
        <v>Non Chronic</v>
      </c>
      <c r="Q649">
        <v>1</v>
      </c>
      <c r="R649">
        <v>0</v>
      </c>
      <c r="S649" t="s">
        <v>22</v>
      </c>
    </row>
    <row r="650" spans="1:19" x14ac:dyDescent="0.3">
      <c r="A650">
        <v>500649</v>
      </c>
      <c r="B650">
        <v>89711</v>
      </c>
      <c r="C650" t="s">
        <v>4</v>
      </c>
      <c r="D650" t="s">
        <v>14</v>
      </c>
      <c r="E650" s="1">
        <v>46000</v>
      </c>
      <c r="F650" t="s">
        <v>518</v>
      </c>
      <c r="G650" s="1">
        <v>46005</v>
      </c>
      <c r="H650" s="1" t="str">
        <f t="shared" si="20"/>
        <v>Sunday</v>
      </c>
      <c r="I650">
        <v>33</v>
      </c>
      <c r="J650" t="s">
        <v>5</v>
      </c>
      <c r="K650">
        <v>0</v>
      </c>
      <c r="L650">
        <v>0</v>
      </c>
      <c r="M650">
        <v>0</v>
      </c>
      <c r="N650">
        <v>1</v>
      </c>
      <c r="O650">
        <v>0</v>
      </c>
      <c r="P650" t="str">
        <f t="shared" si="21"/>
        <v>Non Chronic</v>
      </c>
      <c r="Q650">
        <v>1</v>
      </c>
      <c r="R650">
        <v>0</v>
      </c>
      <c r="S650" t="s">
        <v>22</v>
      </c>
    </row>
    <row r="651" spans="1:19" x14ac:dyDescent="0.3">
      <c r="A651">
        <v>500650</v>
      </c>
      <c r="B651">
        <v>21452</v>
      </c>
      <c r="C651" t="s">
        <v>8</v>
      </c>
      <c r="D651" t="s">
        <v>14</v>
      </c>
      <c r="E651" s="1">
        <v>46107</v>
      </c>
      <c r="F651" t="s">
        <v>334</v>
      </c>
      <c r="G651" s="1">
        <v>46117</v>
      </c>
      <c r="H651" s="1" t="str">
        <f t="shared" si="20"/>
        <v>Sunday</v>
      </c>
      <c r="I651">
        <v>51</v>
      </c>
      <c r="J651" t="s">
        <v>10</v>
      </c>
      <c r="K651">
        <v>1</v>
      </c>
      <c r="L651">
        <v>0</v>
      </c>
      <c r="M651">
        <v>0</v>
      </c>
      <c r="N651">
        <v>1</v>
      </c>
      <c r="O651">
        <v>0</v>
      </c>
      <c r="P651" t="str">
        <f t="shared" si="21"/>
        <v>Non Chronic</v>
      </c>
      <c r="Q651">
        <v>1</v>
      </c>
      <c r="R651">
        <v>0</v>
      </c>
      <c r="S651" t="s">
        <v>0</v>
      </c>
    </row>
    <row r="652" spans="1:19" x14ac:dyDescent="0.3">
      <c r="A652">
        <v>500651</v>
      </c>
      <c r="B652">
        <v>66051</v>
      </c>
      <c r="C652" t="s">
        <v>8</v>
      </c>
      <c r="D652" t="s">
        <v>3</v>
      </c>
      <c r="E652" s="1">
        <v>46159</v>
      </c>
      <c r="F652" t="s">
        <v>660</v>
      </c>
      <c r="G652" s="1">
        <v>46160</v>
      </c>
      <c r="H652" s="1" t="str">
        <f t="shared" si="20"/>
        <v>Monday</v>
      </c>
      <c r="I652">
        <v>74</v>
      </c>
      <c r="J652" t="s">
        <v>20</v>
      </c>
      <c r="K652">
        <v>0</v>
      </c>
      <c r="L652">
        <v>1</v>
      </c>
      <c r="M652">
        <v>0</v>
      </c>
      <c r="N652">
        <v>0</v>
      </c>
      <c r="O652">
        <v>0</v>
      </c>
      <c r="P652" t="str">
        <f t="shared" si="21"/>
        <v>Chronic</v>
      </c>
      <c r="Q652">
        <v>0</v>
      </c>
      <c r="R652">
        <v>0</v>
      </c>
      <c r="S652" t="s">
        <v>9</v>
      </c>
    </row>
    <row r="653" spans="1:19" x14ac:dyDescent="0.3">
      <c r="A653">
        <v>500652</v>
      </c>
      <c r="B653">
        <v>64474</v>
      </c>
      <c r="C653" t="s">
        <v>8</v>
      </c>
      <c r="D653" t="s">
        <v>25</v>
      </c>
      <c r="E653" s="1">
        <v>46027</v>
      </c>
      <c r="F653" t="s">
        <v>659</v>
      </c>
      <c r="G653" s="1">
        <v>46028</v>
      </c>
      <c r="H653" s="1" t="str">
        <f t="shared" si="20"/>
        <v>Tuesday</v>
      </c>
      <c r="I653">
        <v>60</v>
      </c>
      <c r="J653" t="s">
        <v>31</v>
      </c>
      <c r="K653">
        <v>1</v>
      </c>
      <c r="L653">
        <v>0</v>
      </c>
      <c r="M653">
        <v>0</v>
      </c>
      <c r="N653">
        <v>0</v>
      </c>
      <c r="O653">
        <v>0</v>
      </c>
      <c r="P653" t="str">
        <f t="shared" si="21"/>
        <v>Non Chronic</v>
      </c>
      <c r="Q653">
        <v>1</v>
      </c>
      <c r="R653">
        <v>0</v>
      </c>
      <c r="S653" t="s">
        <v>0</v>
      </c>
    </row>
    <row r="654" spans="1:19" x14ac:dyDescent="0.3">
      <c r="A654">
        <v>500653</v>
      </c>
      <c r="B654">
        <v>78852</v>
      </c>
      <c r="C654" t="s">
        <v>8</v>
      </c>
      <c r="D654" t="s">
        <v>58</v>
      </c>
      <c r="E654" s="1">
        <v>46048</v>
      </c>
      <c r="F654" t="s">
        <v>21</v>
      </c>
      <c r="G654" s="1">
        <v>46051</v>
      </c>
      <c r="H654" s="1" t="str">
        <f t="shared" si="20"/>
        <v>Thursday</v>
      </c>
      <c r="I654">
        <v>32</v>
      </c>
      <c r="J654" t="s">
        <v>1</v>
      </c>
      <c r="K654">
        <v>1</v>
      </c>
      <c r="L654">
        <v>0</v>
      </c>
      <c r="M654">
        <v>0</v>
      </c>
      <c r="N654">
        <v>0</v>
      </c>
      <c r="O654">
        <v>0</v>
      </c>
      <c r="P654" t="str">
        <f t="shared" si="21"/>
        <v>Non Chronic</v>
      </c>
      <c r="Q654">
        <v>0</v>
      </c>
      <c r="R654">
        <v>0</v>
      </c>
      <c r="S654" t="s">
        <v>22</v>
      </c>
    </row>
    <row r="655" spans="1:19" x14ac:dyDescent="0.3">
      <c r="A655">
        <v>500654</v>
      </c>
      <c r="B655">
        <v>82851</v>
      </c>
      <c r="C655" t="s">
        <v>8</v>
      </c>
      <c r="D655" t="s">
        <v>28</v>
      </c>
      <c r="E655" s="1">
        <v>46083</v>
      </c>
      <c r="F655" t="s">
        <v>658</v>
      </c>
      <c r="G655" s="1">
        <v>46084</v>
      </c>
      <c r="H655" s="1" t="str">
        <f t="shared" si="20"/>
        <v>Tuesday</v>
      </c>
      <c r="I655">
        <v>15</v>
      </c>
      <c r="J655" t="s">
        <v>45</v>
      </c>
      <c r="K655">
        <v>0</v>
      </c>
      <c r="L655">
        <v>0</v>
      </c>
      <c r="M655">
        <v>0</v>
      </c>
      <c r="N655">
        <v>0</v>
      </c>
      <c r="O655">
        <v>0</v>
      </c>
      <c r="P655" t="str">
        <f t="shared" si="21"/>
        <v>Non Chronic</v>
      </c>
      <c r="Q655">
        <v>1</v>
      </c>
      <c r="R655">
        <v>0</v>
      </c>
      <c r="S655" t="s">
        <v>30</v>
      </c>
    </row>
    <row r="656" spans="1:19" x14ac:dyDescent="0.3">
      <c r="A656">
        <v>500655</v>
      </c>
      <c r="B656">
        <v>15535</v>
      </c>
      <c r="C656" t="s">
        <v>8</v>
      </c>
      <c r="D656" t="s">
        <v>25</v>
      </c>
      <c r="E656" s="1">
        <v>45998</v>
      </c>
      <c r="F656" t="s">
        <v>498</v>
      </c>
      <c r="G656" s="1">
        <v>46005</v>
      </c>
      <c r="H656" s="1" t="str">
        <f t="shared" si="20"/>
        <v>Sunday</v>
      </c>
      <c r="I656">
        <v>89</v>
      </c>
      <c r="J656" t="s">
        <v>10</v>
      </c>
      <c r="K656">
        <v>1</v>
      </c>
      <c r="L656">
        <v>1</v>
      </c>
      <c r="M656">
        <v>0</v>
      </c>
      <c r="N656">
        <v>0</v>
      </c>
      <c r="O656">
        <v>0</v>
      </c>
      <c r="P656" t="str">
        <f t="shared" si="21"/>
        <v>Chronic</v>
      </c>
      <c r="Q656">
        <v>1</v>
      </c>
      <c r="R656">
        <v>1</v>
      </c>
      <c r="S656" t="s">
        <v>9</v>
      </c>
    </row>
    <row r="657" spans="1:19" x14ac:dyDescent="0.3">
      <c r="A657">
        <v>500656</v>
      </c>
      <c r="B657">
        <v>97282</v>
      </c>
      <c r="C657" t="s">
        <v>8</v>
      </c>
      <c r="D657" t="s">
        <v>3</v>
      </c>
      <c r="E657" s="1">
        <v>46163</v>
      </c>
      <c r="F657" t="s">
        <v>657</v>
      </c>
      <c r="G657" s="1">
        <v>46170</v>
      </c>
      <c r="H657" s="1" t="str">
        <f t="shared" si="20"/>
        <v>Thursday</v>
      </c>
      <c r="I657">
        <v>39</v>
      </c>
      <c r="J657" t="s">
        <v>31</v>
      </c>
      <c r="K657">
        <v>1</v>
      </c>
      <c r="L657">
        <v>0</v>
      </c>
      <c r="M657">
        <v>0</v>
      </c>
      <c r="N657">
        <v>0</v>
      </c>
      <c r="O657">
        <v>0</v>
      </c>
      <c r="P657" t="str">
        <f t="shared" si="21"/>
        <v>Non Chronic</v>
      </c>
      <c r="Q657">
        <v>1</v>
      </c>
      <c r="R657">
        <v>0</v>
      </c>
      <c r="S657" t="s">
        <v>22</v>
      </c>
    </row>
    <row r="658" spans="1:19" x14ac:dyDescent="0.3">
      <c r="A658">
        <v>500657</v>
      </c>
      <c r="B658">
        <v>74625</v>
      </c>
      <c r="C658" t="s">
        <v>4</v>
      </c>
      <c r="D658" t="s">
        <v>19</v>
      </c>
      <c r="E658" s="1">
        <v>46124</v>
      </c>
      <c r="F658" t="s">
        <v>299</v>
      </c>
      <c r="G658" s="1">
        <v>46144</v>
      </c>
      <c r="H658" s="1" t="str">
        <f t="shared" si="20"/>
        <v>Saturday</v>
      </c>
      <c r="I658">
        <v>38</v>
      </c>
      <c r="J658" t="s">
        <v>1</v>
      </c>
      <c r="K658">
        <v>1</v>
      </c>
      <c r="L658">
        <v>0</v>
      </c>
      <c r="M658">
        <v>0</v>
      </c>
      <c r="N658">
        <v>0</v>
      </c>
      <c r="O658">
        <v>0</v>
      </c>
      <c r="P658" t="str">
        <f t="shared" si="21"/>
        <v>Non Chronic</v>
      </c>
      <c r="Q658">
        <v>1</v>
      </c>
      <c r="R658">
        <v>0</v>
      </c>
      <c r="S658" t="s">
        <v>22</v>
      </c>
    </row>
    <row r="659" spans="1:19" x14ac:dyDescent="0.3">
      <c r="A659">
        <v>500658</v>
      </c>
      <c r="B659">
        <v>25674</v>
      </c>
      <c r="C659" t="s">
        <v>8</v>
      </c>
      <c r="D659" t="s">
        <v>36</v>
      </c>
      <c r="E659" s="1">
        <v>46038</v>
      </c>
      <c r="F659" t="s">
        <v>398</v>
      </c>
      <c r="G659" s="1">
        <v>46039</v>
      </c>
      <c r="H659" s="1" t="str">
        <f t="shared" si="20"/>
        <v>Saturday</v>
      </c>
      <c r="I659">
        <v>37</v>
      </c>
      <c r="J659" t="s">
        <v>5</v>
      </c>
      <c r="K659">
        <v>0</v>
      </c>
      <c r="L659">
        <v>0</v>
      </c>
      <c r="M659">
        <v>0</v>
      </c>
      <c r="N659">
        <v>0</v>
      </c>
      <c r="O659">
        <v>0</v>
      </c>
      <c r="P659" t="str">
        <f t="shared" si="21"/>
        <v>Non Chronic</v>
      </c>
      <c r="Q659">
        <v>1</v>
      </c>
      <c r="R659">
        <v>0</v>
      </c>
      <c r="S659" t="s">
        <v>22</v>
      </c>
    </row>
    <row r="660" spans="1:19" x14ac:dyDescent="0.3">
      <c r="A660">
        <v>500659</v>
      </c>
      <c r="B660">
        <v>56843</v>
      </c>
      <c r="C660" t="s">
        <v>4</v>
      </c>
      <c r="D660" t="s">
        <v>36</v>
      </c>
      <c r="E660" s="1">
        <v>46055</v>
      </c>
      <c r="F660" t="s">
        <v>656</v>
      </c>
      <c r="G660" s="1">
        <v>46058</v>
      </c>
      <c r="H660" s="1" t="str">
        <f t="shared" si="20"/>
        <v>Thursday</v>
      </c>
      <c r="I660">
        <v>41</v>
      </c>
      <c r="J660" t="s">
        <v>5</v>
      </c>
      <c r="K660">
        <v>1</v>
      </c>
      <c r="L660">
        <v>0</v>
      </c>
      <c r="M660">
        <v>0</v>
      </c>
      <c r="N660">
        <v>0</v>
      </c>
      <c r="O660">
        <v>0</v>
      </c>
      <c r="P660" t="str">
        <f t="shared" si="21"/>
        <v>Non Chronic</v>
      </c>
      <c r="Q660">
        <v>1</v>
      </c>
      <c r="R660">
        <v>0</v>
      </c>
      <c r="S660" t="s">
        <v>0</v>
      </c>
    </row>
    <row r="661" spans="1:19" x14ac:dyDescent="0.3">
      <c r="A661">
        <v>500660</v>
      </c>
      <c r="B661">
        <v>20069</v>
      </c>
      <c r="C661" t="s">
        <v>4</v>
      </c>
      <c r="D661" t="s">
        <v>28</v>
      </c>
      <c r="E661" s="1">
        <v>45985</v>
      </c>
      <c r="F661" t="s">
        <v>655</v>
      </c>
      <c r="G661" s="1">
        <v>46005</v>
      </c>
      <c r="H661" s="1" t="str">
        <f t="shared" si="20"/>
        <v>Sunday</v>
      </c>
      <c r="I661">
        <v>35</v>
      </c>
      <c r="J661" t="s">
        <v>15</v>
      </c>
      <c r="K661">
        <v>0</v>
      </c>
      <c r="L661">
        <v>0</v>
      </c>
      <c r="M661">
        <v>0</v>
      </c>
      <c r="N661">
        <v>0</v>
      </c>
      <c r="O661">
        <v>0</v>
      </c>
      <c r="P661" t="str">
        <f t="shared" si="21"/>
        <v>Non Chronic</v>
      </c>
      <c r="Q661">
        <v>0</v>
      </c>
      <c r="R661">
        <v>0</v>
      </c>
      <c r="S661" t="s">
        <v>22</v>
      </c>
    </row>
    <row r="662" spans="1:19" x14ac:dyDescent="0.3">
      <c r="A662">
        <v>500661</v>
      </c>
      <c r="B662">
        <v>49462</v>
      </c>
      <c r="C662" t="s">
        <v>8</v>
      </c>
      <c r="D662" t="s">
        <v>19</v>
      </c>
      <c r="E662" s="1">
        <v>46137</v>
      </c>
      <c r="F662" t="s">
        <v>654</v>
      </c>
      <c r="G662" s="1">
        <v>46137</v>
      </c>
      <c r="H662" s="1" t="str">
        <f t="shared" si="20"/>
        <v>Saturday</v>
      </c>
      <c r="I662">
        <v>26</v>
      </c>
      <c r="J662" t="s">
        <v>15</v>
      </c>
      <c r="K662">
        <v>1</v>
      </c>
      <c r="L662">
        <v>0</v>
      </c>
      <c r="M662">
        <v>0</v>
      </c>
      <c r="N662">
        <v>0</v>
      </c>
      <c r="O662">
        <v>0</v>
      </c>
      <c r="P662" t="str">
        <f t="shared" si="21"/>
        <v>Non Chronic</v>
      </c>
      <c r="Q662">
        <v>1</v>
      </c>
      <c r="R662">
        <v>0</v>
      </c>
      <c r="S662" t="s">
        <v>22</v>
      </c>
    </row>
    <row r="663" spans="1:19" x14ac:dyDescent="0.3">
      <c r="A663">
        <v>500662</v>
      </c>
      <c r="B663">
        <v>73556</v>
      </c>
      <c r="C663" t="s">
        <v>8</v>
      </c>
      <c r="D663" t="s">
        <v>19</v>
      </c>
      <c r="E663" s="1">
        <v>45982</v>
      </c>
      <c r="F663" t="s">
        <v>164</v>
      </c>
      <c r="G663" s="1">
        <v>45987</v>
      </c>
      <c r="H663" s="1" t="str">
        <f t="shared" si="20"/>
        <v>Wednesday</v>
      </c>
      <c r="I663">
        <v>27</v>
      </c>
      <c r="J663" t="s">
        <v>31</v>
      </c>
      <c r="K663">
        <v>0</v>
      </c>
      <c r="L663">
        <v>0</v>
      </c>
      <c r="M663">
        <v>0</v>
      </c>
      <c r="N663">
        <v>0</v>
      </c>
      <c r="O663">
        <v>0</v>
      </c>
      <c r="P663" t="str">
        <f t="shared" si="21"/>
        <v>Non Chronic</v>
      </c>
      <c r="Q663">
        <v>0</v>
      </c>
      <c r="R663">
        <v>0</v>
      </c>
      <c r="S663" t="s">
        <v>22</v>
      </c>
    </row>
    <row r="664" spans="1:19" x14ac:dyDescent="0.3">
      <c r="A664">
        <v>500663</v>
      </c>
      <c r="B664">
        <v>83224</v>
      </c>
      <c r="C664" t="s">
        <v>4</v>
      </c>
      <c r="D664" t="s">
        <v>3</v>
      </c>
      <c r="E664" s="1">
        <v>46118</v>
      </c>
      <c r="F664" t="s">
        <v>582</v>
      </c>
      <c r="G664" s="1">
        <v>46119</v>
      </c>
      <c r="H664" s="1" t="str">
        <f t="shared" si="20"/>
        <v>Tuesday</v>
      </c>
      <c r="I664">
        <v>37</v>
      </c>
      <c r="J664" t="s">
        <v>10</v>
      </c>
      <c r="K664">
        <v>0</v>
      </c>
      <c r="L664">
        <v>0</v>
      </c>
      <c r="M664">
        <v>0</v>
      </c>
      <c r="N664">
        <v>0</v>
      </c>
      <c r="O664">
        <v>0</v>
      </c>
      <c r="P664" t="str">
        <f t="shared" si="21"/>
        <v>Non Chronic</v>
      </c>
      <c r="Q664">
        <v>1</v>
      </c>
      <c r="R664">
        <v>0</v>
      </c>
      <c r="S664" t="s">
        <v>22</v>
      </c>
    </row>
    <row r="665" spans="1:19" x14ac:dyDescent="0.3">
      <c r="A665">
        <v>500664</v>
      </c>
      <c r="B665">
        <v>57522</v>
      </c>
      <c r="C665" t="s">
        <v>4</v>
      </c>
      <c r="D665" t="s">
        <v>7</v>
      </c>
      <c r="E665" s="1">
        <v>46048</v>
      </c>
      <c r="F665" t="s">
        <v>653</v>
      </c>
      <c r="G665" s="1">
        <v>46050</v>
      </c>
      <c r="H665" s="1" t="str">
        <f t="shared" si="20"/>
        <v>Wednesday</v>
      </c>
      <c r="I665">
        <v>27</v>
      </c>
      <c r="J665" t="s">
        <v>1</v>
      </c>
      <c r="K665">
        <v>1</v>
      </c>
      <c r="L665">
        <v>0</v>
      </c>
      <c r="M665">
        <v>0</v>
      </c>
      <c r="N665">
        <v>0</v>
      </c>
      <c r="O665">
        <v>0</v>
      </c>
      <c r="P665" t="str">
        <f t="shared" si="21"/>
        <v>Non Chronic</v>
      </c>
      <c r="Q665">
        <v>0</v>
      </c>
      <c r="R665">
        <v>1</v>
      </c>
      <c r="S665" t="s">
        <v>22</v>
      </c>
    </row>
    <row r="666" spans="1:19" x14ac:dyDescent="0.3">
      <c r="A666">
        <v>500665</v>
      </c>
      <c r="B666">
        <v>26870</v>
      </c>
      <c r="C666" t="s">
        <v>4</v>
      </c>
      <c r="D666" t="s">
        <v>14</v>
      </c>
      <c r="E666" s="1">
        <v>45987</v>
      </c>
      <c r="F666" t="s">
        <v>170</v>
      </c>
      <c r="G666" s="1">
        <v>46017</v>
      </c>
      <c r="H666" s="1" t="str">
        <f t="shared" si="20"/>
        <v>Friday</v>
      </c>
      <c r="I666">
        <v>23</v>
      </c>
      <c r="J666" t="s">
        <v>5</v>
      </c>
      <c r="K666">
        <v>0</v>
      </c>
      <c r="L666">
        <v>0</v>
      </c>
      <c r="M666">
        <v>0</v>
      </c>
      <c r="N666">
        <v>0</v>
      </c>
      <c r="O666">
        <v>0</v>
      </c>
      <c r="P666" t="str">
        <f t="shared" si="21"/>
        <v>Non Chronic</v>
      </c>
      <c r="Q666">
        <v>1</v>
      </c>
      <c r="R666">
        <v>0</v>
      </c>
      <c r="S666" t="s">
        <v>22</v>
      </c>
    </row>
    <row r="667" spans="1:19" x14ac:dyDescent="0.3">
      <c r="A667">
        <v>500666</v>
      </c>
      <c r="B667">
        <v>24643</v>
      </c>
      <c r="C667" t="s">
        <v>4</v>
      </c>
      <c r="D667" t="s">
        <v>36</v>
      </c>
      <c r="E667" s="1">
        <v>46080</v>
      </c>
      <c r="F667" t="s">
        <v>652</v>
      </c>
      <c r="G667" s="1">
        <v>46081</v>
      </c>
      <c r="H667" s="1" t="str">
        <f t="shared" si="20"/>
        <v>Saturday</v>
      </c>
      <c r="I667">
        <v>40</v>
      </c>
      <c r="J667" t="s">
        <v>10</v>
      </c>
      <c r="K667">
        <v>1</v>
      </c>
      <c r="L667">
        <v>0</v>
      </c>
      <c r="M667">
        <v>0</v>
      </c>
      <c r="N667">
        <v>1</v>
      </c>
      <c r="O667">
        <v>0</v>
      </c>
      <c r="P667" t="str">
        <f t="shared" si="21"/>
        <v>Non Chronic</v>
      </c>
      <c r="Q667">
        <v>0</v>
      </c>
      <c r="R667">
        <v>0</v>
      </c>
      <c r="S667" t="s">
        <v>22</v>
      </c>
    </row>
    <row r="668" spans="1:19" x14ac:dyDescent="0.3">
      <c r="A668">
        <v>500667</v>
      </c>
      <c r="B668">
        <v>17768</v>
      </c>
      <c r="C668" t="s">
        <v>8</v>
      </c>
      <c r="D668" t="s">
        <v>58</v>
      </c>
      <c r="E668" s="1">
        <v>46112</v>
      </c>
      <c r="F668" t="s">
        <v>620</v>
      </c>
      <c r="G668" s="1">
        <v>46122</v>
      </c>
      <c r="H668" s="1" t="str">
        <f t="shared" si="20"/>
        <v>Friday</v>
      </c>
      <c r="I668">
        <v>32</v>
      </c>
      <c r="J668" t="s">
        <v>5</v>
      </c>
      <c r="K668">
        <v>0</v>
      </c>
      <c r="L668">
        <v>0</v>
      </c>
      <c r="M668">
        <v>0</v>
      </c>
      <c r="N668">
        <v>1</v>
      </c>
      <c r="O668">
        <v>0</v>
      </c>
      <c r="P668" t="str">
        <f t="shared" si="21"/>
        <v>Non Chronic</v>
      </c>
      <c r="Q668">
        <v>0</v>
      </c>
      <c r="R668">
        <v>0</v>
      </c>
      <c r="S668" t="s">
        <v>22</v>
      </c>
    </row>
    <row r="669" spans="1:19" x14ac:dyDescent="0.3">
      <c r="A669">
        <v>500668</v>
      </c>
      <c r="B669">
        <v>88878</v>
      </c>
      <c r="C669" t="s">
        <v>4</v>
      </c>
      <c r="D669" t="s">
        <v>14</v>
      </c>
      <c r="E669" s="1">
        <v>46125</v>
      </c>
      <c r="F669" t="s">
        <v>276</v>
      </c>
      <c r="G669" s="1">
        <v>46132</v>
      </c>
      <c r="H669" s="1" t="str">
        <f t="shared" si="20"/>
        <v>Monday</v>
      </c>
      <c r="I669">
        <v>68</v>
      </c>
      <c r="J669" t="s">
        <v>31</v>
      </c>
      <c r="K669">
        <v>1</v>
      </c>
      <c r="L669">
        <v>1</v>
      </c>
      <c r="M669">
        <v>1</v>
      </c>
      <c r="N669">
        <v>0</v>
      </c>
      <c r="O669">
        <v>0</v>
      </c>
      <c r="P669" t="str">
        <f t="shared" si="21"/>
        <v>Chronic</v>
      </c>
      <c r="Q669">
        <v>1</v>
      </c>
      <c r="R669">
        <v>0</v>
      </c>
      <c r="S669" t="s">
        <v>9</v>
      </c>
    </row>
    <row r="670" spans="1:19" x14ac:dyDescent="0.3">
      <c r="A670">
        <v>500669</v>
      </c>
      <c r="B670">
        <v>90341</v>
      </c>
      <c r="C670" t="s">
        <v>4</v>
      </c>
      <c r="D670" t="s">
        <v>58</v>
      </c>
      <c r="E670" s="1">
        <v>46109</v>
      </c>
      <c r="F670" t="s">
        <v>83</v>
      </c>
      <c r="G670" s="1">
        <v>46124</v>
      </c>
      <c r="H670" s="1" t="str">
        <f t="shared" si="20"/>
        <v>Sunday</v>
      </c>
      <c r="I670">
        <v>0</v>
      </c>
      <c r="J670" t="s">
        <v>15</v>
      </c>
      <c r="K670">
        <v>0</v>
      </c>
      <c r="L670">
        <v>0</v>
      </c>
      <c r="M670">
        <v>0</v>
      </c>
      <c r="N670">
        <v>0</v>
      </c>
      <c r="O670">
        <v>0</v>
      </c>
      <c r="P670" t="str">
        <f t="shared" si="21"/>
        <v>Non Chronic</v>
      </c>
      <c r="Q670">
        <v>0</v>
      </c>
      <c r="R670">
        <v>0</v>
      </c>
      <c r="S670" t="s">
        <v>30</v>
      </c>
    </row>
    <row r="671" spans="1:19" x14ac:dyDescent="0.3">
      <c r="A671">
        <v>500670</v>
      </c>
      <c r="B671">
        <v>35106</v>
      </c>
      <c r="C671" t="s">
        <v>8</v>
      </c>
      <c r="D671" t="s">
        <v>28</v>
      </c>
      <c r="E671" s="1">
        <v>46138</v>
      </c>
      <c r="F671" t="s">
        <v>206</v>
      </c>
      <c r="G671" s="1">
        <v>46148</v>
      </c>
      <c r="H671" s="1" t="str">
        <f t="shared" si="20"/>
        <v>Wednesday</v>
      </c>
      <c r="I671">
        <v>59</v>
      </c>
      <c r="J671" t="s">
        <v>12</v>
      </c>
      <c r="K671">
        <v>0</v>
      </c>
      <c r="L671">
        <v>0</v>
      </c>
      <c r="M671">
        <v>1</v>
      </c>
      <c r="N671">
        <v>0</v>
      </c>
      <c r="O671">
        <v>0</v>
      </c>
      <c r="P671" t="str">
        <f t="shared" si="21"/>
        <v>Chronic</v>
      </c>
      <c r="Q671">
        <v>1</v>
      </c>
      <c r="R671">
        <v>0</v>
      </c>
      <c r="S671" t="s">
        <v>0</v>
      </c>
    </row>
    <row r="672" spans="1:19" x14ac:dyDescent="0.3">
      <c r="A672">
        <v>500671</v>
      </c>
      <c r="B672">
        <v>67627</v>
      </c>
      <c r="C672" t="s">
        <v>4</v>
      </c>
      <c r="D672" t="s">
        <v>28</v>
      </c>
      <c r="E672" s="1">
        <v>45990</v>
      </c>
      <c r="F672" t="s">
        <v>651</v>
      </c>
      <c r="G672" s="1">
        <v>45992</v>
      </c>
      <c r="H672" s="1" t="str">
        <f t="shared" si="20"/>
        <v>Monday</v>
      </c>
      <c r="I672">
        <v>62</v>
      </c>
      <c r="J672" t="s">
        <v>20</v>
      </c>
      <c r="K672">
        <v>1</v>
      </c>
      <c r="L672">
        <v>0</v>
      </c>
      <c r="M672">
        <v>0</v>
      </c>
      <c r="N672">
        <v>0</v>
      </c>
      <c r="O672">
        <v>0</v>
      </c>
      <c r="P672" t="str">
        <f t="shared" si="21"/>
        <v>Non Chronic</v>
      </c>
      <c r="Q672">
        <v>1</v>
      </c>
      <c r="R672">
        <v>0</v>
      </c>
      <c r="S672" t="s">
        <v>9</v>
      </c>
    </row>
    <row r="673" spans="1:19" x14ac:dyDescent="0.3">
      <c r="A673">
        <v>500672</v>
      </c>
      <c r="B673">
        <v>74987</v>
      </c>
      <c r="C673" t="s">
        <v>8</v>
      </c>
      <c r="D673" t="s">
        <v>25</v>
      </c>
      <c r="E673" s="1">
        <v>46132</v>
      </c>
      <c r="F673" t="s">
        <v>650</v>
      </c>
      <c r="G673" s="1">
        <v>46142</v>
      </c>
      <c r="H673" s="1" t="str">
        <f t="shared" si="20"/>
        <v>Thursday</v>
      </c>
      <c r="I673">
        <v>0</v>
      </c>
      <c r="J673" t="s">
        <v>12</v>
      </c>
      <c r="K673">
        <v>0</v>
      </c>
      <c r="L673">
        <v>0</v>
      </c>
      <c r="M673">
        <v>0</v>
      </c>
      <c r="N673">
        <v>0</v>
      </c>
      <c r="O673">
        <v>0</v>
      </c>
      <c r="P673" t="str">
        <f t="shared" si="21"/>
        <v>Non Chronic</v>
      </c>
      <c r="Q673">
        <v>1</v>
      </c>
      <c r="R673">
        <v>0</v>
      </c>
      <c r="S673" t="s">
        <v>30</v>
      </c>
    </row>
    <row r="674" spans="1:19" x14ac:dyDescent="0.3">
      <c r="A674">
        <v>500673</v>
      </c>
      <c r="B674">
        <v>60434</v>
      </c>
      <c r="C674" t="s">
        <v>8</v>
      </c>
      <c r="D674" t="s">
        <v>7</v>
      </c>
      <c r="E674" s="1">
        <v>45994</v>
      </c>
      <c r="F674" t="s">
        <v>649</v>
      </c>
      <c r="G674" s="1">
        <v>46009</v>
      </c>
      <c r="H674" s="1" t="str">
        <f t="shared" si="20"/>
        <v>Thursday</v>
      </c>
      <c r="I674">
        <v>31</v>
      </c>
      <c r="J674" t="s">
        <v>1</v>
      </c>
      <c r="K674">
        <v>1</v>
      </c>
      <c r="L674">
        <v>0</v>
      </c>
      <c r="M674">
        <v>0</v>
      </c>
      <c r="N674">
        <v>0</v>
      </c>
      <c r="O674">
        <v>0</v>
      </c>
      <c r="P674" t="str">
        <f t="shared" si="21"/>
        <v>Non Chronic</v>
      </c>
      <c r="Q674">
        <v>1</v>
      </c>
      <c r="R674">
        <v>0</v>
      </c>
      <c r="S674" t="s">
        <v>22</v>
      </c>
    </row>
    <row r="675" spans="1:19" x14ac:dyDescent="0.3">
      <c r="A675">
        <v>500674</v>
      </c>
      <c r="B675">
        <v>66093</v>
      </c>
      <c r="C675" t="s">
        <v>4</v>
      </c>
      <c r="D675" t="s">
        <v>58</v>
      </c>
      <c r="E675" s="1">
        <v>46090</v>
      </c>
      <c r="F675" t="s">
        <v>388</v>
      </c>
      <c r="G675" s="1">
        <v>46120</v>
      </c>
      <c r="H675" s="1" t="str">
        <f t="shared" si="20"/>
        <v>Wednesday</v>
      </c>
      <c r="I675">
        <v>30</v>
      </c>
      <c r="J675" t="s">
        <v>10</v>
      </c>
      <c r="K675">
        <v>1</v>
      </c>
      <c r="L675">
        <v>0</v>
      </c>
      <c r="M675">
        <v>0</v>
      </c>
      <c r="N675">
        <v>0</v>
      </c>
      <c r="O675">
        <v>0</v>
      </c>
      <c r="P675" t="str">
        <f t="shared" si="21"/>
        <v>Non Chronic</v>
      </c>
      <c r="Q675">
        <v>1</v>
      </c>
      <c r="R675">
        <v>1</v>
      </c>
      <c r="S675" t="s">
        <v>22</v>
      </c>
    </row>
    <row r="676" spans="1:19" x14ac:dyDescent="0.3">
      <c r="A676">
        <v>500675</v>
      </c>
      <c r="B676">
        <v>67417</v>
      </c>
      <c r="C676" t="s">
        <v>4</v>
      </c>
      <c r="D676" t="s">
        <v>58</v>
      </c>
      <c r="E676" s="1">
        <v>46068</v>
      </c>
      <c r="F676" t="s">
        <v>343</v>
      </c>
      <c r="G676" s="1">
        <v>46071</v>
      </c>
      <c r="H676" s="1" t="str">
        <f t="shared" si="20"/>
        <v>Wednesday</v>
      </c>
      <c r="I676">
        <v>9</v>
      </c>
      <c r="J676" t="s">
        <v>31</v>
      </c>
      <c r="K676">
        <v>0</v>
      </c>
      <c r="L676">
        <v>0</v>
      </c>
      <c r="M676">
        <v>0</v>
      </c>
      <c r="N676">
        <v>0</v>
      </c>
      <c r="O676">
        <v>0</v>
      </c>
      <c r="P676" t="str">
        <f t="shared" si="21"/>
        <v>Non Chronic</v>
      </c>
      <c r="Q676">
        <v>1</v>
      </c>
      <c r="R676">
        <v>0</v>
      </c>
      <c r="S676" t="s">
        <v>30</v>
      </c>
    </row>
    <row r="677" spans="1:19" x14ac:dyDescent="0.3">
      <c r="A677">
        <v>500676</v>
      </c>
      <c r="B677">
        <v>32114</v>
      </c>
      <c r="C677" t="s">
        <v>4</v>
      </c>
      <c r="D677" t="s">
        <v>19</v>
      </c>
      <c r="E677" s="1">
        <v>46083</v>
      </c>
      <c r="F677" t="s">
        <v>590</v>
      </c>
      <c r="G677" s="1">
        <v>46098</v>
      </c>
      <c r="H677" s="1" t="str">
        <f t="shared" si="20"/>
        <v>Tuesday</v>
      </c>
      <c r="I677">
        <v>22</v>
      </c>
      <c r="J677" t="s">
        <v>45</v>
      </c>
      <c r="K677">
        <v>1</v>
      </c>
      <c r="L677">
        <v>0</v>
      </c>
      <c r="M677">
        <v>0</v>
      </c>
      <c r="N677">
        <v>0</v>
      </c>
      <c r="O677">
        <v>0</v>
      </c>
      <c r="P677" t="str">
        <f t="shared" si="21"/>
        <v>Non Chronic</v>
      </c>
      <c r="Q677">
        <v>1</v>
      </c>
      <c r="R677">
        <v>1</v>
      </c>
      <c r="S677" t="s">
        <v>22</v>
      </c>
    </row>
    <row r="678" spans="1:19" x14ac:dyDescent="0.3">
      <c r="A678">
        <v>500677</v>
      </c>
      <c r="B678">
        <v>65666</v>
      </c>
      <c r="C678" t="s">
        <v>8</v>
      </c>
      <c r="D678" t="s">
        <v>25</v>
      </c>
      <c r="E678" s="1">
        <v>46055</v>
      </c>
      <c r="F678" t="s">
        <v>648</v>
      </c>
      <c r="G678" s="1">
        <v>46062</v>
      </c>
      <c r="H678" s="1" t="str">
        <f t="shared" si="20"/>
        <v>Monday</v>
      </c>
      <c r="I678">
        <v>15</v>
      </c>
      <c r="J678" t="s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 t="str">
        <f t="shared" si="21"/>
        <v>Non Chronic</v>
      </c>
      <c r="Q678">
        <v>0</v>
      </c>
      <c r="R678">
        <v>0</v>
      </c>
      <c r="S678" t="s">
        <v>30</v>
      </c>
    </row>
    <row r="679" spans="1:19" x14ac:dyDescent="0.3">
      <c r="A679">
        <v>500678</v>
      </c>
      <c r="B679">
        <v>62459</v>
      </c>
      <c r="C679" t="s">
        <v>8</v>
      </c>
      <c r="D679" t="s">
        <v>7</v>
      </c>
      <c r="E679" s="1">
        <v>45988</v>
      </c>
      <c r="F679" t="s">
        <v>543</v>
      </c>
      <c r="G679" s="1">
        <v>45989</v>
      </c>
      <c r="H679" s="1" t="str">
        <f t="shared" si="20"/>
        <v>Friday</v>
      </c>
      <c r="I679">
        <v>73</v>
      </c>
      <c r="J679" t="s">
        <v>1</v>
      </c>
      <c r="K679">
        <v>1</v>
      </c>
      <c r="L679">
        <v>0</v>
      </c>
      <c r="M679">
        <v>0</v>
      </c>
      <c r="N679">
        <v>0</v>
      </c>
      <c r="O679">
        <v>0</v>
      </c>
      <c r="P679" t="str">
        <f t="shared" si="21"/>
        <v>Non Chronic</v>
      </c>
      <c r="Q679">
        <v>1</v>
      </c>
      <c r="R679">
        <v>0</v>
      </c>
      <c r="S679" t="s">
        <v>9</v>
      </c>
    </row>
    <row r="680" spans="1:19" x14ac:dyDescent="0.3">
      <c r="A680">
        <v>500679</v>
      </c>
      <c r="B680">
        <v>27643</v>
      </c>
      <c r="C680" t="s">
        <v>4</v>
      </c>
      <c r="D680" t="s">
        <v>58</v>
      </c>
      <c r="E680" s="1">
        <v>46067</v>
      </c>
      <c r="F680" t="s">
        <v>647</v>
      </c>
      <c r="G680" s="1">
        <v>46070</v>
      </c>
      <c r="H680" s="1" t="str">
        <f t="shared" si="20"/>
        <v>Tuesday</v>
      </c>
      <c r="I680">
        <v>56</v>
      </c>
      <c r="J680" t="s">
        <v>17</v>
      </c>
      <c r="K680">
        <v>0</v>
      </c>
      <c r="L680">
        <v>0</v>
      </c>
      <c r="M680">
        <v>1</v>
      </c>
      <c r="N680">
        <v>0</v>
      </c>
      <c r="O680">
        <v>0</v>
      </c>
      <c r="P680" t="str">
        <f t="shared" si="21"/>
        <v>Chronic</v>
      </c>
      <c r="Q680">
        <v>1</v>
      </c>
      <c r="R680">
        <v>0</v>
      </c>
      <c r="S680" t="s">
        <v>0</v>
      </c>
    </row>
    <row r="681" spans="1:19" x14ac:dyDescent="0.3">
      <c r="A681">
        <v>500680</v>
      </c>
      <c r="B681">
        <v>20029</v>
      </c>
      <c r="C681" t="s">
        <v>8</v>
      </c>
      <c r="D681" t="s">
        <v>7</v>
      </c>
      <c r="E681" s="1">
        <v>46021</v>
      </c>
      <c r="F681" t="s">
        <v>255</v>
      </c>
      <c r="G681" s="1">
        <v>46036</v>
      </c>
      <c r="H681" s="1" t="str">
        <f t="shared" si="20"/>
        <v>Wednesday</v>
      </c>
      <c r="I681">
        <v>63</v>
      </c>
      <c r="J681" t="s">
        <v>45</v>
      </c>
      <c r="K681">
        <v>1</v>
      </c>
      <c r="L681">
        <v>0</v>
      </c>
      <c r="M681">
        <v>0</v>
      </c>
      <c r="N681">
        <v>0</v>
      </c>
      <c r="O681">
        <v>0</v>
      </c>
      <c r="P681" t="str">
        <f t="shared" si="21"/>
        <v>Non Chronic</v>
      </c>
      <c r="Q681">
        <v>1</v>
      </c>
      <c r="R681">
        <v>0</v>
      </c>
      <c r="S681" t="s">
        <v>9</v>
      </c>
    </row>
    <row r="682" spans="1:19" x14ac:dyDescent="0.3">
      <c r="A682">
        <v>500681</v>
      </c>
      <c r="B682">
        <v>14141</v>
      </c>
      <c r="C682" t="s">
        <v>8</v>
      </c>
      <c r="D682" t="s">
        <v>58</v>
      </c>
      <c r="E682" s="1">
        <v>46149</v>
      </c>
      <c r="F682" t="s">
        <v>646</v>
      </c>
      <c r="G682" s="1">
        <v>46149</v>
      </c>
      <c r="H682" s="1" t="str">
        <f t="shared" si="20"/>
        <v>Thursday</v>
      </c>
      <c r="I682">
        <v>52</v>
      </c>
      <c r="J682" t="s">
        <v>23</v>
      </c>
      <c r="K682">
        <v>1</v>
      </c>
      <c r="L682">
        <v>1</v>
      </c>
      <c r="M682">
        <v>0</v>
      </c>
      <c r="N682">
        <v>0</v>
      </c>
      <c r="O682">
        <v>0</v>
      </c>
      <c r="P682" t="str">
        <f t="shared" si="21"/>
        <v>Chronic</v>
      </c>
      <c r="Q682">
        <v>1</v>
      </c>
      <c r="R682">
        <v>0</v>
      </c>
      <c r="S682" t="s">
        <v>0</v>
      </c>
    </row>
    <row r="683" spans="1:19" x14ac:dyDescent="0.3">
      <c r="A683">
        <v>500682</v>
      </c>
      <c r="B683">
        <v>49720</v>
      </c>
      <c r="C683" t="s">
        <v>4</v>
      </c>
      <c r="D683" t="s">
        <v>7</v>
      </c>
      <c r="E683" s="1">
        <v>45985</v>
      </c>
      <c r="F683" t="s">
        <v>13</v>
      </c>
      <c r="G683" s="1">
        <v>45986</v>
      </c>
      <c r="H683" s="1" t="str">
        <f t="shared" si="20"/>
        <v>Tuesday</v>
      </c>
      <c r="I683">
        <v>15</v>
      </c>
      <c r="J683" t="s">
        <v>23</v>
      </c>
      <c r="K683">
        <v>0</v>
      </c>
      <c r="L683">
        <v>0</v>
      </c>
      <c r="M683">
        <v>0</v>
      </c>
      <c r="N683">
        <v>0</v>
      </c>
      <c r="O683">
        <v>0</v>
      </c>
      <c r="P683" t="str">
        <f t="shared" si="21"/>
        <v>Non Chronic</v>
      </c>
      <c r="Q683">
        <v>1</v>
      </c>
      <c r="R683">
        <v>0</v>
      </c>
      <c r="S683" t="s">
        <v>30</v>
      </c>
    </row>
    <row r="684" spans="1:19" x14ac:dyDescent="0.3">
      <c r="A684">
        <v>500683</v>
      </c>
      <c r="B684">
        <v>24336</v>
      </c>
      <c r="C684" t="s">
        <v>8</v>
      </c>
      <c r="D684" t="s">
        <v>7</v>
      </c>
      <c r="E684" s="1">
        <v>46061</v>
      </c>
      <c r="F684" t="s">
        <v>258</v>
      </c>
      <c r="G684" s="1">
        <v>46064</v>
      </c>
      <c r="H684" s="1" t="str">
        <f t="shared" si="20"/>
        <v>Wednesday</v>
      </c>
      <c r="I684">
        <v>27</v>
      </c>
      <c r="J684" t="s">
        <v>10</v>
      </c>
      <c r="K684">
        <v>0</v>
      </c>
      <c r="L684">
        <v>0</v>
      </c>
      <c r="M684">
        <v>0</v>
      </c>
      <c r="N684">
        <v>0</v>
      </c>
      <c r="O684">
        <v>0</v>
      </c>
      <c r="P684" t="str">
        <f t="shared" si="21"/>
        <v>Non Chronic</v>
      </c>
      <c r="Q684">
        <v>1</v>
      </c>
      <c r="R684">
        <v>0</v>
      </c>
      <c r="S684" t="s">
        <v>22</v>
      </c>
    </row>
    <row r="685" spans="1:19" x14ac:dyDescent="0.3">
      <c r="A685">
        <v>500684</v>
      </c>
      <c r="B685">
        <v>90863</v>
      </c>
      <c r="C685" t="s">
        <v>8</v>
      </c>
      <c r="D685" t="s">
        <v>25</v>
      </c>
      <c r="E685" s="1">
        <v>46057</v>
      </c>
      <c r="F685" t="s">
        <v>645</v>
      </c>
      <c r="G685" s="1">
        <v>46060</v>
      </c>
      <c r="H685" s="1" t="str">
        <f t="shared" si="20"/>
        <v>Saturday</v>
      </c>
      <c r="I685">
        <v>47</v>
      </c>
      <c r="J685" t="s">
        <v>20</v>
      </c>
      <c r="K685">
        <v>0</v>
      </c>
      <c r="L685">
        <v>1</v>
      </c>
      <c r="M685">
        <v>1</v>
      </c>
      <c r="N685">
        <v>0</v>
      </c>
      <c r="O685">
        <v>0</v>
      </c>
      <c r="P685" t="str">
        <f t="shared" si="21"/>
        <v>Chronic</v>
      </c>
      <c r="Q685">
        <v>0</v>
      </c>
      <c r="R685">
        <v>1</v>
      </c>
      <c r="S685" t="s">
        <v>0</v>
      </c>
    </row>
    <row r="686" spans="1:19" x14ac:dyDescent="0.3">
      <c r="A686">
        <v>500685</v>
      </c>
      <c r="B686">
        <v>91940</v>
      </c>
      <c r="C686" t="s">
        <v>8</v>
      </c>
      <c r="D686" t="s">
        <v>3</v>
      </c>
      <c r="E686" s="1">
        <v>46129</v>
      </c>
      <c r="F686" t="s">
        <v>644</v>
      </c>
      <c r="G686" s="1">
        <v>46132</v>
      </c>
      <c r="H686" s="1" t="str">
        <f t="shared" si="20"/>
        <v>Monday</v>
      </c>
      <c r="I686">
        <v>13</v>
      </c>
      <c r="J686" t="s">
        <v>15</v>
      </c>
      <c r="K686">
        <v>0</v>
      </c>
      <c r="L686">
        <v>0</v>
      </c>
      <c r="M686">
        <v>0</v>
      </c>
      <c r="N686">
        <v>0</v>
      </c>
      <c r="O686">
        <v>0</v>
      </c>
      <c r="P686" t="str">
        <f t="shared" si="21"/>
        <v>Non Chronic</v>
      </c>
      <c r="Q686">
        <v>0</v>
      </c>
      <c r="R686">
        <v>0</v>
      </c>
      <c r="S686" t="s">
        <v>30</v>
      </c>
    </row>
    <row r="687" spans="1:19" x14ac:dyDescent="0.3">
      <c r="A687">
        <v>500686</v>
      </c>
      <c r="B687">
        <v>17398</v>
      </c>
      <c r="C687" t="s">
        <v>4</v>
      </c>
      <c r="D687" t="s">
        <v>14</v>
      </c>
      <c r="E687" s="1">
        <v>45986</v>
      </c>
      <c r="F687" t="s">
        <v>536</v>
      </c>
      <c r="G687" s="1">
        <v>45988</v>
      </c>
      <c r="H687" s="1" t="str">
        <f t="shared" si="20"/>
        <v>Thursday</v>
      </c>
      <c r="I687">
        <v>52</v>
      </c>
      <c r="J687" t="s">
        <v>45</v>
      </c>
      <c r="K687">
        <v>1</v>
      </c>
      <c r="L687">
        <v>0</v>
      </c>
      <c r="M687">
        <v>0</v>
      </c>
      <c r="N687">
        <v>1</v>
      </c>
      <c r="O687">
        <v>0</v>
      </c>
      <c r="P687" t="str">
        <f t="shared" si="21"/>
        <v>Non Chronic</v>
      </c>
      <c r="Q687">
        <v>1</v>
      </c>
      <c r="R687">
        <v>1</v>
      </c>
      <c r="S687" t="s">
        <v>0</v>
      </c>
    </row>
    <row r="688" spans="1:19" x14ac:dyDescent="0.3">
      <c r="A688">
        <v>500687</v>
      </c>
      <c r="B688">
        <v>52744</v>
      </c>
      <c r="C688" t="s">
        <v>4</v>
      </c>
      <c r="D688" t="s">
        <v>7</v>
      </c>
      <c r="E688" s="1">
        <v>46038</v>
      </c>
      <c r="F688" t="s">
        <v>643</v>
      </c>
      <c r="G688" s="1">
        <v>46048</v>
      </c>
      <c r="H688" s="1" t="str">
        <f t="shared" si="20"/>
        <v>Monday</v>
      </c>
      <c r="I688">
        <v>33</v>
      </c>
      <c r="J688" t="s">
        <v>23</v>
      </c>
      <c r="K688">
        <v>1</v>
      </c>
      <c r="L688">
        <v>0</v>
      </c>
      <c r="M688">
        <v>0</v>
      </c>
      <c r="N688">
        <v>0</v>
      </c>
      <c r="O688">
        <v>0</v>
      </c>
      <c r="P688" t="str">
        <f t="shared" si="21"/>
        <v>Non Chronic</v>
      </c>
      <c r="Q688">
        <v>1</v>
      </c>
      <c r="R688">
        <v>0</v>
      </c>
      <c r="S688" t="s">
        <v>22</v>
      </c>
    </row>
    <row r="689" spans="1:19" x14ac:dyDescent="0.3">
      <c r="A689">
        <v>500688</v>
      </c>
      <c r="B689">
        <v>59510</v>
      </c>
      <c r="C689" t="s">
        <v>8</v>
      </c>
      <c r="D689" t="s">
        <v>19</v>
      </c>
      <c r="E689" s="1">
        <v>46059</v>
      </c>
      <c r="F689" t="s">
        <v>642</v>
      </c>
      <c r="G689" s="1">
        <v>46060</v>
      </c>
      <c r="H689" s="1" t="str">
        <f t="shared" si="20"/>
        <v>Saturday</v>
      </c>
      <c r="I689">
        <v>30</v>
      </c>
      <c r="J689" t="s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 t="str">
        <f t="shared" si="21"/>
        <v>Non Chronic</v>
      </c>
      <c r="Q689">
        <v>1</v>
      </c>
      <c r="R689">
        <v>0</v>
      </c>
      <c r="S689" t="s">
        <v>22</v>
      </c>
    </row>
    <row r="690" spans="1:19" x14ac:dyDescent="0.3">
      <c r="A690">
        <v>500689</v>
      </c>
      <c r="B690">
        <v>75898</v>
      </c>
      <c r="C690" t="s">
        <v>8</v>
      </c>
      <c r="D690" t="s">
        <v>28</v>
      </c>
      <c r="E690" s="1">
        <v>46037</v>
      </c>
      <c r="F690" t="s">
        <v>641</v>
      </c>
      <c r="G690" s="1">
        <v>46052</v>
      </c>
      <c r="H690" s="1" t="str">
        <f t="shared" si="20"/>
        <v>Friday</v>
      </c>
      <c r="I690">
        <v>52</v>
      </c>
      <c r="J690" t="s">
        <v>1</v>
      </c>
      <c r="K690">
        <v>1</v>
      </c>
      <c r="L690">
        <v>0</v>
      </c>
      <c r="M690">
        <v>0</v>
      </c>
      <c r="N690">
        <v>0</v>
      </c>
      <c r="O690">
        <v>0</v>
      </c>
      <c r="P690" t="str">
        <f t="shared" si="21"/>
        <v>Non Chronic</v>
      </c>
      <c r="Q690">
        <v>0</v>
      </c>
      <c r="R690">
        <v>0</v>
      </c>
      <c r="S690" t="s">
        <v>0</v>
      </c>
    </row>
    <row r="691" spans="1:19" x14ac:dyDescent="0.3">
      <c r="A691">
        <v>500690</v>
      </c>
      <c r="B691">
        <v>80232</v>
      </c>
      <c r="C691" t="s">
        <v>4</v>
      </c>
      <c r="D691" t="s">
        <v>25</v>
      </c>
      <c r="E691" s="1">
        <v>46134</v>
      </c>
      <c r="F691" t="s">
        <v>180</v>
      </c>
      <c r="G691" s="1">
        <v>46141</v>
      </c>
      <c r="H691" s="1" t="str">
        <f t="shared" si="20"/>
        <v>Wednesday</v>
      </c>
      <c r="I691">
        <v>46</v>
      </c>
      <c r="J691" t="s">
        <v>5</v>
      </c>
      <c r="K691">
        <v>0</v>
      </c>
      <c r="L691">
        <v>1</v>
      </c>
      <c r="M691">
        <v>0</v>
      </c>
      <c r="N691">
        <v>0</v>
      </c>
      <c r="O691">
        <v>0</v>
      </c>
      <c r="P691" t="str">
        <f t="shared" si="21"/>
        <v>Chronic</v>
      </c>
      <c r="Q691">
        <v>0</v>
      </c>
      <c r="R691">
        <v>0</v>
      </c>
      <c r="S691" t="s">
        <v>0</v>
      </c>
    </row>
    <row r="692" spans="1:19" x14ac:dyDescent="0.3">
      <c r="A692">
        <v>500691</v>
      </c>
      <c r="B692">
        <v>85784</v>
      </c>
      <c r="C692" t="s">
        <v>4</v>
      </c>
      <c r="D692" t="s">
        <v>19</v>
      </c>
      <c r="E692" s="1">
        <v>46059</v>
      </c>
      <c r="F692" t="s">
        <v>640</v>
      </c>
      <c r="G692" s="1">
        <v>46064</v>
      </c>
      <c r="H692" s="1" t="str">
        <f t="shared" si="20"/>
        <v>Wednesday</v>
      </c>
      <c r="I692">
        <v>30</v>
      </c>
      <c r="J692" t="s">
        <v>5</v>
      </c>
      <c r="K692">
        <v>0</v>
      </c>
      <c r="L692">
        <v>0</v>
      </c>
      <c r="M692">
        <v>0</v>
      </c>
      <c r="N692">
        <v>0</v>
      </c>
      <c r="O692">
        <v>0</v>
      </c>
      <c r="P692" t="str">
        <f t="shared" si="21"/>
        <v>Non Chronic</v>
      </c>
      <c r="Q692">
        <v>1</v>
      </c>
      <c r="R692">
        <v>0</v>
      </c>
      <c r="S692" t="s">
        <v>22</v>
      </c>
    </row>
    <row r="693" spans="1:19" x14ac:dyDescent="0.3">
      <c r="A693">
        <v>500692</v>
      </c>
      <c r="B693">
        <v>20048</v>
      </c>
      <c r="C693" t="s">
        <v>8</v>
      </c>
      <c r="D693" t="s">
        <v>25</v>
      </c>
      <c r="E693" s="1">
        <v>46137</v>
      </c>
      <c r="F693" t="s">
        <v>93</v>
      </c>
      <c r="G693" s="1">
        <v>46147</v>
      </c>
      <c r="H693" s="1" t="str">
        <f t="shared" si="20"/>
        <v>Tuesday</v>
      </c>
      <c r="I693">
        <v>61</v>
      </c>
      <c r="J693" t="s">
        <v>23</v>
      </c>
      <c r="K693">
        <v>1</v>
      </c>
      <c r="L693">
        <v>1</v>
      </c>
      <c r="M693">
        <v>0</v>
      </c>
      <c r="N693">
        <v>0</v>
      </c>
      <c r="O693">
        <v>0</v>
      </c>
      <c r="P693" t="str">
        <f t="shared" si="21"/>
        <v>Chronic</v>
      </c>
      <c r="Q693">
        <v>1</v>
      </c>
      <c r="R693">
        <v>1</v>
      </c>
      <c r="S693" t="s">
        <v>9</v>
      </c>
    </row>
    <row r="694" spans="1:19" x14ac:dyDescent="0.3">
      <c r="A694">
        <v>500693</v>
      </c>
      <c r="B694">
        <v>77662</v>
      </c>
      <c r="C694" t="s">
        <v>4</v>
      </c>
      <c r="D694" t="s">
        <v>7</v>
      </c>
      <c r="E694" s="1">
        <v>46057</v>
      </c>
      <c r="F694" t="s">
        <v>347</v>
      </c>
      <c r="G694" s="1">
        <v>46064</v>
      </c>
      <c r="H694" s="1" t="str">
        <f t="shared" si="20"/>
        <v>Wednesday</v>
      </c>
      <c r="I694">
        <v>16</v>
      </c>
      <c r="J694" t="s">
        <v>45</v>
      </c>
      <c r="K694">
        <v>0</v>
      </c>
      <c r="L694">
        <v>0</v>
      </c>
      <c r="M694">
        <v>0</v>
      </c>
      <c r="N694">
        <v>0</v>
      </c>
      <c r="O694">
        <v>0</v>
      </c>
      <c r="P694" t="str">
        <f t="shared" si="21"/>
        <v>Non Chronic</v>
      </c>
      <c r="Q694">
        <v>0</v>
      </c>
      <c r="R694">
        <v>0</v>
      </c>
      <c r="S694" t="s">
        <v>30</v>
      </c>
    </row>
    <row r="695" spans="1:19" x14ac:dyDescent="0.3">
      <c r="A695">
        <v>500694</v>
      </c>
      <c r="B695">
        <v>45118</v>
      </c>
      <c r="C695" t="s">
        <v>8</v>
      </c>
      <c r="D695" t="s">
        <v>36</v>
      </c>
      <c r="E695" s="1">
        <v>46091</v>
      </c>
      <c r="F695" t="s">
        <v>104</v>
      </c>
      <c r="G695" s="1">
        <v>46101</v>
      </c>
      <c r="H695" s="1" t="str">
        <f t="shared" si="20"/>
        <v>Friday</v>
      </c>
      <c r="I695">
        <v>50</v>
      </c>
      <c r="J695" t="s">
        <v>12</v>
      </c>
      <c r="K695">
        <v>0</v>
      </c>
      <c r="L695">
        <v>0</v>
      </c>
      <c r="M695">
        <v>1</v>
      </c>
      <c r="N695">
        <v>0</v>
      </c>
      <c r="O695">
        <v>0</v>
      </c>
      <c r="P695" t="str">
        <f t="shared" si="21"/>
        <v>Chronic</v>
      </c>
      <c r="Q695">
        <v>1</v>
      </c>
      <c r="R695">
        <v>0</v>
      </c>
      <c r="S695" t="s">
        <v>0</v>
      </c>
    </row>
    <row r="696" spans="1:19" x14ac:dyDescent="0.3">
      <c r="A696">
        <v>500695</v>
      </c>
      <c r="B696">
        <v>51766</v>
      </c>
      <c r="C696" t="s">
        <v>4</v>
      </c>
      <c r="D696" t="s">
        <v>14</v>
      </c>
      <c r="E696" s="1">
        <v>46014</v>
      </c>
      <c r="F696" t="s">
        <v>568</v>
      </c>
      <c r="G696" s="1">
        <v>46021</v>
      </c>
      <c r="H696" s="1" t="str">
        <f t="shared" si="20"/>
        <v>Tuesday</v>
      </c>
      <c r="I696">
        <v>49</v>
      </c>
      <c r="J696" t="s">
        <v>23</v>
      </c>
      <c r="K696">
        <v>1</v>
      </c>
      <c r="L696">
        <v>0</v>
      </c>
      <c r="M696">
        <v>0</v>
      </c>
      <c r="N696">
        <v>0</v>
      </c>
      <c r="O696">
        <v>0</v>
      </c>
      <c r="P696" t="str">
        <f t="shared" si="21"/>
        <v>Non Chronic</v>
      </c>
      <c r="Q696">
        <v>1</v>
      </c>
      <c r="R696">
        <v>1</v>
      </c>
      <c r="S696" t="s">
        <v>0</v>
      </c>
    </row>
    <row r="697" spans="1:19" x14ac:dyDescent="0.3">
      <c r="A697">
        <v>500696</v>
      </c>
      <c r="B697">
        <v>35154</v>
      </c>
      <c r="C697" t="s">
        <v>4</v>
      </c>
      <c r="D697" t="s">
        <v>14</v>
      </c>
      <c r="E697" s="1">
        <v>46129</v>
      </c>
      <c r="F697" t="s">
        <v>639</v>
      </c>
      <c r="G697" s="1">
        <v>46159</v>
      </c>
      <c r="H697" s="1" t="str">
        <f t="shared" si="20"/>
        <v>Sunday</v>
      </c>
      <c r="I697">
        <v>31</v>
      </c>
      <c r="J697" t="s">
        <v>5</v>
      </c>
      <c r="K697">
        <v>1</v>
      </c>
      <c r="L697">
        <v>0</v>
      </c>
      <c r="M697">
        <v>0</v>
      </c>
      <c r="N697">
        <v>0</v>
      </c>
      <c r="O697">
        <v>0</v>
      </c>
      <c r="P697" t="str">
        <f t="shared" si="21"/>
        <v>Non Chronic</v>
      </c>
      <c r="Q697">
        <v>1</v>
      </c>
      <c r="R697">
        <v>0</v>
      </c>
      <c r="S697" t="s">
        <v>22</v>
      </c>
    </row>
    <row r="698" spans="1:19" x14ac:dyDescent="0.3">
      <c r="A698">
        <v>500697</v>
      </c>
      <c r="B698">
        <v>36475</v>
      </c>
      <c r="C698" t="s">
        <v>4</v>
      </c>
      <c r="D698" t="s">
        <v>25</v>
      </c>
      <c r="E698" s="1">
        <v>46113</v>
      </c>
      <c r="F698" t="s">
        <v>638</v>
      </c>
      <c r="G698" s="1">
        <v>46120</v>
      </c>
      <c r="H698" s="1" t="str">
        <f t="shared" si="20"/>
        <v>Wednesday</v>
      </c>
      <c r="I698">
        <v>44</v>
      </c>
      <c r="J698" t="s">
        <v>31</v>
      </c>
      <c r="K698">
        <v>0</v>
      </c>
      <c r="L698">
        <v>0</v>
      </c>
      <c r="M698">
        <v>0</v>
      </c>
      <c r="N698">
        <v>0</v>
      </c>
      <c r="O698">
        <v>0</v>
      </c>
      <c r="P698" t="str">
        <f t="shared" si="21"/>
        <v>Non Chronic</v>
      </c>
      <c r="Q698">
        <v>1</v>
      </c>
      <c r="R698">
        <v>0</v>
      </c>
      <c r="S698" t="s">
        <v>0</v>
      </c>
    </row>
    <row r="699" spans="1:19" x14ac:dyDescent="0.3">
      <c r="A699">
        <v>500698</v>
      </c>
      <c r="B699">
        <v>73680</v>
      </c>
      <c r="C699" t="s">
        <v>4</v>
      </c>
      <c r="D699" t="s">
        <v>36</v>
      </c>
      <c r="E699" s="1">
        <v>46130</v>
      </c>
      <c r="F699" t="s">
        <v>591</v>
      </c>
      <c r="G699" s="1">
        <v>46132</v>
      </c>
      <c r="H699" s="1" t="str">
        <f t="shared" si="20"/>
        <v>Monday</v>
      </c>
      <c r="I699">
        <v>12</v>
      </c>
      <c r="J699" t="s">
        <v>15</v>
      </c>
      <c r="K699">
        <v>0</v>
      </c>
      <c r="L699">
        <v>0</v>
      </c>
      <c r="M699">
        <v>0</v>
      </c>
      <c r="N699">
        <v>0</v>
      </c>
      <c r="O699">
        <v>0</v>
      </c>
      <c r="P699" t="str">
        <f t="shared" si="21"/>
        <v>Non Chronic</v>
      </c>
      <c r="Q699">
        <v>1</v>
      </c>
      <c r="R699">
        <v>1</v>
      </c>
      <c r="S699" t="s">
        <v>30</v>
      </c>
    </row>
    <row r="700" spans="1:19" x14ac:dyDescent="0.3">
      <c r="A700">
        <v>500699</v>
      </c>
      <c r="B700">
        <v>63347</v>
      </c>
      <c r="C700" t="s">
        <v>8</v>
      </c>
      <c r="D700" t="s">
        <v>58</v>
      </c>
      <c r="E700" s="1">
        <v>46055</v>
      </c>
      <c r="F700" t="s">
        <v>530</v>
      </c>
      <c r="G700" s="1">
        <v>46065</v>
      </c>
      <c r="H700" s="1" t="str">
        <f t="shared" si="20"/>
        <v>Thursday</v>
      </c>
      <c r="I700">
        <v>56</v>
      </c>
      <c r="J700" t="s">
        <v>23</v>
      </c>
      <c r="K700">
        <v>0</v>
      </c>
      <c r="L700">
        <v>1</v>
      </c>
      <c r="M700">
        <v>0</v>
      </c>
      <c r="N700">
        <v>0</v>
      </c>
      <c r="O700">
        <v>0</v>
      </c>
      <c r="P700" t="str">
        <f t="shared" si="21"/>
        <v>Chronic</v>
      </c>
      <c r="Q700">
        <v>1</v>
      </c>
      <c r="R700">
        <v>0</v>
      </c>
      <c r="S700" t="s">
        <v>0</v>
      </c>
    </row>
    <row r="701" spans="1:19" x14ac:dyDescent="0.3">
      <c r="A701">
        <v>500700</v>
      </c>
      <c r="B701">
        <v>78846</v>
      </c>
      <c r="C701" t="s">
        <v>8</v>
      </c>
      <c r="D701" t="s">
        <v>7</v>
      </c>
      <c r="E701" s="1">
        <v>46122</v>
      </c>
      <c r="F701" t="s">
        <v>6</v>
      </c>
      <c r="G701" s="1">
        <v>46137</v>
      </c>
      <c r="H701" s="1" t="str">
        <f t="shared" si="20"/>
        <v>Saturday</v>
      </c>
      <c r="I701">
        <v>34</v>
      </c>
      <c r="J701" t="s">
        <v>15</v>
      </c>
      <c r="K701">
        <v>0</v>
      </c>
      <c r="L701">
        <v>0</v>
      </c>
      <c r="M701">
        <v>0</v>
      </c>
      <c r="N701">
        <v>0</v>
      </c>
      <c r="O701">
        <v>0</v>
      </c>
      <c r="P701" t="str">
        <f t="shared" si="21"/>
        <v>Non Chronic</v>
      </c>
      <c r="Q701">
        <v>1</v>
      </c>
      <c r="R701">
        <v>0</v>
      </c>
      <c r="S701" t="s">
        <v>22</v>
      </c>
    </row>
    <row r="702" spans="1:19" x14ac:dyDescent="0.3">
      <c r="A702">
        <v>500701</v>
      </c>
      <c r="B702">
        <v>61111</v>
      </c>
      <c r="C702" t="s">
        <v>4</v>
      </c>
      <c r="D702" t="s">
        <v>3</v>
      </c>
      <c r="E702" s="1">
        <v>46122</v>
      </c>
      <c r="F702" t="s">
        <v>82</v>
      </c>
      <c r="G702" s="1">
        <v>46124</v>
      </c>
      <c r="H702" s="1" t="str">
        <f t="shared" si="20"/>
        <v>Sunday</v>
      </c>
      <c r="I702">
        <v>27</v>
      </c>
      <c r="J702" t="s">
        <v>45</v>
      </c>
      <c r="K702">
        <v>0</v>
      </c>
      <c r="L702">
        <v>0</v>
      </c>
      <c r="M702">
        <v>0</v>
      </c>
      <c r="N702">
        <v>0</v>
      </c>
      <c r="O702">
        <v>0</v>
      </c>
      <c r="P702" t="str">
        <f t="shared" si="21"/>
        <v>Non Chronic</v>
      </c>
      <c r="Q702">
        <v>1</v>
      </c>
      <c r="R702">
        <v>0</v>
      </c>
      <c r="S702" t="s">
        <v>22</v>
      </c>
    </row>
    <row r="703" spans="1:19" x14ac:dyDescent="0.3">
      <c r="A703">
        <v>500702</v>
      </c>
      <c r="B703">
        <v>87264</v>
      </c>
      <c r="C703" t="s">
        <v>4</v>
      </c>
      <c r="D703" t="s">
        <v>7</v>
      </c>
      <c r="E703" s="1">
        <v>46085</v>
      </c>
      <c r="F703" t="s">
        <v>296</v>
      </c>
      <c r="G703" s="1">
        <v>46087</v>
      </c>
      <c r="H703" s="1" t="str">
        <f t="shared" si="20"/>
        <v>Friday</v>
      </c>
      <c r="I703">
        <v>58</v>
      </c>
      <c r="J703" t="s">
        <v>12</v>
      </c>
      <c r="K703">
        <v>1</v>
      </c>
      <c r="L703">
        <v>0</v>
      </c>
      <c r="M703">
        <v>1</v>
      </c>
      <c r="N703">
        <v>0</v>
      </c>
      <c r="O703">
        <v>0</v>
      </c>
      <c r="P703" t="str">
        <f t="shared" si="21"/>
        <v>Chronic</v>
      </c>
      <c r="Q703">
        <v>1</v>
      </c>
      <c r="R703">
        <v>0</v>
      </c>
      <c r="S703" t="s">
        <v>0</v>
      </c>
    </row>
    <row r="704" spans="1:19" x14ac:dyDescent="0.3">
      <c r="A704">
        <v>500703</v>
      </c>
      <c r="B704">
        <v>28993</v>
      </c>
      <c r="C704" t="s">
        <v>8</v>
      </c>
      <c r="D704" t="s">
        <v>7</v>
      </c>
      <c r="E704" s="1">
        <v>46027</v>
      </c>
      <c r="F704" t="s">
        <v>289</v>
      </c>
      <c r="G704" s="1">
        <v>46057</v>
      </c>
      <c r="H704" s="1" t="str">
        <f t="shared" si="20"/>
        <v>Wednesday</v>
      </c>
      <c r="I704">
        <v>23</v>
      </c>
      <c r="J704" t="s">
        <v>20</v>
      </c>
      <c r="K704">
        <v>1</v>
      </c>
      <c r="L704">
        <v>0</v>
      </c>
      <c r="M704">
        <v>0</v>
      </c>
      <c r="N704">
        <v>1</v>
      </c>
      <c r="O704">
        <v>0</v>
      </c>
      <c r="P704" t="str">
        <f t="shared" si="21"/>
        <v>Non Chronic</v>
      </c>
      <c r="Q704">
        <v>1</v>
      </c>
      <c r="R704">
        <v>0</v>
      </c>
      <c r="S704" t="s">
        <v>22</v>
      </c>
    </row>
    <row r="705" spans="1:19" x14ac:dyDescent="0.3">
      <c r="A705">
        <v>500704</v>
      </c>
      <c r="B705">
        <v>96798</v>
      </c>
      <c r="C705" t="s">
        <v>4</v>
      </c>
      <c r="D705" t="s">
        <v>14</v>
      </c>
      <c r="E705" s="1">
        <v>46131</v>
      </c>
      <c r="F705" t="s">
        <v>515</v>
      </c>
      <c r="G705" s="1">
        <v>46136</v>
      </c>
      <c r="H705" s="1" t="str">
        <f t="shared" si="20"/>
        <v>Friday</v>
      </c>
      <c r="I705">
        <v>9</v>
      </c>
      <c r="J705" t="s">
        <v>5</v>
      </c>
      <c r="K705">
        <v>0</v>
      </c>
      <c r="L705">
        <v>0</v>
      </c>
      <c r="M705">
        <v>0</v>
      </c>
      <c r="N705">
        <v>0</v>
      </c>
      <c r="O705">
        <v>0</v>
      </c>
      <c r="P705" t="str">
        <f t="shared" si="21"/>
        <v>Non Chronic</v>
      </c>
      <c r="Q705">
        <v>1</v>
      </c>
      <c r="R705">
        <v>0</v>
      </c>
      <c r="S705" t="s">
        <v>30</v>
      </c>
    </row>
    <row r="706" spans="1:19" x14ac:dyDescent="0.3">
      <c r="A706">
        <v>500705</v>
      </c>
      <c r="B706">
        <v>57560</v>
      </c>
      <c r="C706" t="s">
        <v>4</v>
      </c>
      <c r="D706" t="s">
        <v>14</v>
      </c>
      <c r="E706" s="1">
        <v>46129</v>
      </c>
      <c r="F706" t="s">
        <v>637</v>
      </c>
      <c r="G706" s="1">
        <v>46132</v>
      </c>
      <c r="H706" s="1" t="str">
        <f t="shared" si="20"/>
        <v>Monday</v>
      </c>
      <c r="I706">
        <v>6</v>
      </c>
      <c r="J706" t="s">
        <v>10</v>
      </c>
      <c r="K706">
        <v>0</v>
      </c>
      <c r="L706">
        <v>0</v>
      </c>
      <c r="M706">
        <v>0</v>
      </c>
      <c r="N706">
        <v>0</v>
      </c>
      <c r="O706">
        <v>0</v>
      </c>
      <c r="P706" t="str">
        <f t="shared" si="21"/>
        <v>Non Chronic</v>
      </c>
      <c r="Q706">
        <v>0</v>
      </c>
      <c r="R706">
        <v>0</v>
      </c>
      <c r="S706" t="s">
        <v>30</v>
      </c>
    </row>
    <row r="707" spans="1:19" x14ac:dyDescent="0.3">
      <c r="A707">
        <v>500706</v>
      </c>
      <c r="B707">
        <v>43493</v>
      </c>
      <c r="C707" t="s">
        <v>8</v>
      </c>
      <c r="D707" t="s">
        <v>58</v>
      </c>
      <c r="E707" s="1">
        <v>46153</v>
      </c>
      <c r="F707" t="s">
        <v>114</v>
      </c>
      <c r="G707" s="1">
        <v>46160</v>
      </c>
      <c r="H707" s="1" t="str">
        <f t="shared" ref="H707:H770" si="22">TEXT(G707,"dddd")</f>
        <v>Monday</v>
      </c>
      <c r="I707">
        <v>50</v>
      </c>
      <c r="J707" t="s">
        <v>45</v>
      </c>
      <c r="K707">
        <v>1</v>
      </c>
      <c r="L707">
        <v>1</v>
      </c>
      <c r="M707">
        <v>0</v>
      </c>
      <c r="N707">
        <v>0</v>
      </c>
      <c r="O707">
        <v>0</v>
      </c>
      <c r="P707" t="str">
        <f t="shared" ref="P707:P770" si="23">IF(OR(L707=1,M707=1),"Chronic","Non Chronic")</f>
        <v>Chronic</v>
      </c>
      <c r="Q707">
        <v>0</v>
      </c>
      <c r="R707">
        <v>0</v>
      </c>
      <c r="S707" t="s">
        <v>0</v>
      </c>
    </row>
    <row r="708" spans="1:19" x14ac:dyDescent="0.3">
      <c r="A708">
        <v>500707</v>
      </c>
      <c r="B708">
        <v>63253</v>
      </c>
      <c r="C708" t="s">
        <v>4</v>
      </c>
      <c r="D708" t="s">
        <v>25</v>
      </c>
      <c r="E708" s="1">
        <v>46136</v>
      </c>
      <c r="F708" t="s">
        <v>290</v>
      </c>
      <c r="G708" s="1">
        <v>46151</v>
      </c>
      <c r="H708" s="1" t="str">
        <f t="shared" si="22"/>
        <v>Saturday</v>
      </c>
      <c r="I708">
        <v>12</v>
      </c>
      <c r="J708" t="s">
        <v>15</v>
      </c>
      <c r="K708">
        <v>0</v>
      </c>
      <c r="L708">
        <v>0</v>
      </c>
      <c r="M708">
        <v>0</v>
      </c>
      <c r="N708">
        <v>0</v>
      </c>
      <c r="O708">
        <v>0</v>
      </c>
      <c r="P708" t="str">
        <f t="shared" si="23"/>
        <v>Non Chronic</v>
      </c>
      <c r="Q708">
        <v>0</v>
      </c>
      <c r="R708">
        <v>0</v>
      </c>
      <c r="S708" t="s">
        <v>30</v>
      </c>
    </row>
    <row r="709" spans="1:19" x14ac:dyDescent="0.3">
      <c r="A709">
        <v>500708</v>
      </c>
      <c r="B709">
        <v>64127</v>
      </c>
      <c r="C709" t="s">
        <v>8</v>
      </c>
      <c r="D709" t="s">
        <v>3</v>
      </c>
      <c r="E709" s="1">
        <v>46044</v>
      </c>
      <c r="F709" t="s">
        <v>636</v>
      </c>
      <c r="G709" s="1">
        <v>46059</v>
      </c>
      <c r="H709" s="1" t="str">
        <f t="shared" si="22"/>
        <v>Friday</v>
      </c>
      <c r="I709">
        <v>73</v>
      </c>
      <c r="J709" t="s">
        <v>15</v>
      </c>
      <c r="K709">
        <v>0</v>
      </c>
      <c r="L709">
        <v>0</v>
      </c>
      <c r="M709">
        <v>0</v>
      </c>
      <c r="N709">
        <v>0</v>
      </c>
      <c r="O709">
        <v>0</v>
      </c>
      <c r="P709" t="str">
        <f t="shared" si="23"/>
        <v>Non Chronic</v>
      </c>
      <c r="Q709">
        <v>0</v>
      </c>
      <c r="R709">
        <v>0</v>
      </c>
      <c r="S709" t="s">
        <v>9</v>
      </c>
    </row>
    <row r="710" spans="1:19" x14ac:dyDescent="0.3">
      <c r="A710">
        <v>500709</v>
      </c>
      <c r="B710">
        <v>13584</v>
      </c>
      <c r="C710" t="s">
        <v>4</v>
      </c>
      <c r="D710" t="s">
        <v>28</v>
      </c>
      <c r="E710" s="1">
        <v>46009</v>
      </c>
      <c r="F710" t="s">
        <v>635</v>
      </c>
      <c r="G710" s="1">
        <v>46024</v>
      </c>
      <c r="H710" s="1" t="str">
        <f t="shared" si="22"/>
        <v>Friday</v>
      </c>
      <c r="I710">
        <v>0</v>
      </c>
      <c r="J710" t="s">
        <v>10</v>
      </c>
      <c r="K710">
        <v>0</v>
      </c>
      <c r="L710">
        <v>0</v>
      </c>
      <c r="M710">
        <v>0</v>
      </c>
      <c r="N710">
        <v>0</v>
      </c>
      <c r="O710">
        <v>0</v>
      </c>
      <c r="P710" t="str">
        <f t="shared" si="23"/>
        <v>Non Chronic</v>
      </c>
      <c r="Q710">
        <v>1</v>
      </c>
      <c r="R710">
        <v>1</v>
      </c>
      <c r="S710" t="s">
        <v>30</v>
      </c>
    </row>
    <row r="711" spans="1:19" x14ac:dyDescent="0.3">
      <c r="A711">
        <v>500710</v>
      </c>
      <c r="B711">
        <v>92352</v>
      </c>
      <c r="C711" t="s">
        <v>8</v>
      </c>
      <c r="D711" t="s">
        <v>19</v>
      </c>
      <c r="E711" s="1">
        <v>46141</v>
      </c>
      <c r="F711" t="s">
        <v>634</v>
      </c>
      <c r="G711" s="1">
        <v>46148</v>
      </c>
      <c r="H711" s="1" t="str">
        <f t="shared" si="22"/>
        <v>Wednesday</v>
      </c>
      <c r="I711">
        <v>71</v>
      </c>
      <c r="J711" t="s">
        <v>1</v>
      </c>
      <c r="K711">
        <v>0</v>
      </c>
      <c r="L711">
        <v>1</v>
      </c>
      <c r="M711">
        <v>0</v>
      </c>
      <c r="N711">
        <v>0</v>
      </c>
      <c r="O711">
        <v>0</v>
      </c>
      <c r="P711" t="str">
        <f t="shared" si="23"/>
        <v>Chronic</v>
      </c>
      <c r="Q711">
        <v>1</v>
      </c>
      <c r="R711">
        <v>0</v>
      </c>
      <c r="S711" t="s">
        <v>9</v>
      </c>
    </row>
    <row r="712" spans="1:19" x14ac:dyDescent="0.3">
      <c r="A712">
        <v>500711</v>
      </c>
      <c r="B712">
        <v>63780</v>
      </c>
      <c r="C712" t="s">
        <v>8</v>
      </c>
      <c r="D712" t="s">
        <v>7</v>
      </c>
      <c r="E712" s="1">
        <v>46058</v>
      </c>
      <c r="F712" t="s">
        <v>165</v>
      </c>
      <c r="G712" s="1">
        <v>46073</v>
      </c>
      <c r="H712" s="1" t="str">
        <f t="shared" si="22"/>
        <v>Friday</v>
      </c>
      <c r="I712">
        <v>42</v>
      </c>
      <c r="J712" t="s">
        <v>10</v>
      </c>
      <c r="K712">
        <v>0</v>
      </c>
      <c r="L712">
        <v>0</v>
      </c>
      <c r="M712">
        <v>0</v>
      </c>
      <c r="N712">
        <v>0</v>
      </c>
      <c r="O712">
        <v>0</v>
      </c>
      <c r="P712" t="str">
        <f t="shared" si="23"/>
        <v>Non Chronic</v>
      </c>
      <c r="Q712">
        <v>0</v>
      </c>
      <c r="R712">
        <v>1</v>
      </c>
      <c r="S712" t="s">
        <v>0</v>
      </c>
    </row>
    <row r="713" spans="1:19" x14ac:dyDescent="0.3">
      <c r="A713">
        <v>500712</v>
      </c>
      <c r="B713">
        <v>64328</v>
      </c>
      <c r="C713" t="s">
        <v>8</v>
      </c>
      <c r="D713" t="s">
        <v>28</v>
      </c>
      <c r="E713" s="1">
        <v>46148</v>
      </c>
      <c r="F713" t="s">
        <v>633</v>
      </c>
      <c r="G713" s="1">
        <v>46168</v>
      </c>
      <c r="H713" s="1" t="str">
        <f t="shared" si="22"/>
        <v>Tuesday</v>
      </c>
      <c r="I713">
        <v>36</v>
      </c>
      <c r="J713" t="s">
        <v>23</v>
      </c>
      <c r="K713">
        <v>1</v>
      </c>
      <c r="L713">
        <v>0</v>
      </c>
      <c r="M713">
        <v>0</v>
      </c>
      <c r="N713">
        <v>0</v>
      </c>
      <c r="O713">
        <v>0</v>
      </c>
      <c r="P713" t="str">
        <f t="shared" si="23"/>
        <v>Non Chronic</v>
      </c>
      <c r="Q713">
        <v>1</v>
      </c>
      <c r="R713">
        <v>0</v>
      </c>
      <c r="S713" t="s">
        <v>22</v>
      </c>
    </row>
    <row r="714" spans="1:19" x14ac:dyDescent="0.3">
      <c r="A714">
        <v>500713</v>
      </c>
      <c r="B714">
        <v>83207</v>
      </c>
      <c r="C714" t="s">
        <v>4</v>
      </c>
      <c r="D714" t="s">
        <v>58</v>
      </c>
      <c r="E714" s="1">
        <v>46061</v>
      </c>
      <c r="F714" t="s">
        <v>545</v>
      </c>
      <c r="G714" s="1">
        <v>46076</v>
      </c>
      <c r="H714" s="1" t="str">
        <f t="shared" si="22"/>
        <v>Monday</v>
      </c>
      <c r="I714">
        <v>27</v>
      </c>
      <c r="J714" t="s">
        <v>10</v>
      </c>
      <c r="K714">
        <v>0</v>
      </c>
      <c r="L714">
        <v>0</v>
      </c>
      <c r="M714">
        <v>0</v>
      </c>
      <c r="N714">
        <v>0</v>
      </c>
      <c r="O714">
        <v>0</v>
      </c>
      <c r="P714" t="str">
        <f t="shared" si="23"/>
        <v>Non Chronic</v>
      </c>
      <c r="Q714">
        <v>1</v>
      </c>
      <c r="R714">
        <v>0</v>
      </c>
      <c r="S714" t="s">
        <v>22</v>
      </c>
    </row>
    <row r="715" spans="1:19" x14ac:dyDescent="0.3">
      <c r="A715">
        <v>500714</v>
      </c>
      <c r="B715">
        <v>88694</v>
      </c>
      <c r="C715" t="s">
        <v>8</v>
      </c>
      <c r="D715" t="s">
        <v>28</v>
      </c>
      <c r="E715" s="1">
        <v>46007</v>
      </c>
      <c r="F715" t="s">
        <v>632</v>
      </c>
      <c r="G715" s="1">
        <v>46007</v>
      </c>
      <c r="H715" s="1" t="str">
        <f t="shared" si="22"/>
        <v>Tuesday</v>
      </c>
      <c r="I715">
        <v>45</v>
      </c>
      <c r="J715" t="s">
        <v>15</v>
      </c>
      <c r="K715">
        <v>1</v>
      </c>
      <c r="L715">
        <v>0</v>
      </c>
      <c r="M715">
        <v>1</v>
      </c>
      <c r="N715">
        <v>0</v>
      </c>
      <c r="O715">
        <v>0</v>
      </c>
      <c r="P715" t="str">
        <f t="shared" si="23"/>
        <v>Chronic</v>
      </c>
      <c r="Q715">
        <v>1</v>
      </c>
      <c r="R715">
        <v>0</v>
      </c>
      <c r="S715" t="s">
        <v>0</v>
      </c>
    </row>
    <row r="716" spans="1:19" x14ac:dyDescent="0.3">
      <c r="A716">
        <v>500715</v>
      </c>
      <c r="B716">
        <v>69468</v>
      </c>
      <c r="C716" t="s">
        <v>8</v>
      </c>
      <c r="D716" t="s">
        <v>58</v>
      </c>
      <c r="E716" s="1">
        <v>46037</v>
      </c>
      <c r="F716" t="s">
        <v>631</v>
      </c>
      <c r="G716" s="1">
        <v>46052</v>
      </c>
      <c r="H716" s="1" t="str">
        <f t="shared" si="22"/>
        <v>Friday</v>
      </c>
      <c r="I716">
        <v>37</v>
      </c>
      <c r="J716" t="s">
        <v>45</v>
      </c>
      <c r="K716">
        <v>0</v>
      </c>
      <c r="L716">
        <v>0</v>
      </c>
      <c r="M716">
        <v>0</v>
      </c>
      <c r="N716">
        <v>0</v>
      </c>
      <c r="O716">
        <v>0</v>
      </c>
      <c r="P716" t="str">
        <f t="shared" si="23"/>
        <v>Non Chronic</v>
      </c>
      <c r="Q716">
        <v>0</v>
      </c>
      <c r="R716">
        <v>1</v>
      </c>
      <c r="S716" t="s">
        <v>22</v>
      </c>
    </row>
    <row r="717" spans="1:19" x14ac:dyDescent="0.3">
      <c r="A717">
        <v>500716</v>
      </c>
      <c r="B717">
        <v>74771</v>
      </c>
      <c r="C717" t="s">
        <v>8</v>
      </c>
      <c r="D717" t="s">
        <v>28</v>
      </c>
      <c r="E717" s="1">
        <v>46039</v>
      </c>
      <c r="F717" t="s">
        <v>630</v>
      </c>
      <c r="G717" s="1">
        <v>46042</v>
      </c>
      <c r="H717" s="1" t="str">
        <f t="shared" si="22"/>
        <v>Tuesday</v>
      </c>
      <c r="I717">
        <v>60</v>
      </c>
      <c r="J717" t="s">
        <v>23</v>
      </c>
      <c r="K717">
        <v>0</v>
      </c>
      <c r="L717">
        <v>0</v>
      </c>
      <c r="M717">
        <v>0</v>
      </c>
      <c r="N717">
        <v>0</v>
      </c>
      <c r="O717">
        <v>0</v>
      </c>
      <c r="P717" t="str">
        <f t="shared" si="23"/>
        <v>Non Chronic</v>
      </c>
      <c r="Q717">
        <v>1</v>
      </c>
      <c r="R717">
        <v>1</v>
      </c>
      <c r="S717" t="s">
        <v>0</v>
      </c>
    </row>
    <row r="718" spans="1:19" x14ac:dyDescent="0.3">
      <c r="A718">
        <v>500717</v>
      </c>
      <c r="B718">
        <v>48036</v>
      </c>
      <c r="C718" t="s">
        <v>8</v>
      </c>
      <c r="D718" t="s">
        <v>14</v>
      </c>
      <c r="E718" s="1">
        <v>46103</v>
      </c>
      <c r="F718" t="s">
        <v>196</v>
      </c>
      <c r="G718" s="1">
        <v>46106</v>
      </c>
      <c r="H718" s="1" t="str">
        <f t="shared" si="22"/>
        <v>Wednesday</v>
      </c>
      <c r="I718">
        <v>40</v>
      </c>
      <c r="J718" t="s">
        <v>1</v>
      </c>
      <c r="K718">
        <v>1</v>
      </c>
      <c r="L718">
        <v>0</v>
      </c>
      <c r="M718">
        <v>0</v>
      </c>
      <c r="N718">
        <v>0</v>
      </c>
      <c r="O718">
        <v>0</v>
      </c>
      <c r="P718" t="str">
        <f t="shared" si="23"/>
        <v>Non Chronic</v>
      </c>
      <c r="Q718">
        <v>1</v>
      </c>
      <c r="R718">
        <v>0</v>
      </c>
      <c r="S718" t="s">
        <v>22</v>
      </c>
    </row>
    <row r="719" spans="1:19" x14ac:dyDescent="0.3">
      <c r="A719">
        <v>500718</v>
      </c>
      <c r="B719">
        <v>11352</v>
      </c>
      <c r="C719" t="s">
        <v>8</v>
      </c>
      <c r="D719" t="s">
        <v>28</v>
      </c>
      <c r="E719" s="1">
        <v>46070</v>
      </c>
      <c r="F719" t="s">
        <v>629</v>
      </c>
      <c r="G719" s="1">
        <v>46080</v>
      </c>
      <c r="H719" s="1" t="str">
        <f t="shared" si="22"/>
        <v>Friday</v>
      </c>
      <c r="I719">
        <v>41</v>
      </c>
      <c r="J719" t="s">
        <v>20</v>
      </c>
      <c r="K719">
        <v>1</v>
      </c>
      <c r="L719">
        <v>0</v>
      </c>
      <c r="M719">
        <v>0</v>
      </c>
      <c r="N719">
        <v>0</v>
      </c>
      <c r="O719">
        <v>0</v>
      </c>
      <c r="P719" t="str">
        <f t="shared" si="23"/>
        <v>Non Chronic</v>
      </c>
      <c r="Q719">
        <v>0</v>
      </c>
      <c r="R719">
        <v>1</v>
      </c>
      <c r="S719" t="s">
        <v>0</v>
      </c>
    </row>
    <row r="720" spans="1:19" x14ac:dyDescent="0.3">
      <c r="A720">
        <v>500719</v>
      </c>
      <c r="B720">
        <v>22488</v>
      </c>
      <c r="C720" t="s">
        <v>4</v>
      </c>
      <c r="D720" t="s">
        <v>36</v>
      </c>
      <c r="E720" s="1">
        <v>46026</v>
      </c>
      <c r="F720" t="s">
        <v>628</v>
      </c>
      <c r="G720" s="1">
        <v>46029</v>
      </c>
      <c r="H720" s="1" t="str">
        <f t="shared" si="22"/>
        <v>Wednesday</v>
      </c>
      <c r="I720">
        <v>30</v>
      </c>
      <c r="J720" t="s">
        <v>20</v>
      </c>
      <c r="K720">
        <v>0</v>
      </c>
      <c r="L720">
        <v>0</v>
      </c>
      <c r="M720">
        <v>0</v>
      </c>
      <c r="N720">
        <v>0</v>
      </c>
      <c r="O720">
        <v>0</v>
      </c>
      <c r="P720" t="str">
        <f t="shared" si="23"/>
        <v>Non Chronic</v>
      </c>
      <c r="Q720">
        <v>1</v>
      </c>
      <c r="R720">
        <v>0</v>
      </c>
      <c r="S720" t="s">
        <v>22</v>
      </c>
    </row>
    <row r="721" spans="1:19" x14ac:dyDescent="0.3">
      <c r="A721">
        <v>500720</v>
      </c>
      <c r="B721">
        <v>88411</v>
      </c>
      <c r="C721" t="s">
        <v>4</v>
      </c>
      <c r="D721" t="s">
        <v>36</v>
      </c>
      <c r="E721" s="1">
        <v>46128</v>
      </c>
      <c r="F721" t="s">
        <v>319</v>
      </c>
      <c r="G721" s="1">
        <v>46131</v>
      </c>
      <c r="H721" s="1" t="str">
        <f t="shared" si="22"/>
        <v>Sunday</v>
      </c>
      <c r="I721">
        <v>36</v>
      </c>
      <c r="J721" t="s">
        <v>5</v>
      </c>
      <c r="K721">
        <v>1</v>
      </c>
      <c r="L721">
        <v>0</v>
      </c>
      <c r="M721">
        <v>0</v>
      </c>
      <c r="N721">
        <v>0</v>
      </c>
      <c r="O721">
        <v>0</v>
      </c>
      <c r="P721" t="str">
        <f t="shared" si="23"/>
        <v>Non Chronic</v>
      </c>
      <c r="Q721">
        <v>1</v>
      </c>
      <c r="R721">
        <v>0</v>
      </c>
      <c r="S721" t="s">
        <v>22</v>
      </c>
    </row>
    <row r="722" spans="1:19" x14ac:dyDescent="0.3">
      <c r="A722">
        <v>500721</v>
      </c>
      <c r="B722">
        <v>83342</v>
      </c>
      <c r="C722" t="s">
        <v>4</v>
      </c>
      <c r="D722" t="s">
        <v>28</v>
      </c>
      <c r="E722" s="1">
        <v>45999</v>
      </c>
      <c r="F722" t="s">
        <v>627</v>
      </c>
      <c r="G722" s="1">
        <v>46019</v>
      </c>
      <c r="H722" s="1" t="str">
        <f t="shared" si="22"/>
        <v>Sunday</v>
      </c>
      <c r="I722">
        <v>44</v>
      </c>
      <c r="J722" t="s">
        <v>5</v>
      </c>
      <c r="K722">
        <v>0</v>
      </c>
      <c r="L722">
        <v>0</v>
      </c>
      <c r="M722">
        <v>0</v>
      </c>
      <c r="N722">
        <v>0</v>
      </c>
      <c r="O722">
        <v>0</v>
      </c>
      <c r="P722" t="str">
        <f t="shared" si="23"/>
        <v>Non Chronic</v>
      </c>
      <c r="Q722">
        <v>1</v>
      </c>
      <c r="R722">
        <v>1</v>
      </c>
      <c r="S722" t="s">
        <v>0</v>
      </c>
    </row>
    <row r="723" spans="1:19" x14ac:dyDescent="0.3">
      <c r="A723">
        <v>500722</v>
      </c>
      <c r="B723">
        <v>79523</v>
      </c>
      <c r="C723" t="s">
        <v>8</v>
      </c>
      <c r="D723" t="s">
        <v>28</v>
      </c>
      <c r="E723" s="1">
        <v>46119</v>
      </c>
      <c r="F723" t="s">
        <v>626</v>
      </c>
      <c r="G723" s="1">
        <v>46120</v>
      </c>
      <c r="H723" s="1" t="str">
        <f t="shared" si="22"/>
        <v>Wednesday</v>
      </c>
      <c r="I723">
        <v>3</v>
      </c>
      <c r="J723" t="s">
        <v>5</v>
      </c>
      <c r="K723">
        <v>0</v>
      </c>
      <c r="L723">
        <v>0</v>
      </c>
      <c r="M723">
        <v>0</v>
      </c>
      <c r="N723">
        <v>0</v>
      </c>
      <c r="O723">
        <v>0</v>
      </c>
      <c r="P723" t="str">
        <f t="shared" si="23"/>
        <v>Non Chronic</v>
      </c>
      <c r="Q723">
        <v>1</v>
      </c>
      <c r="R723">
        <v>1</v>
      </c>
      <c r="S723" t="s">
        <v>30</v>
      </c>
    </row>
    <row r="724" spans="1:19" x14ac:dyDescent="0.3">
      <c r="A724">
        <v>500723</v>
      </c>
      <c r="B724">
        <v>46831</v>
      </c>
      <c r="C724" t="s">
        <v>8</v>
      </c>
      <c r="D724" t="s">
        <v>3</v>
      </c>
      <c r="E724" s="1">
        <v>46154</v>
      </c>
      <c r="F724" t="s">
        <v>625</v>
      </c>
      <c r="G724" s="1">
        <v>46174</v>
      </c>
      <c r="H724" s="1" t="str">
        <f t="shared" si="22"/>
        <v>Monday</v>
      </c>
      <c r="I724">
        <v>11</v>
      </c>
      <c r="J724" t="s">
        <v>5</v>
      </c>
      <c r="K724">
        <v>0</v>
      </c>
      <c r="L724">
        <v>0</v>
      </c>
      <c r="M724">
        <v>0</v>
      </c>
      <c r="N724">
        <v>0</v>
      </c>
      <c r="O724">
        <v>0</v>
      </c>
      <c r="P724" t="str">
        <f t="shared" si="23"/>
        <v>Non Chronic</v>
      </c>
      <c r="Q724">
        <v>1</v>
      </c>
      <c r="R724">
        <v>0</v>
      </c>
      <c r="S724" t="s">
        <v>30</v>
      </c>
    </row>
    <row r="725" spans="1:19" x14ac:dyDescent="0.3">
      <c r="A725">
        <v>500724</v>
      </c>
      <c r="B725">
        <v>44571</v>
      </c>
      <c r="C725" t="s">
        <v>8</v>
      </c>
      <c r="D725" t="s">
        <v>3</v>
      </c>
      <c r="E725" s="1">
        <v>46050</v>
      </c>
      <c r="F725" t="s">
        <v>624</v>
      </c>
      <c r="G725" s="1">
        <v>46055</v>
      </c>
      <c r="H725" s="1" t="str">
        <f t="shared" si="22"/>
        <v>Monday</v>
      </c>
      <c r="I725">
        <v>52</v>
      </c>
      <c r="J725" t="s">
        <v>31</v>
      </c>
      <c r="K725">
        <v>1</v>
      </c>
      <c r="L725">
        <v>0</v>
      </c>
      <c r="M725">
        <v>0</v>
      </c>
      <c r="N725">
        <v>0</v>
      </c>
      <c r="O725">
        <v>0</v>
      </c>
      <c r="P725" t="str">
        <f t="shared" si="23"/>
        <v>Non Chronic</v>
      </c>
      <c r="Q725">
        <v>0</v>
      </c>
      <c r="R725">
        <v>0</v>
      </c>
      <c r="S725" t="s">
        <v>0</v>
      </c>
    </row>
    <row r="726" spans="1:19" x14ac:dyDescent="0.3">
      <c r="A726">
        <v>500725</v>
      </c>
      <c r="B726">
        <v>67670</v>
      </c>
      <c r="C726" t="s">
        <v>4</v>
      </c>
      <c r="D726" t="s">
        <v>14</v>
      </c>
      <c r="E726" s="1">
        <v>46064</v>
      </c>
      <c r="F726" t="s">
        <v>554</v>
      </c>
      <c r="G726" s="1">
        <v>46066</v>
      </c>
      <c r="H726" s="1" t="str">
        <f t="shared" si="22"/>
        <v>Friday</v>
      </c>
      <c r="I726">
        <v>41</v>
      </c>
      <c r="J726" t="s">
        <v>31</v>
      </c>
      <c r="K726">
        <v>0</v>
      </c>
      <c r="L726">
        <v>0</v>
      </c>
      <c r="M726">
        <v>0</v>
      </c>
      <c r="N726">
        <v>1</v>
      </c>
      <c r="O726">
        <v>0</v>
      </c>
      <c r="P726" t="str">
        <f t="shared" si="23"/>
        <v>Non Chronic</v>
      </c>
      <c r="Q726">
        <v>1</v>
      </c>
      <c r="R726">
        <v>0</v>
      </c>
      <c r="S726" t="s">
        <v>0</v>
      </c>
    </row>
    <row r="727" spans="1:19" x14ac:dyDescent="0.3">
      <c r="A727">
        <v>500726</v>
      </c>
      <c r="B727">
        <v>74868</v>
      </c>
      <c r="C727" t="s">
        <v>4</v>
      </c>
      <c r="D727" t="s">
        <v>7</v>
      </c>
      <c r="E727" s="1">
        <v>46032</v>
      </c>
      <c r="F727" t="s">
        <v>53</v>
      </c>
      <c r="G727" s="1">
        <v>46033</v>
      </c>
      <c r="H727" s="1" t="str">
        <f t="shared" si="22"/>
        <v>Sunday</v>
      </c>
      <c r="I727">
        <v>34</v>
      </c>
      <c r="J727" t="s">
        <v>20</v>
      </c>
      <c r="K727">
        <v>1</v>
      </c>
      <c r="L727">
        <v>0</v>
      </c>
      <c r="M727">
        <v>0</v>
      </c>
      <c r="N727">
        <v>0</v>
      </c>
      <c r="O727">
        <v>0</v>
      </c>
      <c r="P727" t="str">
        <f t="shared" si="23"/>
        <v>Non Chronic</v>
      </c>
      <c r="Q727">
        <v>1</v>
      </c>
      <c r="R727">
        <v>1</v>
      </c>
      <c r="S727" t="s">
        <v>22</v>
      </c>
    </row>
    <row r="728" spans="1:19" x14ac:dyDescent="0.3">
      <c r="A728">
        <v>500727</v>
      </c>
      <c r="B728">
        <v>55823</v>
      </c>
      <c r="C728" t="s">
        <v>4</v>
      </c>
      <c r="D728" t="s">
        <v>14</v>
      </c>
      <c r="E728" s="1">
        <v>46133</v>
      </c>
      <c r="F728" t="s">
        <v>269</v>
      </c>
      <c r="G728" s="1">
        <v>46143</v>
      </c>
      <c r="H728" s="1" t="str">
        <f t="shared" si="22"/>
        <v>Friday</v>
      </c>
      <c r="I728">
        <v>38</v>
      </c>
      <c r="J728" t="s">
        <v>5</v>
      </c>
      <c r="K728">
        <v>0</v>
      </c>
      <c r="L728">
        <v>0</v>
      </c>
      <c r="M728">
        <v>0</v>
      </c>
      <c r="N728">
        <v>0</v>
      </c>
      <c r="O728">
        <v>0</v>
      </c>
      <c r="P728" t="str">
        <f t="shared" si="23"/>
        <v>Non Chronic</v>
      </c>
      <c r="Q728">
        <v>0</v>
      </c>
      <c r="R728">
        <v>0</v>
      </c>
      <c r="S728" t="s">
        <v>22</v>
      </c>
    </row>
    <row r="729" spans="1:19" x14ac:dyDescent="0.3">
      <c r="A729">
        <v>500728</v>
      </c>
      <c r="B729">
        <v>96918</v>
      </c>
      <c r="C729" t="s">
        <v>4</v>
      </c>
      <c r="D729" t="s">
        <v>36</v>
      </c>
      <c r="E729" s="1">
        <v>46027</v>
      </c>
      <c r="F729" t="s">
        <v>623</v>
      </c>
      <c r="G729" s="1">
        <v>46037</v>
      </c>
      <c r="H729" s="1" t="str">
        <f t="shared" si="22"/>
        <v>Thursday</v>
      </c>
      <c r="I729">
        <v>44</v>
      </c>
      <c r="J729" t="s">
        <v>12</v>
      </c>
      <c r="K729">
        <v>0</v>
      </c>
      <c r="L729">
        <v>0</v>
      </c>
      <c r="M729">
        <v>0</v>
      </c>
      <c r="N729">
        <v>1</v>
      </c>
      <c r="O729">
        <v>0</v>
      </c>
      <c r="P729" t="str">
        <f t="shared" si="23"/>
        <v>Non Chronic</v>
      </c>
      <c r="Q729">
        <v>1</v>
      </c>
      <c r="R729">
        <v>0</v>
      </c>
      <c r="S729" t="s">
        <v>0</v>
      </c>
    </row>
    <row r="730" spans="1:19" x14ac:dyDescent="0.3">
      <c r="A730">
        <v>500729</v>
      </c>
      <c r="B730">
        <v>13402</v>
      </c>
      <c r="C730" t="s">
        <v>8</v>
      </c>
      <c r="D730" t="s">
        <v>58</v>
      </c>
      <c r="E730" s="1">
        <v>45998</v>
      </c>
      <c r="F730" t="s">
        <v>461</v>
      </c>
      <c r="G730" s="1">
        <v>46028</v>
      </c>
      <c r="H730" s="1" t="str">
        <f t="shared" si="22"/>
        <v>Tuesday</v>
      </c>
      <c r="I730">
        <v>27</v>
      </c>
      <c r="J730" t="s">
        <v>23</v>
      </c>
      <c r="K730">
        <v>1</v>
      </c>
      <c r="L730">
        <v>0</v>
      </c>
      <c r="M730">
        <v>0</v>
      </c>
      <c r="N730">
        <v>0</v>
      </c>
      <c r="O730">
        <v>0</v>
      </c>
      <c r="P730" t="str">
        <f t="shared" si="23"/>
        <v>Non Chronic</v>
      </c>
      <c r="Q730">
        <v>0</v>
      </c>
      <c r="R730">
        <v>1</v>
      </c>
      <c r="S730" t="s">
        <v>22</v>
      </c>
    </row>
    <row r="731" spans="1:19" x14ac:dyDescent="0.3">
      <c r="A731">
        <v>500730</v>
      </c>
      <c r="B731">
        <v>20625</v>
      </c>
      <c r="C731" t="s">
        <v>8</v>
      </c>
      <c r="D731" t="s">
        <v>7</v>
      </c>
      <c r="E731" s="1">
        <v>46111</v>
      </c>
      <c r="F731" t="s">
        <v>622</v>
      </c>
      <c r="G731" s="1">
        <v>46111</v>
      </c>
      <c r="H731" s="1" t="str">
        <f t="shared" si="22"/>
        <v>Monday</v>
      </c>
      <c r="I731">
        <v>22</v>
      </c>
      <c r="J731" t="s">
        <v>10</v>
      </c>
      <c r="K731">
        <v>1</v>
      </c>
      <c r="L731">
        <v>0</v>
      </c>
      <c r="M731">
        <v>0</v>
      </c>
      <c r="N731">
        <v>0</v>
      </c>
      <c r="O731">
        <v>0</v>
      </c>
      <c r="P731" t="str">
        <f t="shared" si="23"/>
        <v>Non Chronic</v>
      </c>
      <c r="Q731">
        <v>0</v>
      </c>
      <c r="R731">
        <v>0</v>
      </c>
      <c r="S731" t="s">
        <v>22</v>
      </c>
    </row>
    <row r="732" spans="1:19" x14ac:dyDescent="0.3">
      <c r="A732">
        <v>500731</v>
      </c>
      <c r="B732">
        <v>69388</v>
      </c>
      <c r="C732" t="s">
        <v>8</v>
      </c>
      <c r="D732" t="s">
        <v>28</v>
      </c>
      <c r="E732" s="1">
        <v>46070</v>
      </c>
      <c r="F732" t="s">
        <v>393</v>
      </c>
      <c r="G732" s="1">
        <v>46085</v>
      </c>
      <c r="H732" s="1" t="str">
        <f t="shared" si="22"/>
        <v>Wednesday</v>
      </c>
      <c r="I732">
        <v>41</v>
      </c>
      <c r="J732" t="s">
        <v>45</v>
      </c>
      <c r="K732">
        <v>0</v>
      </c>
      <c r="L732">
        <v>0</v>
      </c>
      <c r="M732">
        <v>0</v>
      </c>
      <c r="N732">
        <v>0</v>
      </c>
      <c r="O732">
        <v>0</v>
      </c>
      <c r="P732" t="str">
        <f t="shared" si="23"/>
        <v>Non Chronic</v>
      </c>
      <c r="Q732">
        <v>0</v>
      </c>
      <c r="R732">
        <v>0</v>
      </c>
      <c r="S732" t="s">
        <v>0</v>
      </c>
    </row>
    <row r="733" spans="1:19" x14ac:dyDescent="0.3">
      <c r="A733">
        <v>500732</v>
      </c>
      <c r="B733">
        <v>88943</v>
      </c>
      <c r="C733" t="s">
        <v>8</v>
      </c>
      <c r="D733" t="s">
        <v>58</v>
      </c>
      <c r="E733" s="1">
        <v>46101</v>
      </c>
      <c r="F733" t="s">
        <v>474</v>
      </c>
      <c r="G733" s="1">
        <v>46103</v>
      </c>
      <c r="H733" s="1" t="str">
        <f t="shared" si="22"/>
        <v>Sunday</v>
      </c>
      <c r="I733">
        <v>18</v>
      </c>
      <c r="J733" t="s">
        <v>23</v>
      </c>
      <c r="K733">
        <v>0</v>
      </c>
      <c r="L733">
        <v>0</v>
      </c>
      <c r="M733">
        <v>0</v>
      </c>
      <c r="N733">
        <v>0</v>
      </c>
      <c r="O733">
        <v>0</v>
      </c>
      <c r="P733" t="str">
        <f t="shared" si="23"/>
        <v>Non Chronic</v>
      </c>
      <c r="Q733">
        <v>1</v>
      </c>
      <c r="R733">
        <v>0</v>
      </c>
      <c r="S733" t="s">
        <v>30</v>
      </c>
    </row>
    <row r="734" spans="1:19" x14ac:dyDescent="0.3">
      <c r="A734">
        <v>500733</v>
      </c>
      <c r="B734">
        <v>62286</v>
      </c>
      <c r="C734" t="s">
        <v>4</v>
      </c>
      <c r="D734" t="s">
        <v>36</v>
      </c>
      <c r="E734" s="1">
        <v>46055</v>
      </c>
      <c r="F734" t="s">
        <v>621</v>
      </c>
      <c r="G734" s="1">
        <v>46085</v>
      </c>
      <c r="H734" s="1" t="str">
        <f t="shared" si="22"/>
        <v>Wednesday</v>
      </c>
      <c r="I734">
        <v>46</v>
      </c>
      <c r="J734" t="s">
        <v>45</v>
      </c>
      <c r="K734">
        <v>0</v>
      </c>
      <c r="L734">
        <v>0</v>
      </c>
      <c r="M734">
        <v>0</v>
      </c>
      <c r="N734">
        <v>0</v>
      </c>
      <c r="O734">
        <v>0</v>
      </c>
      <c r="P734" t="str">
        <f t="shared" si="23"/>
        <v>Non Chronic</v>
      </c>
      <c r="Q734">
        <v>1</v>
      </c>
      <c r="R734">
        <v>0</v>
      </c>
      <c r="S734" t="s">
        <v>0</v>
      </c>
    </row>
    <row r="735" spans="1:19" x14ac:dyDescent="0.3">
      <c r="A735">
        <v>500734</v>
      </c>
      <c r="B735">
        <v>66670</v>
      </c>
      <c r="C735" t="s">
        <v>8</v>
      </c>
      <c r="D735" t="s">
        <v>28</v>
      </c>
      <c r="E735" s="1">
        <v>46032</v>
      </c>
      <c r="F735" t="s">
        <v>620</v>
      </c>
      <c r="G735" s="1">
        <v>46042</v>
      </c>
      <c r="H735" s="1" t="str">
        <f t="shared" si="22"/>
        <v>Tuesday</v>
      </c>
      <c r="I735">
        <v>3</v>
      </c>
      <c r="J735" t="s">
        <v>20</v>
      </c>
      <c r="K735">
        <v>0</v>
      </c>
      <c r="L735">
        <v>0</v>
      </c>
      <c r="M735">
        <v>0</v>
      </c>
      <c r="N735">
        <v>0</v>
      </c>
      <c r="O735">
        <v>0</v>
      </c>
      <c r="P735" t="str">
        <f t="shared" si="23"/>
        <v>Non Chronic</v>
      </c>
      <c r="Q735">
        <v>0</v>
      </c>
      <c r="R735">
        <v>0</v>
      </c>
      <c r="S735" t="s">
        <v>30</v>
      </c>
    </row>
    <row r="736" spans="1:19" x14ac:dyDescent="0.3">
      <c r="A736">
        <v>500735</v>
      </c>
      <c r="B736">
        <v>74175</v>
      </c>
      <c r="C736" t="s">
        <v>8</v>
      </c>
      <c r="D736" t="s">
        <v>3</v>
      </c>
      <c r="E736" s="1">
        <v>46115</v>
      </c>
      <c r="F736" t="s">
        <v>76</v>
      </c>
      <c r="G736" s="1">
        <v>46122</v>
      </c>
      <c r="H736" s="1" t="str">
        <f t="shared" si="22"/>
        <v>Friday</v>
      </c>
      <c r="I736">
        <v>58</v>
      </c>
      <c r="J736" t="s">
        <v>10</v>
      </c>
      <c r="K736">
        <v>1</v>
      </c>
      <c r="L736">
        <v>0</v>
      </c>
      <c r="M736">
        <v>0</v>
      </c>
      <c r="N736">
        <v>0</v>
      </c>
      <c r="O736">
        <v>0</v>
      </c>
      <c r="P736" t="str">
        <f t="shared" si="23"/>
        <v>Non Chronic</v>
      </c>
      <c r="Q736">
        <v>1</v>
      </c>
      <c r="R736">
        <v>0</v>
      </c>
      <c r="S736" t="s">
        <v>0</v>
      </c>
    </row>
    <row r="737" spans="1:19" x14ac:dyDescent="0.3">
      <c r="A737">
        <v>500736</v>
      </c>
      <c r="B737">
        <v>15300</v>
      </c>
      <c r="C737" t="s">
        <v>8</v>
      </c>
      <c r="D737" t="s">
        <v>7</v>
      </c>
      <c r="E737" s="1">
        <v>46070</v>
      </c>
      <c r="F737" t="s">
        <v>127</v>
      </c>
      <c r="G737" s="1">
        <v>46070</v>
      </c>
      <c r="H737" s="1" t="str">
        <f t="shared" si="22"/>
        <v>Tuesday</v>
      </c>
      <c r="I737">
        <v>47</v>
      </c>
      <c r="J737" t="s">
        <v>45</v>
      </c>
      <c r="K737">
        <v>0</v>
      </c>
      <c r="L737">
        <v>0</v>
      </c>
      <c r="M737">
        <v>0</v>
      </c>
      <c r="N737">
        <v>0</v>
      </c>
      <c r="O737">
        <v>0</v>
      </c>
      <c r="P737" t="str">
        <f t="shared" si="23"/>
        <v>Non Chronic</v>
      </c>
      <c r="Q737">
        <v>1</v>
      </c>
      <c r="R737">
        <v>1</v>
      </c>
      <c r="S737" t="s">
        <v>0</v>
      </c>
    </row>
    <row r="738" spans="1:19" x14ac:dyDescent="0.3">
      <c r="A738">
        <v>500737</v>
      </c>
      <c r="B738">
        <v>72601</v>
      </c>
      <c r="C738" t="s">
        <v>8</v>
      </c>
      <c r="D738" t="s">
        <v>28</v>
      </c>
      <c r="E738" s="1">
        <v>46112</v>
      </c>
      <c r="F738" t="s">
        <v>619</v>
      </c>
      <c r="G738" s="1">
        <v>46114</v>
      </c>
      <c r="H738" s="1" t="str">
        <f t="shared" si="22"/>
        <v>Thursday</v>
      </c>
      <c r="I738">
        <v>43</v>
      </c>
      <c r="J738" t="s">
        <v>31</v>
      </c>
      <c r="K738">
        <v>1</v>
      </c>
      <c r="L738">
        <v>0</v>
      </c>
      <c r="M738">
        <v>0</v>
      </c>
      <c r="N738">
        <v>0</v>
      </c>
      <c r="O738">
        <v>0</v>
      </c>
      <c r="P738" t="str">
        <f t="shared" si="23"/>
        <v>Non Chronic</v>
      </c>
      <c r="Q738">
        <v>1</v>
      </c>
      <c r="R738">
        <v>1</v>
      </c>
      <c r="S738" t="s">
        <v>0</v>
      </c>
    </row>
    <row r="739" spans="1:19" x14ac:dyDescent="0.3">
      <c r="A739">
        <v>500738</v>
      </c>
      <c r="B739">
        <v>15910</v>
      </c>
      <c r="C739" t="s">
        <v>4</v>
      </c>
      <c r="D739" t="s">
        <v>3</v>
      </c>
      <c r="E739" s="1">
        <v>46144</v>
      </c>
      <c r="F739" t="s">
        <v>68</v>
      </c>
      <c r="G739" s="1">
        <v>46151</v>
      </c>
      <c r="H739" s="1" t="str">
        <f t="shared" si="22"/>
        <v>Saturday</v>
      </c>
      <c r="I739">
        <v>57</v>
      </c>
      <c r="J739" t="s">
        <v>23</v>
      </c>
      <c r="K739">
        <v>0</v>
      </c>
      <c r="L739">
        <v>0</v>
      </c>
      <c r="M739">
        <v>0</v>
      </c>
      <c r="N739">
        <v>0</v>
      </c>
      <c r="O739">
        <v>0</v>
      </c>
      <c r="P739" t="str">
        <f t="shared" si="23"/>
        <v>Non Chronic</v>
      </c>
      <c r="Q739">
        <v>0</v>
      </c>
      <c r="R739">
        <v>1</v>
      </c>
      <c r="S739" t="s">
        <v>0</v>
      </c>
    </row>
    <row r="740" spans="1:19" x14ac:dyDescent="0.3">
      <c r="A740">
        <v>500739</v>
      </c>
      <c r="B740">
        <v>96714</v>
      </c>
      <c r="C740" t="s">
        <v>8</v>
      </c>
      <c r="D740" t="s">
        <v>28</v>
      </c>
      <c r="E740" s="1">
        <v>46163</v>
      </c>
      <c r="F740" t="s">
        <v>618</v>
      </c>
      <c r="G740" s="1">
        <v>46173</v>
      </c>
      <c r="H740" s="1" t="str">
        <f t="shared" si="22"/>
        <v>Sunday</v>
      </c>
      <c r="I740">
        <v>71</v>
      </c>
      <c r="J740" t="s">
        <v>31</v>
      </c>
      <c r="K740">
        <v>1</v>
      </c>
      <c r="L740">
        <v>1</v>
      </c>
      <c r="M740">
        <v>0</v>
      </c>
      <c r="N740">
        <v>0</v>
      </c>
      <c r="O740">
        <v>0</v>
      </c>
      <c r="P740" t="str">
        <f t="shared" si="23"/>
        <v>Chronic</v>
      </c>
      <c r="Q740">
        <v>0</v>
      </c>
      <c r="R740">
        <v>0</v>
      </c>
      <c r="S740" t="s">
        <v>9</v>
      </c>
    </row>
    <row r="741" spans="1:19" x14ac:dyDescent="0.3">
      <c r="A741">
        <v>500740</v>
      </c>
      <c r="B741">
        <v>44743</v>
      </c>
      <c r="C741" t="s">
        <v>8</v>
      </c>
      <c r="D741" t="s">
        <v>28</v>
      </c>
      <c r="E741" s="1">
        <v>46083</v>
      </c>
      <c r="F741" t="s">
        <v>617</v>
      </c>
      <c r="G741" s="1">
        <v>46086</v>
      </c>
      <c r="H741" s="1" t="str">
        <f t="shared" si="22"/>
        <v>Thursday</v>
      </c>
      <c r="I741">
        <v>58</v>
      </c>
      <c r="J741" t="s">
        <v>45</v>
      </c>
      <c r="K741">
        <v>0</v>
      </c>
      <c r="L741">
        <v>1</v>
      </c>
      <c r="M741">
        <v>0</v>
      </c>
      <c r="N741">
        <v>0</v>
      </c>
      <c r="O741">
        <v>0</v>
      </c>
      <c r="P741" t="str">
        <f t="shared" si="23"/>
        <v>Chronic</v>
      </c>
      <c r="Q741">
        <v>1</v>
      </c>
      <c r="R741">
        <v>0</v>
      </c>
      <c r="S741" t="s">
        <v>0</v>
      </c>
    </row>
    <row r="742" spans="1:19" x14ac:dyDescent="0.3">
      <c r="A742">
        <v>500741</v>
      </c>
      <c r="B742">
        <v>11743</v>
      </c>
      <c r="C742" t="s">
        <v>4</v>
      </c>
      <c r="D742" t="s">
        <v>7</v>
      </c>
      <c r="E742" s="1">
        <v>46106</v>
      </c>
      <c r="F742" t="s">
        <v>243</v>
      </c>
      <c r="G742" s="1">
        <v>46116</v>
      </c>
      <c r="H742" s="1" t="str">
        <f t="shared" si="22"/>
        <v>Saturday</v>
      </c>
      <c r="I742">
        <v>1</v>
      </c>
      <c r="J742" t="s">
        <v>10</v>
      </c>
      <c r="K742">
        <v>0</v>
      </c>
      <c r="L742">
        <v>0</v>
      </c>
      <c r="M742">
        <v>0</v>
      </c>
      <c r="N742">
        <v>0</v>
      </c>
      <c r="O742">
        <v>0</v>
      </c>
      <c r="P742" t="str">
        <f t="shared" si="23"/>
        <v>Non Chronic</v>
      </c>
      <c r="Q742">
        <v>0</v>
      </c>
      <c r="R742">
        <v>0</v>
      </c>
      <c r="S742" t="s">
        <v>30</v>
      </c>
    </row>
    <row r="743" spans="1:19" x14ac:dyDescent="0.3">
      <c r="A743">
        <v>500742</v>
      </c>
      <c r="B743">
        <v>88890</v>
      </c>
      <c r="C743" t="s">
        <v>8</v>
      </c>
      <c r="D743" t="s">
        <v>25</v>
      </c>
      <c r="E743" s="1">
        <v>46120</v>
      </c>
      <c r="F743" t="s">
        <v>255</v>
      </c>
      <c r="G743" s="1">
        <v>46135</v>
      </c>
      <c r="H743" s="1" t="str">
        <f t="shared" si="22"/>
        <v>Thursday</v>
      </c>
      <c r="I743">
        <v>12</v>
      </c>
      <c r="J743" t="s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 t="str">
        <f t="shared" si="23"/>
        <v>Non Chronic</v>
      </c>
      <c r="Q743">
        <v>1</v>
      </c>
      <c r="R743">
        <v>0</v>
      </c>
      <c r="S743" t="s">
        <v>30</v>
      </c>
    </row>
    <row r="744" spans="1:19" x14ac:dyDescent="0.3">
      <c r="A744">
        <v>500743</v>
      </c>
      <c r="B744">
        <v>98487</v>
      </c>
      <c r="C744" t="s">
        <v>8</v>
      </c>
      <c r="D744" t="s">
        <v>25</v>
      </c>
      <c r="E744" s="1">
        <v>46086</v>
      </c>
      <c r="F744" t="s">
        <v>34</v>
      </c>
      <c r="G744" s="1">
        <v>46088</v>
      </c>
      <c r="H744" s="1" t="str">
        <f t="shared" si="22"/>
        <v>Saturday</v>
      </c>
      <c r="I744">
        <v>25</v>
      </c>
      <c r="J744" t="s">
        <v>15</v>
      </c>
      <c r="K744">
        <v>0</v>
      </c>
      <c r="L744">
        <v>0</v>
      </c>
      <c r="M744">
        <v>0</v>
      </c>
      <c r="N744">
        <v>0</v>
      </c>
      <c r="O744">
        <v>0</v>
      </c>
      <c r="P744" t="str">
        <f t="shared" si="23"/>
        <v>Non Chronic</v>
      </c>
      <c r="Q744">
        <v>0</v>
      </c>
      <c r="R744">
        <v>0</v>
      </c>
      <c r="S744" t="s">
        <v>22</v>
      </c>
    </row>
    <row r="745" spans="1:19" x14ac:dyDescent="0.3">
      <c r="A745">
        <v>500744</v>
      </c>
      <c r="B745">
        <v>34670</v>
      </c>
      <c r="C745" t="s">
        <v>4</v>
      </c>
      <c r="D745" t="s">
        <v>14</v>
      </c>
      <c r="E745" s="1">
        <v>46052</v>
      </c>
      <c r="F745" t="s">
        <v>616</v>
      </c>
      <c r="G745" s="1">
        <v>46055</v>
      </c>
      <c r="H745" s="1" t="str">
        <f t="shared" si="22"/>
        <v>Monday</v>
      </c>
      <c r="I745">
        <v>38</v>
      </c>
      <c r="J745" t="s">
        <v>10</v>
      </c>
      <c r="K745">
        <v>0</v>
      </c>
      <c r="L745">
        <v>0</v>
      </c>
      <c r="M745">
        <v>0</v>
      </c>
      <c r="N745">
        <v>0</v>
      </c>
      <c r="O745">
        <v>0</v>
      </c>
      <c r="P745" t="str">
        <f t="shared" si="23"/>
        <v>Non Chronic</v>
      </c>
      <c r="Q745">
        <v>1</v>
      </c>
      <c r="R745">
        <v>0</v>
      </c>
      <c r="S745" t="s">
        <v>22</v>
      </c>
    </row>
    <row r="746" spans="1:19" x14ac:dyDescent="0.3">
      <c r="A746">
        <v>500745</v>
      </c>
      <c r="B746">
        <v>35023</v>
      </c>
      <c r="C746" t="s">
        <v>4</v>
      </c>
      <c r="D746" t="s">
        <v>25</v>
      </c>
      <c r="E746" s="1">
        <v>46016</v>
      </c>
      <c r="F746" t="s">
        <v>285</v>
      </c>
      <c r="G746" s="1">
        <v>46017</v>
      </c>
      <c r="H746" s="1" t="str">
        <f t="shared" si="22"/>
        <v>Friday</v>
      </c>
      <c r="I746">
        <v>48</v>
      </c>
      <c r="J746" t="s">
        <v>10</v>
      </c>
      <c r="K746">
        <v>0</v>
      </c>
      <c r="L746">
        <v>0</v>
      </c>
      <c r="M746">
        <v>1</v>
      </c>
      <c r="N746">
        <v>0</v>
      </c>
      <c r="O746">
        <v>0</v>
      </c>
      <c r="P746" t="str">
        <f t="shared" si="23"/>
        <v>Chronic</v>
      </c>
      <c r="Q746">
        <v>1</v>
      </c>
      <c r="R746">
        <v>0</v>
      </c>
      <c r="S746" t="s">
        <v>0</v>
      </c>
    </row>
    <row r="747" spans="1:19" x14ac:dyDescent="0.3">
      <c r="A747">
        <v>500746</v>
      </c>
      <c r="B747">
        <v>71799</v>
      </c>
      <c r="C747" t="s">
        <v>4</v>
      </c>
      <c r="D747" t="s">
        <v>7</v>
      </c>
      <c r="E747" s="1">
        <v>46095</v>
      </c>
      <c r="F747" t="s">
        <v>615</v>
      </c>
      <c r="G747" s="1">
        <v>46102</v>
      </c>
      <c r="H747" s="1" t="str">
        <f t="shared" si="22"/>
        <v>Saturday</v>
      </c>
      <c r="I747">
        <v>23</v>
      </c>
      <c r="J747" t="s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 t="str">
        <f t="shared" si="23"/>
        <v>Non Chronic</v>
      </c>
      <c r="Q747">
        <v>0</v>
      </c>
      <c r="R747">
        <v>1</v>
      </c>
      <c r="S747" t="s">
        <v>22</v>
      </c>
    </row>
    <row r="748" spans="1:19" x14ac:dyDescent="0.3">
      <c r="A748">
        <v>500747</v>
      </c>
      <c r="B748">
        <v>11032</v>
      </c>
      <c r="C748" t="s">
        <v>4</v>
      </c>
      <c r="D748" t="s">
        <v>3</v>
      </c>
      <c r="E748" s="1">
        <v>46128</v>
      </c>
      <c r="F748" t="s">
        <v>614</v>
      </c>
      <c r="G748" s="1">
        <v>46133</v>
      </c>
      <c r="H748" s="1" t="str">
        <f t="shared" si="22"/>
        <v>Tuesday</v>
      </c>
      <c r="I748">
        <v>41</v>
      </c>
      <c r="J748" t="s">
        <v>23</v>
      </c>
      <c r="K748">
        <v>1</v>
      </c>
      <c r="L748">
        <v>0</v>
      </c>
      <c r="M748">
        <v>0</v>
      </c>
      <c r="N748">
        <v>0</v>
      </c>
      <c r="O748">
        <v>0</v>
      </c>
      <c r="P748" t="str">
        <f t="shared" si="23"/>
        <v>Non Chronic</v>
      </c>
      <c r="Q748">
        <v>1</v>
      </c>
      <c r="R748">
        <v>0</v>
      </c>
      <c r="S748" t="s">
        <v>0</v>
      </c>
    </row>
    <row r="749" spans="1:19" x14ac:dyDescent="0.3">
      <c r="A749">
        <v>500748</v>
      </c>
      <c r="B749">
        <v>73714</v>
      </c>
      <c r="C749" t="s">
        <v>8</v>
      </c>
      <c r="D749" t="s">
        <v>14</v>
      </c>
      <c r="E749" s="1">
        <v>46114</v>
      </c>
      <c r="F749" t="s">
        <v>613</v>
      </c>
      <c r="G749" s="1">
        <v>46117</v>
      </c>
      <c r="H749" s="1" t="str">
        <f t="shared" si="22"/>
        <v>Sunday</v>
      </c>
      <c r="I749">
        <v>22</v>
      </c>
      <c r="J749" t="s">
        <v>17</v>
      </c>
      <c r="K749">
        <v>0</v>
      </c>
      <c r="L749">
        <v>0</v>
      </c>
      <c r="M749">
        <v>0</v>
      </c>
      <c r="N749">
        <v>0</v>
      </c>
      <c r="O749">
        <v>0</v>
      </c>
      <c r="P749" t="str">
        <f t="shared" si="23"/>
        <v>Non Chronic</v>
      </c>
      <c r="Q749">
        <v>1</v>
      </c>
      <c r="R749">
        <v>0</v>
      </c>
      <c r="S749" t="s">
        <v>22</v>
      </c>
    </row>
    <row r="750" spans="1:19" x14ac:dyDescent="0.3">
      <c r="A750">
        <v>500749</v>
      </c>
      <c r="B750">
        <v>64675</v>
      </c>
      <c r="C750" t="s">
        <v>8</v>
      </c>
      <c r="D750" t="s">
        <v>58</v>
      </c>
      <c r="E750" s="1">
        <v>46135</v>
      </c>
      <c r="F750" t="s">
        <v>612</v>
      </c>
      <c r="G750" s="1">
        <v>46138</v>
      </c>
      <c r="H750" s="1" t="str">
        <f t="shared" si="22"/>
        <v>Sunday</v>
      </c>
      <c r="I750">
        <v>25</v>
      </c>
      <c r="J750" t="s">
        <v>10</v>
      </c>
      <c r="K750">
        <v>1</v>
      </c>
      <c r="L750">
        <v>0</v>
      </c>
      <c r="M750">
        <v>0</v>
      </c>
      <c r="N750">
        <v>0</v>
      </c>
      <c r="O750">
        <v>0</v>
      </c>
      <c r="P750" t="str">
        <f t="shared" si="23"/>
        <v>Non Chronic</v>
      </c>
      <c r="Q750">
        <v>1</v>
      </c>
      <c r="R750">
        <v>0</v>
      </c>
      <c r="S750" t="s">
        <v>22</v>
      </c>
    </row>
    <row r="751" spans="1:19" x14ac:dyDescent="0.3">
      <c r="A751">
        <v>500750</v>
      </c>
      <c r="B751">
        <v>71504</v>
      </c>
      <c r="C751" t="s">
        <v>8</v>
      </c>
      <c r="D751" t="s">
        <v>7</v>
      </c>
      <c r="E751" s="1">
        <v>46088</v>
      </c>
      <c r="F751" t="s">
        <v>189</v>
      </c>
      <c r="G751" s="1">
        <v>46093</v>
      </c>
      <c r="H751" s="1" t="str">
        <f t="shared" si="22"/>
        <v>Thursday</v>
      </c>
      <c r="I751">
        <v>9</v>
      </c>
      <c r="J751" t="s">
        <v>45</v>
      </c>
      <c r="K751">
        <v>0</v>
      </c>
      <c r="L751">
        <v>0</v>
      </c>
      <c r="M751">
        <v>0</v>
      </c>
      <c r="N751">
        <v>0</v>
      </c>
      <c r="O751">
        <v>0</v>
      </c>
      <c r="P751" t="str">
        <f t="shared" si="23"/>
        <v>Non Chronic</v>
      </c>
      <c r="Q751">
        <v>1</v>
      </c>
      <c r="R751">
        <v>0</v>
      </c>
      <c r="S751" t="s">
        <v>30</v>
      </c>
    </row>
    <row r="752" spans="1:19" x14ac:dyDescent="0.3">
      <c r="A752">
        <v>500751</v>
      </c>
      <c r="B752">
        <v>88918</v>
      </c>
      <c r="C752" t="s">
        <v>8</v>
      </c>
      <c r="D752" t="s">
        <v>28</v>
      </c>
      <c r="E752" s="1">
        <v>45983</v>
      </c>
      <c r="F752" t="s">
        <v>611</v>
      </c>
      <c r="G752" s="1">
        <v>46013</v>
      </c>
      <c r="H752" s="1" t="str">
        <f t="shared" si="22"/>
        <v>Monday</v>
      </c>
      <c r="I752">
        <v>19</v>
      </c>
      <c r="J752" t="s">
        <v>5</v>
      </c>
      <c r="K752">
        <v>1</v>
      </c>
      <c r="L752">
        <v>0</v>
      </c>
      <c r="M752">
        <v>0</v>
      </c>
      <c r="N752">
        <v>0</v>
      </c>
      <c r="O752">
        <v>0</v>
      </c>
      <c r="P752" t="str">
        <f t="shared" si="23"/>
        <v>Non Chronic</v>
      </c>
      <c r="Q752">
        <v>0</v>
      </c>
      <c r="R752">
        <v>0</v>
      </c>
      <c r="S752" t="s">
        <v>22</v>
      </c>
    </row>
    <row r="753" spans="1:19" x14ac:dyDescent="0.3">
      <c r="A753">
        <v>500752</v>
      </c>
      <c r="B753">
        <v>57219</v>
      </c>
      <c r="C753" t="s">
        <v>8</v>
      </c>
      <c r="D753" t="s">
        <v>28</v>
      </c>
      <c r="E753" s="1">
        <v>46106</v>
      </c>
      <c r="F753" t="s">
        <v>610</v>
      </c>
      <c r="G753" s="1">
        <v>46108</v>
      </c>
      <c r="H753" s="1" t="str">
        <f t="shared" si="22"/>
        <v>Friday</v>
      </c>
      <c r="I753">
        <v>10</v>
      </c>
      <c r="J753" t="s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 t="str">
        <f t="shared" si="23"/>
        <v>Non Chronic</v>
      </c>
      <c r="Q753">
        <v>1</v>
      </c>
      <c r="R753">
        <v>1</v>
      </c>
      <c r="S753" t="s">
        <v>30</v>
      </c>
    </row>
    <row r="754" spans="1:19" x14ac:dyDescent="0.3">
      <c r="A754">
        <v>500753</v>
      </c>
      <c r="B754">
        <v>73293</v>
      </c>
      <c r="C754" t="s">
        <v>4</v>
      </c>
      <c r="D754" t="s">
        <v>28</v>
      </c>
      <c r="E754" s="1">
        <v>46038</v>
      </c>
      <c r="F754" t="s">
        <v>609</v>
      </c>
      <c r="G754" s="1">
        <v>46039</v>
      </c>
      <c r="H754" s="1" t="str">
        <f t="shared" si="22"/>
        <v>Saturday</v>
      </c>
      <c r="I754">
        <v>18</v>
      </c>
      <c r="J754" t="s">
        <v>45</v>
      </c>
      <c r="K754">
        <v>0</v>
      </c>
      <c r="L754">
        <v>0</v>
      </c>
      <c r="M754">
        <v>0</v>
      </c>
      <c r="N754">
        <v>0</v>
      </c>
      <c r="O754">
        <v>0</v>
      </c>
      <c r="P754" t="str">
        <f t="shared" si="23"/>
        <v>Non Chronic</v>
      </c>
      <c r="Q754">
        <v>1</v>
      </c>
      <c r="R754">
        <v>0</v>
      </c>
      <c r="S754" t="s">
        <v>30</v>
      </c>
    </row>
    <row r="755" spans="1:19" x14ac:dyDescent="0.3">
      <c r="A755">
        <v>500754</v>
      </c>
      <c r="B755">
        <v>74713</v>
      </c>
      <c r="C755" t="s">
        <v>8</v>
      </c>
      <c r="D755" t="s">
        <v>14</v>
      </c>
      <c r="E755" s="1">
        <v>46109</v>
      </c>
      <c r="F755" t="s">
        <v>608</v>
      </c>
      <c r="G755" s="1">
        <v>46110</v>
      </c>
      <c r="H755" s="1" t="str">
        <f t="shared" si="22"/>
        <v>Sunday</v>
      </c>
      <c r="I755">
        <v>59</v>
      </c>
      <c r="J755" t="s">
        <v>45</v>
      </c>
      <c r="K755">
        <v>0</v>
      </c>
      <c r="L755">
        <v>0</v>
      </c>
      <c r="M755">
        <v>0</v>
      </c>
      <c r="N755">
        <v>0</v>
      </c>
      <c r="O755">
        <v>0</v>
      </c>
      <c r="P755" t="str">
        <f t="shared" si="23"/>
        <v>Non Chronic</v>
      </c>
      <c r="Q755">
        <v>0</v>
      </c>
      <c r="R755">
        <v>0</v>
      </c>
      <c r="S755" t="s">
        <v>0</v>
      </c>
    </row>
    <row r="756" spans="1:19" x14ac:dyDescent="0.3">
      <c r="A756">
        <v>500755</v>
      </c>
      <c r="B756">
        <v>18344</v>
      </c>
      <c r="C756" t="s">
        <v>8</v>
      </c>
      <c r="D756" t="s">
        <v>3</v>
      </c>
      <c r="E756" s="1">
        <v>46041</v>
      </c>
      <c r="F756" t="s">
        <v>143</v>
      </c>
      <c r="G756" s="1">
        <v>46042</v>
      </c>
      <c r="H756" s="1" t="str">
        <f t="shared" si="22"/>
        <v>Tuesday</v>
      </c>
      <c r="I756">
        <v>19</v>
      </c>
      <c r="J756" t="s">
        <v>15</v>
      </c>
      <c r="K756">
        <v>0</v>
      </c>
      <c r="L756">
        <v>0</v>
      </c>
      <c r="M756">
        <v>0</v>
      </c>
      <c r="N756">
        <v>0</v>
      </c>
      <c r="O756">
        <v>0</v>
      </c>
      <c r="P756" t="str">
        <f t="shared" si="23"/>
        <v>Non Chronic</v>
      </c>
      <c r="Q756">
        <v>1</v>
      </c>
      <c r="R756">
        <v>0</v>
      </c>
      <c r="S756" t="s">
        <v>22</v>
      </c>
    </row>
    <row r="757" spans="1:19" x14ac:dyDescent="0.3">
      <c r="A757">
        <v>500756</v>
      </c>
      <c r="B757">
        <v>54606</v>
      </c>
      <c r="C757" t="s">
        <v>8</v>
      </c>
      <c r="D757" t="s">
        <v>36</v>
      </c>
      <c r="E757" s="1">
        <v>46090</v>
      </c>
      <c r="F757" t="s">
        <v>453</v>
      </c>
      <c r="G757" s="1">
        <v>46091</v>
      </c>
      <c r="H757" s="1" t="str">
        <f t="shared" si="22"/>
        <v>Tuesday</v>
      </c>
      <c r="I757">
        <v>90</v>
      </c>
      <c r="J757" t="s">
        <v>12</v>
      </c>
      <c r="K757">
        <v>1</v>
      </c>
      <c r="L757">
        <v>0</v>
      </c>
      <c r="M757">
        <v>0</v>
      </c>
      <c r="N757">
        <v>0</v>
      </c>
      <c r="O757">
        <v>0</v>
      </c>
      <c r="P757" t="str">
        <f t="shared" si="23"/>
        <v>Non Chronic</v>
      </c>
      <c r="Q757">
        <v>1</v>
      </c>
      <c r="R757">
        <v>0</v>
      </c>
      <c r="S757" t="s">
        <v>9</v>
      </c>
    </row>
    <row r="758" spans="1:19" x14ac:dyDescent="0.3">
      <c r="A758">
        <v>500757</v>
      </c>
      <c r="B758">
        <v>69917</v>
      </c>
      <c r="C758" t="s">
        <v>4</v>
      </c>
      <c r="D758" t="s">
        <v>58</v>
      </c>
      <c r="E758" s="1">
        <v>46044</v>
      </c>
      <c r="F758" t="s">
        <v>607</v>
      </c>
      <c r="G758" s="1">
        <v>46051</v>
      </c>
      <c r="H758" s="1" t="str">
        <f t="shared" si="22"/>
        <v>Thursday</v>
      </c>
      <c r="I758">
        <v>47</v>
      </c>
      <c r="J758" t="s">
        <v>1</v>
      </c>
      <c r="K758">
        <v>0</v>
      </c>
      <c r="L758">
        <v>0</v>
      </c>
      <c r="M758">
        <v>1</v>
      </c>
      <c r="N758">
        <v>0</v>
      </c>
      <c r="O758">
        <v>0</v>
      </c>
      <c r="P758" t="str">
        <f t="shared" si="23"/>
        <v>Chronic</v>
      </c>
      <c r="Q758">
        <v>0</v>
      </c>
      <c r="R758">
        <v>0</v>
      </c>
      <c r="S758" t="s">
        <v>0</v>
      </c>
    </row>
    <row r="759" spans="1:19" x14ac:dyDescent="0.3">
      <c r="A759">
        <v>500758</v>
      </c>
      <c r="B759">
        <v>30582</v>
      </c>
      <c r="C759" t="s">
        <v>8</v>
      </c>
      <c r="D759" t="s">
        <v>7</v>
      </c>
      <c r="E759" s="1">
        <v>46112</v>
      </c>
      <c r="F759" t="s">
        <v>429</v>
      </c>
      <c r="G759" s="1">
        <v>46119</v>
      </c>
      <c r="H759" s="1" t="str">
        <f t="shared" si="22"/>
        <v>Tuesday</v>
      </c>
      <c r="I759">
        <v>41</v>
      </c>
      <c r="J759" t="s">
        <v>12</v>
      </c>
      <c r="K759">
        <v>1</v>
      </c>
      <c r="L759">
        <v>0</v>
      </c>
      <c r="M759">
        <v>0</v>
      </c>
      <c r="N759">
        <v>0</v>
      </c>
      <c r="O759">
        <v>0</v>
      </c>
      <c r="P759" t="str">
        <f t="shared" si="23"/>
        <v>Non Chronic</v>
      </c>
      <c r="Q759">
        <v>1</v>
      </c>
      <c r="R759">
        <v>1</v>
      </c>
      <c r="S759" t="s">
        <v>0</v>
      </c>
    </row>
    <row r="760" spans="1:19" x14ac:dyDescent="0.3">
      <c r="A760">
        <v>500759</v>
      </c>
      <c r="B760">
        <v>36462</v>
      </c>
      <c r="C760" t="s">
        <v>8</v>
      </c>
      <c r="D760" t="s">
        <v>3</v>
      </c>
      <c r="E760" s="1">
        <v>46141</v>
      </c>
      <c r="F760" t="s">
        <v>285</v>
      </c>
      <c r="G760" s="1">
        <v>46156</v>
      </c>
      <c r="H760" s="1" t="str">
        <f t="shared" si="22"/>
        <v>Thursday</v>
      </c>
      <c r="I760">
        <v>20</v>
      </c>
      <c r="J760" t="s">
        <v>17</v>
      </c>
      <c r="K760">
        <v>0</v>
      </c>
      <c r="L760">
        <v>0</v>
      </c>
      <c r="M760">
        <v>0</v>
      </c>
      <c r="N760">
        <v>0</v>
      </c>
      <c r="O760">
        <v>0</v>
      </c>
      <c r="P760" t="str">
        <f t="shared" si="23"/>
        <v>Non Chronic</v>
      </c>
      <c r="Q760">
        <v>1</v>
      </c>
      <c r="R760">
        <v>1</v>
      </c>
      <c r="S760" t="s">
        <v>22</v>
      </c>
    </row>
    <row r="761" spans="1:19" x14ac:dyDescent="0.3">
      <c r="A761">
        <v>500760</v>
      </c>
      <c r="B761">
        <v>32447</v>
      </c>
      <c r="C761" t="s">
        <v>4</v>
      </c>
      <c r="D761" t="s">
        <v>25</v>
      </c>
      <c r="E761" s="1">
        <v>46052</v>
      </c>
      <c r="F761" t="s">
        <v>606</v>
      </c>
      <c r="G761" s="1">
        <v>46062</v>
      </c>
      <c r="H761" s="1" t="str">
        <f t="shared" si="22"/>
        <v>Monday</v>
      </c>
      <c r="I761">
        <v>52</v>
      </c>
      <c r="J761" t="s">
        <v>20</v>
      </c>
      <c r="K761">
        <v>1</v>
      </c>
      <c r="L761">
        <v>0</v>
      </c>
      <c r="M761">
        <v>0</v>
      </c>
      <c r="N761">
        <v>0</v>
      </c>
      <c r="O761">
        <v>0</v>
      </c>
      <c r="P761" t="str">
        <f t="shared" si="23"/>
        <v>Non Chronic</v>
      </c>
      <c r="Q761">
        <v>1</v>
      </c>
      <c r="R761">
        <v>1</v>
      </c>
      <c r="S761" t="s">
        <v>0</v>
      </c>
    </row>
    <row r="762" spans="1:19" x14ac:dyDescent="0.3">
      <c r="A762">
        <v>500761</v>
      </c>
      <c r="B762">
        <v>66206</v>
      </c>
      <c r="C762" t="s">
        <v>8</v>
      </c>
      <c r="D762" t="s">
        <v>3</v>
      </c>
      <c r="E762" s="1">
        <v>46101</v>
      </c>
      <c r="F762" t="s">
        <v>605</v>
      </c>
      <c r="G762" s="1">
        <v>46106</v>
      </c>
      <c r="H762" s="1" t="str">
        <f t="shared" si="22"/>
        <v>Wednesday</v>
      </c>
      <c r="I762">
        <v>26</v>
      </c>
      <c r="J762" t="s">
        <v>10</v>
      </c>
      <c r="K762">
        <v>1</v>
      </c>
      <c r="L762">
        <v>0</v>
      </c>
      <c r="M762">
        <v>0</v>
      </c>
      <c r="N762">
        <v>0</v>
      </c>
      <c r="O762">
        <v>0</v>
      </c>
      <c r="P762" t="str">
        <f t="shared" si="23"/>
        <v>Non Chronic</v>
      </c>
      <c r="Q762">
        <v>0</v>
      </c>
      <c r="R762">
        <v>0</v>
      </c>
      <c r="S762" t="s">
        <v>22</v>
      </c>
    </row>
    <row r="763" spans="1:19" x14ac:dyDescent="0.3">
      <c r="A763">
        <v>500762</v>
      </c>
      <c r="B763">
        <v>77809</v>
      </c>
      <c r="C763" t="s">
        <v>4</v>
      </c>
      <c r="D763" t="s">
        <v>58</v>
      </c>
      <c r="E763" s="1">
        <v>46097</v>
      </c>
      <c r="F763" t="s">
        <v>586</v>
      </c>
      <c r="G763" s="1">
        <v>46112</v>
      </c>
      <c r="H763" s="1" t="str">
        <f t="shared" si="22"/>
        <v>Tuesday</v>
      </c>
      <c r="I763">
        <v>40</v>
      </c>
      <c r="J763" t="s">
        <v>20</v>
      </c>
      <c r="K763">
        <v>1</v>
      </c>
      <c r="L763">
        <v>0</v>
      </c>
      <c r="M763">
        <v>0</v>
      </c>
      <c r="N763">
        <v>0</v>
      </c>
      <c r="O763">
        <v>0</v>
      </c>
      <c r="P763" t="str">
        <f t="shared" si="23"/>
        <v>Non Chronic</v>
      </c>
      <c r="Q763">
        <v>1</v>
      </c>
      <c r="R763">
        <v>0</v>
      </c>
      <c r="S763" t="s">
        <v>22</v>
      </c>
    </row>
    <row r="764" spans="1:19" x14ac:dyDescent="0.3">
      <c r="A764">
        <v>500763</v>
      </c>
      <c r="B764">
        <v>14861</v>
      </c>
      <c r="C764" t="s">
        <v>4</v>
      </c>
      <c r="D764" t="s">
        <v>36</v>
      </c>
      <c r="E764" s="1">
        <v>46061</v>
      </c>
      <c r="F764" t="s">
        <v>294</v>
      </c>
      <c r="G764" s="1">
        <v>46071</v>
      </c>
      <c r="H764" s="1" t="str">
        <f t="shared" si="22"/>
        <v>Wednesday</v>
      </c>
      <c r="I764">
        <v>89</v>
      </c>
      <c r="J764" t="s">
        <v>12</v>
      </c>
      <c r="K764">
        <v>1</v>
      </c>
      <c r="L764">
        <v>0</v>
      </c>
      <c r="M764">
        <v>0</v>
      </c>
      <c r="N764">
        <v>0</v>
      </c>
      <c r="O764">
        <v>0</v>
      </c>
      <c r="P764" t="str">
        <f t="shared" si="23"/>
        <v>Non Chronic</v>
      </c>
      <c r="Q764">
        <v>1</v>
      </c>
      <c r="R764">
        <v>0</v>
      </c>
      <c r="S764" t="s">
        <v>9</v>
      </c>
    </row>
    <row r="765" spans="1:19" x14ac:dyDescent="0.3">
      <c r="A765">
        <v>500764</v>
      </c>
      <c r="B765">
        <v>46671</v>
      </c>
      <c r="C765" t="s">
        <v>4</v>
      </c>
      <c r="D765" t="s">
        <v>3</v>
      </c>
      <c r="E765" s="1">
        <v>46029</v>
      </c>
      <c r="F765" t="s">
        <v>604</v>
      </c>
      <c r="G765" s="1">
        <v>46036</v>
      </c>
      <c r="H765" s="1" t="str">
        <f t="shared" si="22"/>
        <v>Wednesday</v>
      </c>
      <c r="I765">
        <v>36</v>
      </c>
      <c r="J765" t="s">
        <v>10</v>
      </c>
      <c r="K765">
        <v>0</v>
      </c>
      <c r="L765">
        <v>0</v>
      </c>
      <c r="M765">
        <v>0</v>
      </c>
      <c r="N765">
        <v>0</v>
      </c>
      <c r="O765">
        <v>0</v>
      </c>
      <c r="P765" t="str">
        <f t="shared" si="23"/>
        <v>Non Chronic</v>
      </c>
      <c r="Q765">
        <v>1</v>
      </c>
      <c r="R765">
        <v>0</v>
      </c>
      <c r="S765" t="s">
        <v>22</v>
      </c>
    </row>
    <row r="766" spans="1:19" x14ac:dyDescent="0.3">
      <c r="A766">
        <v>500765</v>
      </c>
      <c r="B766">
        <v>55252</v>
      </c>
      <c r="C766" t="s">
        <v>8</v>
      </c>
      <c r="D766" t="s">
        <v>14</v>
      </c>
      <c r="E766" s="1">
        <v>46036</v>
      </c>
      <c r="F766" t="s">
        <v>47</v>
      </c>
      <c r="G766" s="1">
        <v>46037</v>
      </c>
      <c r="H766" s="1" t="str">
        <f t="shared" si="22"/>
        <v>Thursday</v>
      </c>
      <c r="I766">
        <v>60</v>
      </c>
      <c r="J766" t="s">
        <v>5</v>
      </c>
      <c r="K766">
        <v>0</v>
      </c>
      <c r="L766">
        <v>1</v>
      </c>
      <c r="M766">
        <v>0</v>
      </c>
      <c r="N766">
        <v>0</v>
      </c>
      <c r="O766">
        <v>0</v>
      </c>
      <c r="P766" t="str">
        <f t="shared" si="23"/>
        <v>Chronic</v>
      </c>
      <c r="Q766">
        <v>0</v>
      </c>
      <c r="R766">
        <v>0</v>
      </c>
      <c r="S766" t="s">
        <v>0</v>
      </c>
    </row>
    <row r="767" spans="1:19" x14ac:dyDescent="0.3">
      <c r="A767">
        <v>500766</v>
      </c>
      <c r="B767">
        <v>22166</v>
      </c>
      <c r="C767" t="s">
        <v>8</v>
      </c>
      <c r="D767" t="s">
        <v>19</v>
      </c>
      <c r="E767" s="1">
        <v>45997</v>
      </c>
      <c r="F767" t="s">
        <v>603</v>
      </c>
      <c r="G767" s="1">
        <v>46012</v>
      </c>
      <c r="H767" s="1" t="str">
        <f t="shared" si="22"/>
        <v>Sunday</v>
      </c>
      <c r="I767">
        <v>23</v>
      </c>
      <c r="J767" t="s">
        <v>31</v>
      </c>
      <c r="K767">
        <v>0</v>
      </c>
      <c r="L767">
        <v>0</v>
      </c>
      <c r="M767">
        <v>0</v>
      </c>
      <c r="N767">
        <v>1</v>
      </c>
      <c r="O767">
        <v>0</v>
      </c>
      <c r="P767" t="str">
        <f t="shared" si="23"/>
        <v>Non Chronic</v>
      </c>
      <c r="Q767">
        <v>1</v>
      </c>
      <c r="R767">
        <v>1</v>
      </c>
      <c r="S767" t="s">
        <v>22</v>
      </c>
    </row>
    <row r="768" spans="1:19" x14ac:dyDescent="0.3">
      <c r="A768">
        <v>500767</v>
      </c>
      <c r="B768">
        <v>49838</v>
      </c>
      <c r="C768" t="s">
        <v>8</v>
      </c>
      <c r="D768" t="s">
        <v>58</v>
      </c>
      <c r="E768" s="1">
        <v>46133</v>
      </c>
      <c r="F768" t="s">
        <v>362</v>
      </c>
      <c r="G768" s="1">
        <v>46138</v>
      </c>
      <c r="H768" s="1" t="str">
        <f t="shared" si="22"/>
        <v>Sunday</v>
      </c>
      <c r="I768">
        <v>37</v>
      </c>
      <c r="J768" t="s">
        <v>17</v>
      </c>
      <c r="K768">
        <v>1</v>
      </c>
      <c r="L768">
        <v>0</v>
      </c>
      <c r="M768">
        <v>0</v>
      </c>
      <c r="N768">
        <v>0</v>
      </c>
      <c r="O768">
        <v>0</v>
      </c>
      <c r="P768" t="str">
        <f t="shared" si="23"/>
        <v>Non Chronic</v>
      </c>
      <c r="Q768">
        <v>1</v>
      </c>
      <c r="R768">
        <v>0</v>
      </c>
      <c r="S768" t="s">
        <v>22</v>
      </c>
    </row>
    <row r="769" spans="1:19" x14ac:dyDescent="0.3">
      <c r="A769">
        <v>500768</v>
      </c>
      <c r="B769">
        <v>26351</v>
      </c>
      <c r="C769" t="s">
        <v>8</v>
      </c>
      <c r="D769" t="s">
        <v>25</v>
      </c>
      <c r="E769" s="1">
        <v>46126</v>
      </c>
      <c r="F769" t="s">
        <v>602</v>
      </c>
      <c r="G769" s="1">
        <v>46133</v>
      </c>
      <c r="H769" s="1" t="str">
        <f t="shared" si="22"/>
        <v>Tuesday</v>
      </c>
      <c r="I769">
        <v>73</v>
      </c>
      <c r="J769" t="s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 t="str">
        <f t="shared" si="23"/>
        <v>Non Chronic</v>
      </c>
      <c r="Q769">
        <v>0</v>
      </c>
      <c r="R769">
        <v>0</v>
      </c>
      <c r="S769" t="s">
        <v>9</v>
      </c>
    </row>
    <row r="770" spans="1:19" x14ac:dyDescent="0.3">
      <c r="A770">
        <v>500769</v>
      </c>
      <c r="B770">
        <v>79899</v>
      </c>
      <c r="C770" t="s">
        <v>4</v>
      </c>
      <c r="D770" t="s">
        <v>19</v>
      </c>
      <c r="E770" s="1">
        <v>46074</v>
      </c>
      <c r="F770" t="s">
        <v>601</v>
      </c>
      <c r="G770" s="1">
        <v>46089</v>
      </c>
      <c r="H770" s="1" t="str">
        <f t="shared" si="22"/>
        <v>Sunday</v>
      </c>
      <c r="I770">
        <v>25</v>
      </c>
      <c r="J770" t="s">
        <v>5</v>
      </c>
      <c r="K770">
        <v>1</v>
      </c>
      <c r="L770">
        <v>0</v>
      </c>
      <c r="M770">
        <v>0</v>
      </c>
      <c r="N770">
        <v>0</v>
      </c>
      <c r="O770">
        <v>0</v>
      </c>
      <c r="P770" t="str">
        <f t="shared" si="23"/>
        <v>Non Chronic</v>
      </c>
      <c r="Q770">
        <v>1</v>
      </c>
      <c r="R770">
        <v>1</v>
      </c>
      <c r="S770" t="s">
        <v>22</v>
      </c>
    </row>
    <row r="771" spans="1:19" x14ac:dyDescent="0.3">
      <c r="A771">
        <v>500770</v>
      </c>
      <c r="B771">
        <v>59501</v>
      </c>
      <c r="C771" t="s">
        <v>4</v>
      </c>
      <c r="D771" t="s">
        <v>58</v>
      </c>
      <c r="E771" s="1">
        <v>45990</v>
      </c>
      <c r="F771" t="s">
        <v>600</v>
      </c>
      <c r="G771" s="1">
        <v>46005</v>
      </c>
      <c r="H771" s="1" t="str">
        <f t="shared" ref="H771:H834" si="24">TEXT(G771,"dddd")</f>
        <v>Sunday</v>
      </c>
      <c r="I771">
        <v>74</v>
      </c>
      <c r="J771" t="s">
        <v>20</v>
      </c>
      <c r="K771">
        <v>0</v>
      </c>
      <c r="L771">
        <v>0</v>
      </c>
      <c r="M771">
        <v>0</v>
      </c>
      <c r="N771">
        <v>0</v>
      </c>
      <c r="O771">
        <v>0</v>
      </c>
      <c r="P771" t="str">
        <f t="shared" ref="P771:P834" si="25">IF(OR(L771=1,M771=1),"Chronic","Non Chronic")</f>
        <v>Non Chronic</v>
      </c>
      <c r="Q771">
        <v>1</v>
      </c>
      <c r="R771">
        <v>1</v>
      </c>
      <c r="S771" t="s">
        <v>9</v>
      </c>
    </row>
    <row r="772" spans="1:19" x14ac:dyDescent="0.3">
      <c r="A772">
        <v>500771</v>
      </c>
      <c r="B772">
        <v>27047</v>
      </c>
      <c r="C772" t="s">
        <v>8</v>
      </c>
      <c r="D772" t="s">
        <v>14</v>
      </c>
      <c r="E772" s="1">
        <v>46000</v>
      </c>
      <c r="F772" t="s">
        <v>275</v>
      </c>
      <c r="G772" s="1">
        <v>46005</v>
      </c>
      <c r="H772" s="1" t="str">
        <f t="shared" si="24"/>
        <v>Sunday</v>
      </c>
      <c r="I772">
        <v>52</v>
      </c>
      <c r="J772" t="s">
        <v>10</v>
      </c>
      <c r="K772">
        <v>0</v>
      </c>
      <c r="L772">
        <v>0</v>
      </c>
      <c r="M772">
        <v>0</v>
      </c>
      <c r="N772">
        <v>0</v>
      </c>
      <c r="O772">
        <v>0</v>
      </c>
      <c r="P772" t="str">
        <f t="shared" si="25"/>
        <v>Non Chronic</v>
      </c>
      <c r="Q772">
        <v>1</v>
      </c>
      <c r="R772">
        <v>0</v>
      </c>
      <c r="S772" t="s">
        <v>0</v>
      </c>
    </row>
    <row r="773" spans="1:19" x14ac:dyDescent="0.3">
      <c r="A773">
        <v>500772</v>
      </c>
      <c r="B773">
        <v>75382</v>
      </c>
      <c r="C773" t="s">
        <v>8</v>
      </c>
      <c r="D773" t="s">
        <v>7</v>
      </c>
      <c r="E773" s="1">
        <v>46020</v>
      </c>
      <c r="F773" t="s">
        <v>599</v>
      </c>
      <c r="G773" s="1">
        <v>46021</v>
      </c>
      <c r="H773" s="1" t="str">
        <f t="shared" si="24"/>
        <v>Tuesday</v>
      </c>
      <c r="I773">
        <v>26</v>
      </c>
      <c r="J773" t="s">
        <v>10</v>
      </c>
      <c r="K773">
        <v>1</v>
      </c>
      <c r="L773">
        <v>0</v>
      </c>
      <c r="M773">
        <v>0</v>
      </c>
      <c r="N773">
        <v>0</v>
      </c>
      <c r="O773">
        <v>0</v>
      </c>
      <c r="P773" t="str">
        <f t="shared" si="25"/>
        <v>Non Chronic</v>
      </c>
      <c r="Q773">
        <v>1</v>
      </c>
      <c r="R773">
        <v>0</v>
      </c>
      <c r="S773" t="s">
        <v>22</v>
      </c>
    </row>
    <row r="774" spans="1:19" x14ac:dyDescent="0.3">
      <c r="A774">
        <v>500773</v>
      </c>
      <c r="B774">
        <v>26958</v>
      </c>
      <c r="C774" t="s">
        <v>4</v>
      </c>
      <c r="D774" t="s">
        <v>14</v>
      </c>
      <c r="E774" s="1">
        <v>46130</v>
      </c>
      <c r="F774" t="s">
        <v>598</v>
      </c>
      <c r="G774" s="1">
        <v>46150</v>
      </c>
      <c r="H774" s="1" t="str">
        <f t="shared" si="24"/>
        <v>Friday</v>
      </c>
      <c r="I774">
        <v>50</v>
      </c>
      <c r="J774" t="s">
        <v>10</v>
      </c>
      <c r="K774">
        <v>1</v>
      </c>
      <c r="L774">
        <v>1</v>
      </c>
      <c r="M774">
        <v>1</v>
      </c>
      <c r="N774">
        <v>0</v>
      </c>
      <c r="O774">
        <v>0</v>
      </c>
      <c r="P774" t="str">
        <f t="shared" si="25"/>
        <v>Chronic</v>
      </c>
      <c r="Q774">
        <v>1</v>
      </c>
      <c r="R774">
        <v>0</v>
      </c>
      <c r="S774" t="s">
        <v>0</v>
      </c>
    </row>
    <row r="775" spans="1:19" x14ac:dyDescent="0.3">
      <c r="A775">
        <v>500774</v>
      </c>
      <c r="B775">
        <v>24461</v>
      </c>
      <c r="C775" t="s">
        <v>4</v>
      </c>
      <c r="D775" t="s">
        <v>19</v>
      </c>
      <c r="E775" s="1">
        <v>46047</v>
      </c>
      <c r="F775" t="s">
        <v>597</v>
      </c>
      <c r="G775" s="1">
        <v>46049</v>
      </c>
      <c r="H775" s="1" t="str">
        <f t="shared" si="24"/>
        <v>Tuesday</v>
      </c>
      <c r="I775">
        <v>57</v>
      </c>
      <c r="J775" t="s">
        <v>1</v>
      </c>
      <c r="K775">
        <v>1</v>
      </c>
      <c r="L775">
        <v>1</v>
      </c>
      <c r="M775">
        <v>1</v>
      </c>
      <c r="N775">
        <v>0</v>
      </c>
      <c r="O775">
        <v>0</v>
      </c>
      <c r="P775" t="str">
        <f t="shared" si="25"/>
        <v>Chronic</v>
      </c>
      <c r="Q775">
        <v>1</v>
      </c>
      <c r="R775">
        <v>0</v>
      </c>
      <c r="S775" t="s">
        <v>0</v>
      </c>
    </row>
    <row r="776" spans="1:19" x14ac:dyDescent="0.3">
      <c r="A776">
        <v>500775</v>
      </c>
      <c r="B776">
        <v>28630</v>
      </c>
      <c r="C776" t="s">
        <v>8</v>
      </c>
      <c r="D776" t="s">
        <v>36</v>
      </c>
      <c r="E776" s="1">
        <v>46059</v>
      </c>
      <c r="F776" t="s">
        <v>596</v>
      </c>
      <c r="G776" s="1">
        <v>46060</v>
      </c>
      <c r="H776" s="1" t="str">
        <f t="shared" si="24"/>
        <v>Saturday</v>
      </c>
      <c r="I776">
        <v>50</v>
      </c>
      <c r="J776" t="s">
        <v>5</v>
      </c>
      <c r="K776">
        <v>1</v>
      </c>
      <c r="L776">
        <v>1</v>
      </c>
      <c r="M776">
        <v>0</v>
      </c>
      <c r="N776">
        <v>0</v>
      </c>
      <c r="O776">
        <v>0</v>
      </c>
      <c r="P776" t="str">
        <f t="shared" si="25"/>
        <v>Chronic</v>
      </c>
      <c r="Q776">
        <v>1</v>
      </c>
      <c r="R776">
        <v>0</v>
      </c>
      <c r="S776" t="s">
        <v>0</v>
      </c>
    </row>
    <row r="777" spans="1:19" x14ac:dyDescent="0.3">
      <c r="A777">
        <v>500776</v>
      </c>
      <c r="B777">
        <v>64732</v>
      </c>
      <c r="C777" t="s">
        <v>8</v>
      </c>
      <c r="D777" t="s">
        <v>25</v>
      </c>
      <c r="E777" s="1">
        <v>46073</v>
      </c>
      <c r="F777" t="s">
        <v>595</v>
      </c>
      <c r="G777" s="1">
        <v>46078</v>
      </c>
      <c r="H777" s="1" t="str">
        <f t="shared" si="24"/>
        <v>Wednesday</v>
      </c>
      <c r="I777">
        <v>6</v>
      </c>
      <c r="J777" t="s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 t="str">
        <f t="shared" si="25"/>
        <v>Non Chronic</v>
      </c>
      <c r="Q777">
        <v>1</v>
      </c>
      <c r="R777">
        <v>0</v>
      </c>
      <c r="S777" t="s">
        <v>30</v>
      </c>
    </row>
    <row r="778" spans="1:19" x14ac:dyDescent="0.3">
      <c r="A778">
        <v>500777</v>
      </c>
      <c r="B778">
        <v>89391</v>
      </c>
      <c r="C778" t="s">
        <v>4</v>
      </c>
      <c r="D778" t="s">
        <v>28</v>
      </c>
      <c r="E778" s="1">
        <v>46161</v>
      </c>
      <c r="F778" t="s">
        <v>492</v>
      </c>
      <c r="G778" s="1">
        <v>46171</v>
      </c>
      <c r="H778" s="1" t="str">
        <f t="shared" si="24"/>
        <v>Friday</v>
      </c>
      <c r="I778">
        <v>23</v>
      </c>
      <c r="J778" t="s">
        <v>12</v>
      </c>
      <c r="K778">
        <v>1</v>
      </c>
      <c r="L778">
        <v>0</v>
      </c>
      <c r="M778">
        <v>0</v>
      </c>
      <c r="N778">
        <v>0</v>
      </c>
      <c r="O778">
        <v>0</v>
      </c>
      <c r="P778" t="str">
        <f t="shared" si="25"/>
        <v>Non Chronic</v>
      </c>
      <c r="Q778">
        <v>1</v>
      </c>
      <c r="R778">
        <v>0</v>
      </c>
      <c r="S778" t="s">
        <v>22</v>
      </c>
    </row>
    <row r="779" spans="1:19" x14ac:dyDescent="0.3">
      <c r="A779">
        <v>500778</v>
      </c>
      <c r="B779">
        <v>21706</v>
      </c>
      <c r="C779" t="s">
        <v>8</v>
      </c>
      <c r="D779" t="s">
        <v>3</v>
      </c>
      <c r="E779" s="1">
        <v>46149</v>
      </c>
      <c r="F779" t="s">
        <v>270</v>
      </c>
      <c r="G779" s="1">
        <v>46149</v>
      </c>
      <c r="H779" s="1" t="str">
        <f t="shared" si="24"/>
        <v>Thursday</v>
      </c>
      <c r="I779">
        <v>33</v>
      </c>
      <c r="J779" t="s">
        <v>45</v>
      </c>
      <c r="K779">
        <v>1</v>
      </c>
      <c r="L779">
        <v>0</v>
      </c>
      <c r="M779">
        <v>0</v>
      </c>
      <c r="N779">
        <v>0</v>
      </c>
      <c r="O779">
        <v>0</v>
      </c>
      <c r="P779" t="str">
        <f t="shared" si="25"/>
        <v>Non Chronic</v>
      </c>
      <c r="Q779">
        <v>1</v>
      </c>
      <c r="R779">
        <v>0</v>
      </c>
      <c r="S779" t="s">
        <v>22</v>
      </c>
    </row>
    <row r="780" spans="1:19" x14ac:dyDescent="0.3">
      <c r="A780">
        <v>500779</v>
      </c>
      <c r="B780">
        <v>46356</v>
      </c>
      <c r="C780" t="s">
        <v>4</v>
      </c>
      <c r="D780" t="s">
        <v>28</v>
      </c>
      <c r="E780" s="1">
        <v>46062</v>
      </c>
      <c r="F780" t="s">
        <v>528</v>
      </c>
      <c r="G780" s="1">
        <v>46063</v>
      </c>
      <c r="H780" s="1" t="str">
        <f t="shared" si="24"/>
        <v>Tuesday</v>
      </c>
      <c r="I780">
        <v>36</v>
      </c>
      <c r="J780" t="s">
        <v>17</v>
      </c>
      <c r="K780">
        <v>1</v>
      </c>
      <c r="L780">
        <v>0</v>
      </c>
      <c r="M780">
        <v>0</v>
      </c>
      <c r="N780">
        <v>0</v>
      </c>
      <c r="O780">
        <v>0</v>
      </c>
      <c r="P780" t="str">
        <f t="shared" si="25"/>
        <v>Non Chronic</v>
      </c>
      <c r="Q780">
        <v>1</v>
      </c>
      <c r="R780">
        <v>1</v>
      </c>
      <c r="S780" t="s">
        <v>22</v>
      </c>
    </row>
    <row r="781" spans="1:19" x14ac:dyDescent="0.3">
      <c r="A781">
        <v>500780</v>
      </c>
      <c r="B781">
        <v>91094</v>
      </c>
      <c r="C781" t="s">
        <v>4</v>
      </c>
      <c r="D781" t="s">
        <v>14</v>
      </c>
      <c r="E781" s="1">
        <v>46103</v>
      </c>
      <c r="F781" t="s">
        <v>70</v>
      </c>
      <c r="G781" s="1">
        <v>46103</v>
      </c>
      <c r="H781" s="1" t="str">
        <f t="shared" si="24"/>
        <v>Sunday</v>
      </c>
      <c r="I781">
        <v>50</v>
      </c>
      <c r="J781" t="s">
        <v>10</v>
      </c>
      <c r="K781">
        <v>0</v>
      </c>
      <c r="L781">
        <v>1</v>
      </c>
      <c r="M781">
        <v>0</v>
      </c>
      <c r="N781">
        <v>0</v>
      </c>
      <c r="O781">
        <v>0</v>
      </c>
      <c r="P781" t="str">
        <f t="shared" si="25"/>
        <v>Chronic</v>
      </c>
      <c r="Q781">
        <v>0</v>
      </c>
      <c r="R781">
        <v>0</v>
      </c>
      <c r="S781" t="s">
        <v>0</v>
      </c>
    </row>
    <row r="782" spans="1:19" x14ac:dyDescent="0.3">
      <c r="A782">
        <v>500781</v>
      </c>
      <c r="B782">
        <v>85963</v>
      </c>
      <c r="C782" t="s">
        <v>8</v>
      </c>
      <c r="D782" t="s">
        <v>58</v>
      </c>
      <c r="E782" s="1">
        <v>45982</v>
      </c>
      <c r="F782" t="s">
        <v>594</v>
      </c>
      <c r="G782" s="1">
        <v>45997</v>
      </c>
      <c r="H782" s="1" t="str">
        <f t="shared" si="24"/>
        <v>Saturday</v>
      </c>
      <c r="I782">
        <v>41</v>
      </c>
      <c r="J782" t="s">
        <v>12</v>
      </c>
      <c r="K782">
        <v>1</v>
      </c>
      <c r="L782">
        <v>0</v>
      </c>
      <c r="M782">
        <v>0</v>
      </c>
      <c r="N782">
        <v>1</v>
      </c>
      <c r="O782">
        <v>0</v>
      </c>
      <c r="P782" t="str">
        <f t="shared" si="25"/>
        <v>Non Chronic</v>
      </c>
      <c r="Q782">
        <v>1</v>
      </c>
      <c r="R782">
        <v>1</v>
      </c>
      <c r="S782" t="s">
        <v>0</v>
      </c>
    </row>
    <row r="783" spans="1:19" x14ac:dyDescent="0.3">
      <c r="A783">
        <v>500782</v>
      </c>
      <c r="B783">
        <v>64386</v>
      </c>
      <c r="C783" t="s">
        <v>4</v>
      </c>
      <c r="D783" t="s">
        <v>19</v>
      </c>
      <c r="E783" s="1">
        <v>45989</v>
      </c>
      <c r="F783" t="s">
        <v>593</v>
      </c>
      <c r="G783" s="1">
        <v>45991</v>
      </c>
      <c r="H783" s="1" t="str">
        <f t="shared" si="24"/>
        <v>Sunday</v>
      </c>
      <c r="I783">
        <v>11</v>
      </c>
      <c r="J783" t="s">
        <v>23</v>
      </c>
      <c r="K783">
        <v>0</v>
      </c>
      <c r="L783">
        <v>0</v>
      </c>
      <c r="M783">
        <v>0</v>
      </c>
      <c r="N783">
        <v>0</v>
      </c>
      <c r="O783">
        <v>0</v>
      </c>
      <c r="P783" t="str">
        <f t="shared" si="25"/>
        <v>Non Chronic</v>
      </c>
      <c r="Q783">
        <v>1</v>
      </c>
      <c r="R783">
        <v>1</v>
      </c>
      <c r="S783" t="s">
        <v>30</v>
      </c>
    </row>
    <row r="784" spans="1:19" x14ac:dyDescent="0.3">
      <c r="A784">
        <v>500783</v>
      </c>
      <c r="B784">
        <v>32040</v>
      </c>
      <c r="C784" t="s">
        <v>8</v>
      </c>
      <c r="D784" t="s">
        <v>28</v>
      </c>
      <c r="E784" s="1">
        <v>46109</v>
      </c>
      <c r="F784" t="s">
        <v>592</v>
      </c>
      <c r="G784" s="1">
        <v>46139</v>
      </c>
      <c r="H784" s="1" t="str">
        <f t="shared" si="24"/>
        <v>Monday</v>
      </c>
      <c r="I784">
        <v>45</v>
      </c>
      <c r="J784" t="s">
        <v>31</v>
      </c>
      <c r="K784">
        <v>1</v>
      </c>
      <c r="L784">
        <v>0</v>
      </c>
      <c r="M784">
        <v>0</v>
      </c>
      <c r="N784">
        <v>0</v>
      </c>
      <c r="O784">
        <v>0</v>
      </c>
      <c r="P784" t="str">
        <f t="shared" si="25"/>
        <v>Non Chronic</v>
      </c>
      <c r="Q784">
        <v>1</v>
      </c>
      <c r="R784">
        <v>1</v>
      </c>
      <c r="S784" t="s">
        <v>0</v>
      </c>
    </row>
    <row r="785" spans="1:19" x14ac:dyDescent="0.3">
      <c r="A785">
        <v>500784</v>
      </c>
      <c r="B785">
        <v>52636</v>
      </c>
      <c r="C785" t="s">
        <v>4</v>
      </c>
      <c r="D785" t="s">
        <v>36</v>
      </c>
      <c r="E785" s="1">
        <v>46149</v>
      </c>
      <c r="F785" t="s">
        <v>591</v>
      </c>
      <c r="G785" s="1">
        <v>46152</v>
      </c>
      <c r="H785" s="1" t="str">
        <f t="shared" si="24"/>
        <v>Sunday</v>
      </c>
      <c r="I785">
        <v>50</v>
      </c>
      <c r="J785" t="s">
        <v>17</v>
      </c>
      <c r="K785">
        <v>1</v>
      </c>
      <c r="L785">
        <v>0</v>
      </c>
      <c r="M785">
        <v>0</v>
      </c>
      <c r="N785">
        <v>0</v>
      </c>
      <c r="O785">
        <v>0</v>
      </c>
      <c r="P785" t="str">
        <f t="shared" si="25"/>
        <v>Non Chronic</v>
      </c>
      <c r="Q785">
        <v>1</v>
      </c>
      <c r="R785">
        <v>0</v>
      </c>
      <c r="S785" t="s">
        <v>0</v>
      </c>
    </row>
    <row r="786" spans="1:19" x14ac:dyDescent="0.3">
      <c r="A786">
        <v>500785</v>
      </c>
      <c r="B786">
        <v>25855</v>
      </c>
      <c r="C786" t="s">
        <v>4</v>
      </c>
      <c r="D786" t="s">
        <v>14</v>
      </c>
      <c r="E786" s="1">
        <v>46161</v>
      </c>
      <c r="F786" t="s">
        <v>590</v>
      </c>
      <c r="G786" s="1">
        <v>46162</v>
      </c>
      <c r="H786" s="1" t="str">
        <f t="shared" si="24"/>
        <v>Wednesday</v>
      </c>
      <c r="I786">
        <v>49</v>
      </c>
      <c r="J786" t="s">
        <v>45</v>
      </c>
      <c r="K786">
        <v>0</v>
      </c>
      <c r="L786">
        <v>0</v>
      </c>
      <c r="M786">
        <v>0</v>
      </c>
      <c r="N786">
        <v>0</v>
      </c>
      <c r="O786">
        <v>0</v>
      </c>
      <c r="P786" t="str">
        <f t="shared" si="25"/>
        <v>Non Chronic</v>
      </c>
      <c r="Q786">
        <v>1</v>
      </c>
      <c r="R786">
        <v>0</v>
      </c>
      <c r="S786" t="s">
        <v>0</v>
      </c>
    </row>
    <row r="787" spans="1:19" x14ac:dyDescent="0.3">
      <c r="A787">
        <v>500786</v>
      </c>
      <c r="B787">
        <v>63356</v>
      </c>
      <c r="C787" t="s">
        <v>4</v>
      </c>
      <c r="D787" t="s">
        <v>7</v>
      </c>
      <c r="E787" s="1">
        <v>46020</v>
      </c>
      <c r="F787" t="s">
        <v>589</v>
      </c>
      <c r="G787" s="1">
        <v>46027</v>
      </c>
      <c r="H787" s="1" t="str">
        <f t="shared" si="24"/>
        <v>Monday</v>
      </c>
      <c r="I787">
        <v>59</v>
      </c>
      <c r="J787" t="s">
        <v>17</v>
      </c>
      <c r="K787">
        <v>1</v>
      </c>
      <c r="L787">
        <v>0</v>
      </c>
      <c r="M787">
        <v>0</v>
      </c>
      <c r="N787">
        <v>1</v>
      </c>
      <c r="O787">
        <v>0</v>
      </c>
      <c r="P787" t="str">
        <f t="shared" si="25"/>
        <v>Non Chronic</v>
      </c>
      <c r="Q787">
        <v>1</v>
      </c>
      <c r="R787">
        <v>0</v>
      </c>
      <c r="S787" t="s">
        <v>0</v>
      </c>
    </row>
    <row r="788" spans="1:19" x14ac:dyDescent="0.3">
      <c r="A788">
        <v>500787</v>
      </c>
      <c r="B788">
        <v>95400</v>
      </c>
      <c r="C788" t="s">
        <v>4</v>
      </c>
      <c r="D788" t="s">
        <v>25</v>
      </c>
      <c r="E788" s="1">
        <v>45994</v>
      </c>
      <c r="F788" t="s">
        <v>588</v>
      </c>
      <c r="G788" s="1">
        <v>46009</v>
      </c>
      <c r="H788" s="1" t="str">
        <f t="shared" si="24"/>
        <v>Thursday</v>
      </c>
      <c r="I788">
        <v>54</v>
      </c>
      <c r="J788" t="s">
        <v>1</v>
      </c>
      <c r="K788">
        <v>1</v>
      </c>
      <c r="L788">
        <v>0</v>
      </c>
      <c r="M788">
        <v>0</v>
      </c>
      <c r="N788">
        <v>0</v>
      </c>
      <c r="O788">
        <v>0</v>
      </c>
      <c r="P788" t="str">
        <f t="shared" si="25"/>
        <v>Non Chronic</v>
      </c>
      <c r="Q788">
        <v>1</v>
      </c>
      <c r="R788">
        <v>0</v>
      </c>
      <c r="S788" t="s">
        <v>0</v>
      </c>
    </row>
    <row r="789" spans="1:19" x14ac:dyDescent="0.3">
      <c r="A789">
        <v>500788</v>
      </c>
      <c r="B789">
        <v>32044</v>
      </c>
      <c r="C789" t="s">
        <v>4</v>
      </c>
      <c r="D789" t="s">
        <v>3</v>
      </c>
      <c r="E789" s="1">
        <v>46134</v>
      </c>
      <c r="F789" t="s">
        <v>353</v>
      </c>
      <c r="G789" s="1">
        <v>46141</v>
      </c>
      <c r="H789" s="1" t="str">
        <f t="shared" si="24"/>
        <v>Wednesday</v>
      </c>
      <c r="I789">
        <v>47</v>
      </c>
      <c r="J789" t="s">
        <v>12</v>
      </c>
      <c r="K789">
        <v>1</v>
      </c>
      <c r="L789">
        <v>1</v>
      </c>
      <c r="M789">
        <v>0</v>
      </c>
      <c r="N789">
        <v>0</v>
      </c>
      <c r="O789">
        <v>0</v>
      </c>
      <c r="P789" t="str">
        <f t="shared" si="25"/>
        <v>Chronic</v>
      </c>
      <c r="Q789">
        <v>1</v>
      </c>
      <c r="R789">
        <v>1</v>
      </c>
      <c r="S789" t="s">
        <v>0</v>
      </c>
    </row>
    <row r="790" spans="1:19" x14ac:dyDescent="0.3">
      <c r="A790">
        <v>500789</v>
      </c>
      <c r="B790">
        <v>17887</v>
      </c>
      <c r="C790" t="s">
        <v>8</v>
      </c>
      <c r="D790" t="s">
        <v>25</v>
      </c>
      <c r="E790" s="1">
        <v>46087</v>
      </c>
      <c r="F790" t="s">
        <v>587</v>
      </c>
      <c r="G790" s="1">
        <v>46090</v>
      </c>
      <c r="H790" s="1" t="str">
        <f t="shared" si="24"/>
        <v>Monday</v>
      </c>
      <c r="I790">
        <v>36</v>
      </c>
      <c r="J790" t="s">
        <v>1</v>
      </c>
      <c r="K790">
        <v>1</v>
      </c>
      <c r="L790">
        <v>0</v>
      </c>
      <c r="M790">
        <v>0</v>
      </c>
      <c r="N790">
        <v>0</v>
      </c>
      <c r="O790">
        <v>0</v>
      </c>
      <c r="P790" t="str">
        <f t="shared" si="25"/>
        <v>Non Chronic</v>
      </c>
      <c r="Q790">
        <v>1</v>
      </c>
      <c r="R790">
        <v>0</v>
      </c>
      <c r="S790" t="s">
        <v>22</v>
      </c>
    </row>
    <row r="791" spans="1:19" x14ac:dyDescent="0.3">
      <c r="A791">
        <v>500790</v>
      </c>
      <c r="B791">
        <v>86697</v>
      </c>
      <c r="C791" t="s">
        <v>8</v>
      </c>
      <c r="D791" t="s">
        <v>36</v>
      </c>
      <c r="E791" s="1">
        <v>46008</v>
      </c>
      <c r="F791" t="s">
        <v>586</v>
      </c>
      <c r="G791" s="1">
        <v>46018</v>
      </c>
      <c r="H791" s="1" t="str">
        <f t="shared" si="24"/>
        <v>Saturday</v>
      </c>
      <c r="I791">
        <v>4</v>
      </c>
      <c r="J791" t="s">
        <v>31</v>
      </c>
      <c r="K791">
        <v>0</v>
      </c>
      <c r="L791">
        <v>0</v>
      </c>
      <c r="M791">
        <v>0</v>
      </c>
      <c r="N791">
        <v>0</v>
      </c>
      <c r="O791">
        <v>0</v>
      </c>
      <c r="P791" t="str">
        <f t="shared" si="25"/>
        <v>Non Chronic</v>
      </c>
      <c r="Q791">
        <v>1</v>
      </c>
      <c r="R791">
        <v>0</v>
      </c>
      <c r="S791" t="s">
        <v>30</v>
      </c>
    </row>
    <row r="792" spans="1:19" x14ac:dyDescent="0.3">
      <c r="A792">
        <v>500791</v>
      </c>
      <c r="B792">
        <v>61813</v>
      </c>
      <c r="C792" t="s">
        <v>4</v>
      </c>
      <c r="D792" t="s">
        <v>28</v>
      </c>
      <c r="E792" s="1">
        <v>46130</v>
      </c>
      <c r="F792" t="s">
        <v>585</v>
      </c>
      <c r="G792" s="1">
        <v>46145</v>
      </c>
      <c r="H792" s="1" t="str">
        <f t="shared" si="24"/>
        <v>Sunday</v>
      </c>
      <c r="I792">
        <v>46</v>
      </c>
      <c r="J792" t="s">
        <v>12</v>
      </c>
      <c r="K792">
        <v>1</v>
      </c>
      <c r="L792">
        <v>0</v>
      </c>
      <c r="M792">
        <v>1</v>
      </c>
      <c r="N792">
        <v>0</v>
      </c>
      <c r="O792">
        <v>0</v>
      </c>
      <c r="P792" t="str">
        <f t="shared" si="25"/>
        <v>Chronic</v>
      </c>
      <c r="Q792">
        <v>0</v>
      </c>
      <c r="R792">
        <v>0</v>
      </c>
      <c r="S792" t="s">
        <v>0</v>
      </c>
    </row>
    <row r="793" spans="1:19" x14ac:dyDescent="0.3">
      <c r="A793">
        <v>500792</v>
      </c>
      <c r="B793">
        <v>93252</v>
      </c>
      <c r="C793" t="s">
        <v>8</v>
      </c>
      <c r="D793" t="s">
        <v>7</v>
      </c>
      <c r="E793" s="1">
        <v>46019</v>
      </c>
      <c r="F793" t="s">
        <v>584</v>
      </c>
      <c r="G793" s="1">
        <v>46021</v>
      </c>
      <c r="H793" s="1" t="str">
        <f t="shared" si="24"/>
        <v>Tuesday</v>
      </c>
      <c r="I793">
        <v>42</v>
      </c>
      <c r="J793" t="s">
        <v>5</v>
      </c>
      <c r="K793">
        <v>0</v>
      </c>
      <c r="L793">
        <v>0</v>
      </c>
      <c r="M793">
        <v>0</v>
      </c>
      <c r="N793">
        <v>0</v>
      </c>
      <c r="O793">
        <v>0</v>
      </c>
      <c r="P793" t="str">
        <f t="shared" si="25"/>
        <v>Non Chronic</v>
      </c>
      <c r="Q793">
        <v>0</v>
      </c>
      <c r="R793">
        <v>0</v>
      </c>
      <c r="S793" t="s">
        <v>0</v>
      </c>
    </row>
    <row r="794" spans="1:19" x14ac:dyDescent="0.3">
      <c r="A794">
        <v>500793</v>
      </c>
      <c r="B794">
        <v>27527</v>
      </c>
      <c r="C794" t="s">
        <v>4</v>
      </c>
      <c r="D794" t="s">
        <v>7</v>
      </c>
      <c r="E794" s="1">
        <v>46066</v>
      </c>
      <c r="F794" t="s">
        <v>54</v>
      </c>
      <c r="G794" s="1">
        <v>46086</v>
      </c>
      <c r="H794" s="1" t="str">
        <f t="shared" si="24"/>
        <v>Thursday</v>
      </c>
      <c r="I794">
        <v>43</v>
      </c>
      <c r="J794" t="s">
        <v>17</v>
      </c>
      <c r="K794">
        <v>0</v>
      </c>
      <c r="L794">
        <v>0</v>
      </c>
      <c r="M794">
        <v>0</v>
      </c>
      <c r="N794">
        <v>0</v>
      </c>
      <c r="O794">
        <v>0</v>
      </c>
      <c r="P794" t="str">
        <f t="shared" si="25"/>
        <v>Non Chronic</v>
      </c>
      <c r="Q794">
        <v>1</v>
      </c>
      <c r="R794">
        <v>0</v>
      </c>
      <c r="S794" t="s">
        <v>0</v>
      </c>
    </row>
    <row r="795" spans="1:19" x14ac:dyDescent="0.3">
      <c r="A795">
        <v>500794</v>
      </c>
      <c r="B795">
        <v>80533</v>
      </c>
      <c r="C795" t="s">
        <v>4</v>
      </c>
      <c r="D795" t="s">
        <v>58</v>
      </c>
      <c r="E795" s="1">
        <v>46106</v>
      </c>
      <c r="F795" t="s">
        <v>583</v>
      </c>
      <c r="G795" s="1">
        <v>46106</v>
      </c>
      <c r="H795" s="1" t="str">
        <f t="shared" si="24"/>
        <v>Wednesday</v>
      </c>
      <c r="I795">
        <v>12</v>
      </c>
      <c r="J795" t="s">
        <v>12</v>
      </c>
      <c r="K795">
        <v>0</v>
      </c>
      <c r="L795">
        <v>0</v>
      </c>
      <c r="M795">
        <v>0</v>
      </c>
      <c r="N795">
        <v>0</v>
      </c>
      <c r="O795">
        <v>0</v>
      </c>
      <c r="P795" t="str">
        <f t="shared" si="25"/>
        <v>Non Chronic</v>
      </c>
      <c r="Q795">
        <v>0</v>
      </c>
      <c r="R795">
        <v>0</v>
      </c>
      <c r="S795" t="s">
        <v>30</v>
      </c>
    </row>
    <row r="796" spans="1:19" x14ac:dyDescent="0.3">
      <c r="A796">
        <v>500795</v>
      </c>
      <c r="B796">
        <v>98112</v>
      </c>
      <c r="C796" t="s">
        <v>4</v>
      </c>
      <c r="D796" t="s">
        <v>19</v>
      </c>
      <c r="E796" s="1">
        <v>46028</v>
      </c>
      <c r="F796" t="s">
        <v>582</v>
      </c>
      <c r="G796" s="1">
        <v>46043</v>
      </c>
      <c r="H796" s="1" t="str">
        <f t="shared" si="24"/>
        <v>Wednesday</v>
      </c>
      <c r="I796">
        <v>16</v>
      </c>
      <c r="J796" t="s">
        <v>23</v>
      </c>
      <c r="K796">
        <v>0</v>
      </c>
      <c r="L796">
        <v>0</v>
      </c>
      <c r="M796">
        <v>0</v>
      </c>
      <c r="N796">
        <v>0</v>
      </c>
      <c r="O796">
        <v>0</v>
      </c>
      <c r="P796" t="str">
        <f t="shared" si="25"/>
        <v>Non Chronic</v>
      </c>
      <c r="Q796">
        <v>1</v>
      </c>
      <c r="R796">
        <v>1</v>
      </c>
      <c r="S796" t="s">
        <v>30</v>
      </c>
    </row>
    <row r="797" spans="1:19" x14ac:dyDescent="0.3">
      <c r="A797">
        <v>500796</v>
      </c>
      <c r="B797">
        <v>11105</v>
      </c>
      <c r="C797" t="s">
        <v>4</v>
      </c>
      <c r="D797" t="s">
        <v>7</v>
      </c>
      <c r="E797" s="1">
        <v>46139</v>
      </c>
      <c r="F797" t="s">
        <v>581</v>
      </c>
      <c r="G797" s="1">
        <v>46159</v>
      </c>
      <c r="H797" s="1" t="str">
        <f t="shared" si="24"/>
        <v>Sunday</v>
      </c>
      <c r="I797">
        <v>59</v>
      </c>
      <c r="J797" t="s">
        <v>20</v>
      </c>
      <c r="K797">
        <v>0</v>
      </c>
      <c r="L797">
        <v>0</v>
      </c>
      <c r="M797">
        <v>0</v>
      </c>
      <c r="N797">
        <v>1</v>
      </c>
      <c r="O797">
        <v>0</v>
      </c>
      <c r="P797" t="str">
        <f t="shared" si="25"/>
        <v>Non Chronic</v>
      </c>
      <c r="Q797">
        <v>1</v>
      </c>
      <c r="R797">
        <v>1</v>
      </c>
      <c r="S797" t="s">
        <v>0</v>
      </c>
    </row>
    <row r="798" spans="1:19" x14ac:dyDescent="0.3">
      <c r="A798">
        <v>500797</v>
      </c>
      <c r="B798">
        <v>90405</v>
      </c>
      <c r="C798" t="s">
        <v>8</v>
      </c>
      <c r="D798" t="s">
        <v>14</v>
      </c>
      <c r="E798" s="1">
        <v>46046</v>
      </c>
      <c r="F798" t="s">
        <v>580</v>
      </c>
      <c r="G798" s="1">
        <v>46046</v>
      </c>
      <c r="H798" s="1" t="str">
        <f t="shared" si="24"/>
        <v>Saturday</v>
      </c>
      <c r="I798">
        <v>37</v>
      </c>
      <c r="J798" t="s">
        <v>45</v>
      </c>
      <c r="K798">
        <v>1</v>
      </c>
      <c r="L798">
        <v>0</v>
      </c>
      <c r="M798">
        <v>0</v>
      </c>
      <c r="N798">
        <v>0</v>
      </c>
      <c r="O798">
        <v>0</v>
      </c>
      <c r="P798" t="str">
        <f t="shared" si="25"/>
        <v>Non Chronic</v>
      </c>
      <c r="Q798">
        <v>1</v>
      </c>
      <c r="R798">
        <v>0</v>
      </c>
      <c r="S798" t="s">
        <v>22</v>
      </c>
    </row>
    <row r="799" spans="1:19" x14ac:dyDescent="0.3">
      <c r="A799">
        <v>500798</v>
      </c>
      <c r="B799">
        <v>89433</v>
      </c>
      <c r="C799" t="s">
        <v>4</v>
      </c>
      <c r="D799" t="s">
        <v>36</v>
      </c>
      <c r="E799" s="1">
        <v>46012</v>
      </c>
      <c r="F799" t="s">
        <v>13</v>
      </c>
      <c r="G799" s="1">
        <v>46013</v>
      </c>
      <c r="H799" s="1" t="str">
        <f t="shared" si="24"/>
        <v>Monday</v>
      </c>
      <c r="I799">
        <v>51</v>
      </c>
      <c r="J799" t="s">
        <v>45</v>
      </c>
      <c r="K799">
        <v>1</v>
      </c>
      <c r="L799">
        <v>1</v>
      </c>
      <c r="M799">
        <v>0</v>
      </c>
      <c r="N799">
        <v>0</v>
      </c>
      <c r="O799">
        <v>0</v>
      </c>
      <c r="P799" t="str">
        <f t="shared" si="25"/>
        <v>Chronic</v>
      </c>
      <c r="Q799">
        <v>1</v>
      </c>
      <c r="R799">
        <v>0</v>
      </c>
      <c r="S799" t="s">
        <v>0</v>
      </c>
    </row>
    <row r="800" spans="1:19" x14ac:dyDescent="0.3">
      <c r="A800">
        <v>500799</v>
      </c>
      <c r="B800">
        <v>98103</v>
      </c>
      <c r="C800" t="s">
        <v>4</v>
      </c>
      <c r="D800" t="s">
        <v>58</v>
      </c>
      <c r="E800" s="1">
        <v>46113</v>
      </c>
      <c r="F800" t="s">
        <v>579</v>
      </c>
      <c r="G800" s="1">
        <v>46114</v>
      </c>
      <c r="H800" s="1" t="str">
        <f t="shared" si="24"/>
        <v>Thursday</v>
      </c>
      <c r="I800">
        <v>38</v>
      </c>
      <c r="J800" t="s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 t="str">
        <f t="shared" si="25"/>
        <v>Non Chronic</v>
      </c>
      <c r="Q800">
        <v>0</v>
      </c>
      <c r="R800">
        <v>0</v>
      </c>
      <c r="S800" t="s">
        <v>22</v>
      </c>
    </row>
    <row r="801" spans="1:19" x14ac:dyDescent="0.3">
      <c r="A801">
        <v>500800</v>
      </c>
      <c r="B801">
        <v>78561</v>
      </c>
      <c r="C801" t="s">
        <v>8</v>
      </c>
      <c r="D801" t="s">
        <v>14</v>
      </c>
      <c r="E801" s="1">
        <v>46084</v>
      </c>
      <c r="F801" t="s">
        <v>115</v>
      </c>
      <c r="G801" s="1">
        <v>46104</v>
      </c>
      <c r="H801" s="1" t="str">
        <f t="shared" si="24"/>
        <v>Monday</v>
      </c>
      <c r="I801">
        <v>38</v>
      </c>
      <c r="J801" t="s">
        <v>17</v>
      </c>
      <c r="K801">
        <v>1</v>
      </c>
      <c r="L801">
        <v>0</v>
      </c>
      <c r="M801">
        <v>0</v>
      </c>
      <c r="N801">
        <v>0</v>
      </c>
      <c r="O801">
        <v>0</v>
      </c>
      <c r="P801" t="str">
        <f t="shared" si="25"/>
        <v>Non Chronic</v>
      </c>
      <c r="Q801">
        <v>1</v>
      </c>
      <c r="R801">
        <v>0</v>
      </c>
      <c r="S801" t="s">
        <v>22</v>
      </c>
    </row>
    <row r="802" spans="1:19" x14ac:dyDescent="0.3">
      <c r="A802">
        <v>500801</v>
      </c>
      <c r="B802">
        <v>98224</v>
      </c>
      <c r="C802" t="s">
        <v>4</v>
      </c>
      <c r="D802" t="s">
        <v>19</v>
      </c>
      <c r="E802" s="1">
        <v>46137</v>
      </c>
      <c r="F802" t="s">
        <v>578</v>
      </c>
      <c r="G802" s="1">
        <v>46147</v>
      </c>
      <c r="H802" s="1" t="str">
        <f t="shared" si="24"/>
        <v>Tuesday</v>
      </c>
      <c r="I802">
        <v>56</v>
      </c>
      <c r="J802" t="s">
        <v>23</v>
      </c>
      <c r="K802">
        <v>1</v>
      </c>
      <c r="L802">
        <v>1</v>
      </c>
      <c r="M802">
        <v>0</v>
      </c>
      <c r="N802">
        <v>0</v>
      </c>
      <c r="O802">
        <v>0</v>
      </c>
      <c r="P802" t="str">
        <f t="shared" si="25"/>
        <v>Chronic</v>
      </c>
      <c r="Q802">
        <v>0</v>
      </c>
      <c r="R802">
        <v>0</v>
      </c>
      <c r="S802" t="s">
        <v>0</v>
      </c>
    </row>
    <row r="803" spans="1:19" x14ac:dyDescent="0.3">
      <c r="A803">
        <v>500802</v>
      </c>
      <c r="B803">
        <v>46429</v>
      </c>
      <c r="C803" t="s">
        <v>8</v>
      </c>
      <c r="D803" t="s">
        <v>7</v>
      </c>
      <c r="E803" s="1">
        <v>46004</v>
      </c>
      <c r="F803" t="s">
        <v>577</v>
      </c>
      <c r="G803" s="1">
        <v>46007</v>
      </c>
      <c r="H803" s="1" t="str">
        <f t="shared" si="24"/>
        <v>Tuesday</v>
      </c>
      <c r="I803">
        <v>27</v>
      </c>
      <c r="J803" t="s">
        <v>20</v>
      </c>
      <c r="K803">
        <v>0</v>
      </c>
      <c r="L803">
        <v>0</v>
      </c>
      <c r="M803">
        <v>0</v>
      </c>
      <c r="N803">
        <v>0</v>
      </c>
      <c r="O803">
        <v>0</v>
      </c>
      <c r="P803" t="str">
        <f t="shared" si="25"/>
        <v>Non Chronic</v>
      </c>
      <c r="Q803">
        <v>0</v>
      </c>
      <c r="R803">
        <v>0</v>
      </c>
      <c r="S803" t="s">
        <v>22</v>
      </c>
    </row>
    <row r="804" spans="1:19" x14ac:dyDescent="0.3">
      <c r="A804">
        <v>500803</v>
      </c>
      <c r="B804">
        <v>39573</v>
      </c>
      <c r="C804" t="s">
        <v>8</v>
      </c>
      <c r="D804" t="s">
        <v>58</v>
      </c>
      <c r="E804" s="1">
        <v>46058</v>
      </c>
      <c r="F804" t="s">
        <v>576</v>
      </c>
      <c r="G804" s="1">
        <v>46060</v>
      </c>
      <c r="H804" s="1" t="str">
        <f t="shared" si="24"/>
        <v>Saturday</v>
      </c>
      <c r="I804">
        <v>39</v>
      </c>
      <c r="J804" t="s">
        <v>45</v>
      </c>
      <c r="K804">
        <v>0</v>
      </c>
      <c r="L804">
        <v>0</v>
      </c>
      <c r="M804">
        <v>0</v>
      </c>
      <c r="N804">
        <v>0</v>
      </c>
      <c r="O804">
        <v>0</v>
      </c>
      <c r="P804" t="str">
        <f t="shared" si="25"/>
        <v>Non Chronic</v>
      </c>
      <c r="Q804">
        <v>1</v>
      </c>
      <c r="R804">
        <v>1</v>
      </c>
      <c r="S804" t="s">
        <v>22</v>
      </c>
    </row>
    <row r="805" spans="1:19" x14ac:dyDescent="0.3">
      <c r="A805">
        <v>500804</v>
      </c>
      <c r="B805">
        <v>72910</v>
      </c>
      <c r="C805" t="s">
        <v>8</v>
      </c>
      <c r="D805" t="s">
        <v>36</v>
      </c>
      <c r="E805" s="1">
        <v>46073</v>
      </c>
      <c r="F805" t="s">
        <v>575</v>
      </c>
      <c r="G805" s="1">
        <v>46075</v>
      </c>
      <c r="H805" s="1" t="str">
        <f t="shared" si="24"/>
        <v>Sunday</v>
      </c>
      <c r="I805">
        <v>28</v>
      </c>
      <c r="J805" t="s">
        <v>1</v>
      </c>
      <c r="K805">
        <v>1</v>
      </c>
      <c r="L805">
        <v>0</v>
      </c>
      <c r="M805">
        <v>0</v>
      </c>
      <c r="N805">
        <v>0</v>
      </c>
      <c r="O805">
        <v>0</v>
      </c>
      <c r="P805" t="str">
        <f t="shared" si="25"/>
        <v>Non Chronic</v>
      </c>
      <c r="Q805">
        <v>1</v>
      </c>
      <c r="R805">
        <v>0</v>
      </c>
      <c r="S805" t="s">
        <v>22</v>
      </c>
    </row>
    <row r="806" spans="1:19" x14ac:dyDescent="0.3">
      <c r="A806">
        <v>500805</v>
      </c>
      <c r="B806">
        <v>17134</v>
      </c>
      <c r="C806" t="s">
        <v>8</v>
      </c>
      <c r="D806" t="s">
        <v>14</v>
      </c>
      <c r="E806" s="1">
        <v>46134</v>
      </c>
      <c r="F806" t="s">
        <v>574</v>
      </c>
      <c r="G806" s="1">
        <v>46141</v>
      </c>
      <c r="H806" s="1" t="str">
        <f t="shared" si="24"/>
        <v>Wednesday</v>
      </c>
      <c r="I806">
        <v>29</v>
      </c>
      <c r="J806" t="s">
        <v>15</v>
      </c>
      <c r="K806">
        <v>1</v>
      </c>
      <c r="L806">
        <v>0</v>
      </c>
      <c r="M806">
        <v>0</v>
      </c>
      <c r="N806">
        <v>0</v>
      </c>
      <c r="O806">
        <v>0</v>
      </c>
      <c r="P806" t="str">
        <f t="shared" si="25"/>
        <v>Non Chronic</v>
      </c>
      <c r="Q806">
        <v>1</v>
      </c>
      <c r="R806">
        <v>1</v>
      </c>
      <c r="S806" t="s">
        <v>22</v>
      </c>
    </row>
    <row r="807" spans="1:19" x14ac:dyDescent="0.3">
      <c r="A807">
        <v>500806</v>
      </c>
      <c r="B807">
        <v>17954</v>
      </c>
      <c r="C807" t="s">
        <v>4</v>
      </c>
      <c r="D807" t="s">
        <v>3</v>
      </c>
      <c r="E807" s="1">
        <v>46156</v>
      </c>
      <c r="F807" t="s">
        <v>270</v>
      </c>
      <c r="G807" s="1">
        <v>46156</v>
      </c>
      <c r="H807" s="1" t="str">
        <f t="shared" si="24"/>
        <v>Thursday</v>
      </c>
      <c r="I807">
        <v>31</v>
      </c>
      <c r="J807" t="s">
        <v>20</v>
      </c>
      <c r="K807">
        <v>0</v>
      </c>
      <c r="L807">
        <v>0</v>
      </c>
      <c r="M807">
        <v>0</v>
      </c>
      <c r="N807">
        <v>0</v>
      </c>
      <c r="O807">
        <v>0</v>
      </c>
      <c r="P807" t="str">
        <f t="shared" si="25"/>
        <v>Non Chronic</v>
      </c>
      <c r="Q807">
        <v>0</v>
      </c>
      <c r="R807">
        <v>1</v>
      </c>
      <c r="S807" t="s">
        <v>22</v>
      </c>
    </row>
    <row r="808" spans="1:19" x14ac:dyDescent="0.3">
      <c r="A808">
        <v>500807</v>
      </c>
      <c r="B808">
        <v>90050</v>
      </c>
      <c r="C808" t="s">
        <v>8</v>
      </c>
      <c r="D808" t="s">
        <v>58</v>
      </c>
      <c r="E808" s="1">
        <v>46103</v>
      </c>
      <c r="F808" t="s">
        <v>573</v>
      </c>
      <c r="G808" s="1">
        <v>46106</v>
      </c>
      <c r="H808" s="1" t="str">
        <f t="shared" si="24"/>
        <v>Wednesday</v>
      </c>
      <c r="I808">
        <v>42</v>
      </c>
      <c r="J808" t="s">
        <v>15</v>
      </c>
      <c r="K808">
        <v>0</v>
      </c>
      <c r="L808">
        <v>0</v>
      </c>
      <c r="M808">
        <v>0</v>
      </c>
      <c r="N808">
        <v>0</v>
      </c>
      <c r="O808">
        <v>0</v>
      </c>
      <c r="P808" t="str">
        <f t="shared" si="25"/>
        <v>Non Chronic</v>
      </c>
      <c r="Q808">
        <v>1</v>
      </c>
      <c r="R808">
        <v>0</v>
      </c>
      <c r="S808" t="s">
        <v>0</v>
      </c>
    </row>
    <row r="809" spans="1:19" x14ac:dyDescent="0.3">
      <c r="A809">
        <v>500808</v>
      </c>
      <c r="B809">
        <v>40554</v>
      </c>
      <c r="C809" t="s">
        <v>4</v>
      </c>
      <c r="D809" t="s">
        <v>7</v>
      </c>
      <c r="E809" s="1">
        <v>45999</v>
      </c>
      <c r="F809" t="s">
        <v>542</v>
      </c>
      <c r="G809" s="1">
        <v>46019</v>
      </c>
      <c r="H809" s="1" t="str">
        <f t="shared" si="24"/>
        <v>Sunday</v>
      </c>
      <c r="I809">
        <v>28</v>
      </c>
      <c r="J809" t="s">
        <v>23</v>
      </c>
      <c r="K809">
        <v>1</v>
      </c>
      <c r="L809">
        <v>0</v>
      </c>
      <c r="M809">
        <v>0</v>
      </c>
      <c r="N809">
        <v>0</v>
      </c>
      <c r="O809">
        <v>0</v>
      </c>
      <c r="P809" t="str">
        <f t="shared" si="25"/>
        <v>Non Chronic</v>
      </c>
      <c r="Q809">
        <v>1</v>
      </c>
      <c r="R809">
        <v>0</v>
      </c>
      <c r="S809" t="s">
        <v>22</v>
      </c>
    </row>
    <row r="810" spans="1:19" x14ac:dyDescent="0.3">
      <c r="A810">
        <v>500809</v>
      </c>
      <c r="B810">
        <v>98575</v>
      </c>
      <c r="C810" t="s">
        <v>4</v>
      </c>
      <c r="D810" t="s">
        <v>7</v>
      </c>
      <c r="E810" s="1">
        <v>46081</v>
      </c>
      <c r="F810" t="s">
        <v>125</v>
      </c>
      <c r="G810" s="1">
        <v>46088</v>
      </c>
      <c r="H810" s="1" t="str">
        <f t="shared" si="24"/>
        <v>Saturday</v>
      </c>
      <c r="I810">
        <v>63</v>
      </c>
      <c r="J810" t="s">
        <v>12</v>
      </c>
      <c r="K810">
        <v>1</v>
      </c>
      <c r="L810">
        <v>0</v>
      </c>
      <c r="M810">
        <v>1</v>
      </c>
      <c r="N810">
        <v>1</v>
      </c>
      <c r="O810">
        <v>0</v>
      </c>
      <c r="P810" t="str">
        <f t="shared" si="25"/>
        <v>Chronic</v>
      </c>
      <c r="Q810">
        <v>0</v>
      </c>
      <c r="R810">
        <v>0</v>
      </c>
      <c r="S810" t="s">
        <v>9</v>
      </c>
    </row>
    <row r="811" spans="1:19" x14ac:dyDescent="0.3">
      <c r="A811">
        <v>500810</v>
      </c>
      <c r="B811">
        <v>26512</v>
      </c>
      <c r="C811" t="s">
        <v>8</v>
      </c>
      <c r="D811" t="s">
        <v>19</v>
      </c>
      <c r="E811" s="1">
        <v>46030</v>
      </c>
      <c r="F811" t="s">
        <v>185</v>
      </c>
      <c r="G811" s="1">
        <v>46040</v>
      </c>
      <c r="H811" s="1" t="str">
        <f t="shared" si="24"/>
        <v>Sunday</v>
      </c>
      <c r="I811">
        <v>20</v>
      </c>
      <c r="J811" t="s">
        <v>23</v>
      </c>
      <c r="K811">
        <v>1</v>
      </c>
      <c r="L811">
        <v>0</v>
      </c>
      <c r="M811">
        <v>0</v>
      </c>
      <c r="N811">
        <v>0</v>
      </c>
      <c r="O811">
        <v>0</v>
      </c>
      <c r="P811" t="str">
        <f t="shared" si="25"/>
        <v>Non Chronic</v>
      </c>
      <c r="Q811">
        <v>1</v>
      </c>
      <c r="R811">
        <v>1</v>
      </c>
      <c r="S811" t="s">
        <v>22</v>
      </c>
    </row>
    <row r="812" spans="1:19" x14ac:dyDescent="0.3">
      <c r="A812">
        <v>500811</v>
      </c>
      <c r="B812">
        <v>15776</v>
      </c>
      <c r="C812" t="s">
        <v>4</v>
      </c>
      <c r="D812" t="s">
        <v>28</v>
      </c>
      <c r="E812" s="1">
        <v>46058</v>
      </c>
      <c r="F812" t="s">
        <v>572</v>
      </c>
      <c r="G812" s="1">
        <v>46065</v>
      </c>
      <c r="H812" s="1" t="str">
        <f t="shared" si="24"/>
        <v>Thursday</v>
      </c>
      <c r="I812">
        <v>34</v>
      </c>
      <c r="J812" t="s">
        <v>5</v>
      </c>
      <c r="K812">
        <v>1</v>
      </c>
      <c r="L812">
        <v>0</v>
      </c>
      <c r="M812">
        <v>0</v>
      </c>
      <c r="N812">
        <v>0</v>
      </c>
      <c r="O812">
        <v>0</v>
      </c>
      <c r="P812" t="str">
        <f t="shared" si="25"/>
        <v>Non Chronic</v>
      </c>
      <c r="Q812">
        <v>1</v>
      </c>
      <c r="R812">
        <v>0</v>
      </c>
      <c r="S812" t="s">
        <v>22</v>
      </c>
    </row>
    <row r="813" spans="1:19" x14ac:dyDescent="0.3">
      <c r="A813">
        <v>500812</v>
      </c>
      <c r="B813">
        <v>80928</v>
      </c>
      <c r="C813" t="s">
        <v>4</v>
      </c>
      <c r="D813" t="s">
        <v>28</v>
      </c>
      <c r="E813" s="1">
        <v>46163</v>
      </c>
      <c r="F813" t="s">
        <v>571</v>
      </c>
      <c r="G813" s="1">
        <v>46165</v>
      </c>
      <c r="H813" s="1" t="str">
        <f t="shared" si="24"/>
        <v>Saturday</v>
      </c>
      <c r="I813">
        <v>29</v>
      </c>
      <c r="J813" t="s">
        <v>10</v>
      </c>
      <c r="K813">
        <v>1</v>
      </c>
      <c r="L813">
        <v>0</v>
      </c>
      <c r="M813">
        <v>0</v>
      </c>
      <c r="N813">
        <v>0</v>
      </c>
      <c r="O813">
        <v>0</v>
      </c>
      <c r="P813" t="str">
        <f t="shared" si="25"/>
        <v>Non Chronic</v>
      </c>
      <c r="Q813">
        <v>0</v>
      </c>
      <c r="R813">
        <v>0</v>
      </c>
      <c r="S813" t="s">
        <v>22</v>
      </c>
    </row>
    <row r="814" spans="1:19" x14ac:dyDescent="0.3">
      <c r="A814">
        <v>500813</v>
      </c>
      <c r="B814">
        <v>96203</v>
      </c>
      <c r="C814" t="s">
        <v>4</v>
      </c>
      <c r="D814" t="s">
        <v>36</v>
      </c>
      <c r="E814" s="1">
        <v>46078</v>
      </c>
      <c r="F814" t="s">
        <v>570</v>
      </c>
      <c r="G814" s="1">
        <v>46093</v>
      </c>
      <c r="H814" s="1" t="str">
        <f t="shared" si="24"/>
        <v>Thursday</v>
      </c>
      <c r="I814">
        <v>66</v>
      </c>
      <c r="J814" t="s">
        <v>45</v>
      </c>
      <c r="K814">
        <v>0</v>
      </c>
      <c r="L814">
        <v>0</v>
      </c>
      <c r="M814">
        <v>1</v>
      </c>
      <c r="N814">
        <v>0</v>
      </c>
      <c r="O814">
        <v>0</v>
      </c>
      <c r="P814" t="str">
        <f t="shared" si="25"/>
        <v>Chronic</v>
      </c>
      <c r="Q814">
        <v>1</v>
      </c>
      <c r="R814">
        <v>0</v>
      </c>
      <c r="S814" t="s">
        <v>9</v>
      </c>
    </row>
    <row r="815" spans="1:19" x14ac:dyDescent="0.3">
      <c r="A815">
        <v>500814</v>
      </c>
      <c r="B815">
        <v>71263</v>
      </c>
      <c r="C815" t="s">
        <v>8</v>
      </c>
      <c r="D815" t="s">
        <v>19</v>
      </c>
      <c r="E815" s="1">
        <v>46002</v>
      </c>
      <c r="F815" t="s">
        <v>569</v>
      </c>
      <c r="G815" s="1">
        <v>46007</v>
      </c>
      <c r="H815" s="1" t="str">
        <f t="shared" si="24"/>
        <v>Tuesday</v>
      </c>
      <c r="I815">
        <v>41</v>
      </c>
      <c r="J815" t="s">
        <v>1</v>
      </c>
      <c r="K815">
        <v>1</v>
      </c>
      <c r="L815">
        <v>0</v>
      </c>
      <c r="M815">
        <v>0</v>
      </c>
      <c r="N815">
        <v>0</v>
      </c>
      <c r="O815">
        <v>0</v>
      </c>
      <c r="P815" t="str">
        <f t="shared" si="25"/>
        <v>Non Chronic</v>
      </c>
      <c r="Q815">
        <v>0</v>
      </c>
      <c r="R815">
        <v>1</v>
      </c>
      <c r="S815" t="s">
        <v>0</v>
      </c>
    </row>
    <row r="816" spans="1:19" x14ac:dyDescent="0.3">
      <c r="A816">
        <v>500815</v>
      </c>
      <c r="B816">
        <v>38757</v>
      </c>
      <c r="C816" t="s">
        <v>4</v>
      </c>
      <c r="D816" t="s">
        <v>14</v>
      </c>
      <c r="E816" s="1">
        <v>46034</v>
      </c>
      <c r="F816" t="s">
        <v>568</v>
      </c>
      <c r="G816" s="1">
        <v>46037</v>
      </c>
      <c r="H816" s="1" t="str">
        <f t="shared" si="24"/>
        <v>Thursday</v>
      </c>
      <c r="I816">
        <v>58</v>
      </c>
      <c r="J816" t="s">
        <v>45</v>
      </c>
      <c r="K816">
        <v>1</v>
      </c>
      <c r="L816">
        <v>0</v>
      </c>
      <c r="M816">
        <v>0</v>
      </c>
      <c r="N816">
        <v>0</v>
      </c>
      <c r="O816">
        <v>0</v>
      </c>
      <c r="P816" t="str">
        <f t="shared" si="25"/>
        <v>Non Chronic</v>
      </c>
      <c r="Q816">
        <v>0</v>
      </c>
      <c r="R816">
        <v>1</v>
      </c>
      <c r="S816" t="s">
        <v>0</v>
      </c>
    </row>
    <row r="817" spans="1:19" x14ac:dyDescent="0.3">
      <c r="A817">
        <v>500816</v>
      </c>
      <c r="B817">
        <v>34149</v>
      </c>
      <c r="C817" t="s">
        <v>4</v>
      </c>
      <c r="D817" t="s">
        <v>19</v>
      </c>
      <c r="E817" s="1">
        <v>46142</v>
      </c>
      <c r="F817" t="s">
        <v>567</v>
      </c>
      <c r="G817" s="1">
        <v>46142</v>
      </c>
      <c r="H817" s="1" t="str">
        <f t="shared" si="24"/>
        <v>Thursday</v>
      </c>
      <c r="I817">
        <v>8</v>
      </c>
      <c r="J817" t="s">
        <v>17</v>
      </c>
      <c r="K817">
        <v>0</v>
      </c>
      <c r="L817">
        <v>0</v>
      </c>
      <c r="M817">
        <v>0</v>
      </c>
      <c r="N817">
        <v>0</v>
      </c>
      <c r="O817">
        <v>0</v>
      </c>
      <c r="P817" t="str">
        <f t="shared" si="25"/>
        <v>Non Chronic</v>
      </c>
      <c r="Q817">
        <v>1</v>
      </c>
      <c r="R817">
        <v>1</v>
      </c>
      <c r="S817" t="s">
        <v>30</v>
      </c>
    </row>
    <row r="818" spans="1:19" x14ac:dyDescent="0.3">
      <c r="A818">
        <v>500817</v>
      </c>
      <c r="B818">
        <v>48086</v>
      </c>
      <c r="C818" t="s">
        <v>8</v>
      </c>
      <c r="D818" t="s">
        <v>14</v>
      </c>
      <c r="E818" s="1">
        <v>45996</v>
      </c>
      <c r="F818" t="s">
        <v>69</v>
      </c>
      <c r="G818" s="1">
        <v>45998</v>
      </c>
      <c r="H818" s="1" t="str">
        <f t="shared" si="24"/>
        <v>Sunday</v>
      </c>
      <c r="I818">
        <v>43</v>
      </c>
      <c r="J818" t="s">
        <v>1</v>
      </c>
      <c r="K818">
        <v>1</v>
      </c>
      <c r="L818">
        <v>0</v>
      </c>
      <c r="M818">
        <v>1</v>
      </c>
      <c r="N818">
        <v>1</v>
      </c>
      <c r="O818">
        <v>0</v>
      </c>
      <c r="P818" t="str">
        <f t="shared" si="25"/>
        <v>Chronic</v>
      </c>
      <c r="Q818">
        <v>1</v>
      </c>
      <c r="R818">
        <v>0</v>
      </c>
      <c r="S818" t="s">
        <v>0</v>
      </c>
    </row>
    <row r="819" spans="1:19" x14ac:dyDescent="0.3">
      <c r="A819">
        <v>500818</v>
      </c>
      <c r="B819">
        <v>32843</v>
      </c>
      <c r="C819" t="s">
        <v>8</v>
      </c>
      <c r="D819" t="s">
        <v>14</v>
      </c>
      <c r="E819" s="1">
        <v>46143</v>
      </c>
      <c r="F819" t="s">
        <v>566</v>
      </c>
      <c r="G819" s="1">
        <v>46143</v>
      </c>
      <c r="H819" s="1" t="str">
        <f t="shared" si="24"/>
        <v>Friday</v>
      </c>
      <c r="I819">
        <v>55</v>
      </c>
      <c r="J819" t="s">
        <v>31</v>
      </c>
      <c r="K819">
        <v>0</v>
      </c>
      <c r="L819">
        <v>1</v>
      </c>
      <c r="M819">
        <v>0</v>
      </c>
      <c r="N819">
        <v>0</v>
      </c>
      <c r="O819">
        <v>0</v>
      </c>
      <c r="P819" t="str">
        <f t="shared" si="25"/>
        <v>Chronic</v>
      </c>
      <c r="Q819">
        <v>1</v>
      </c>
      <c r="R819">
        <v>0</v>
      </c>
      <c r="S819" t="s">
        <v>0</v>
      </c>
    </row>
    <row r="820" spans="1:19" x14ac:dyDescent="0.3">
      <c r="A820">
        <v>500819</v>
      </c>
      <c r="B820">
        <v>24544</v>
      </c>
      <c r="C820" t="s">
        <v>8</v>
      </c>
      <c r="D820" t="s">
        <v>14</v>
      </c>
      <c r="E820" s="1">
        <v>46025</v>
      </c>
      <c r="F820" t="s">
        <v>27</v>
      </c>
      <c r="G820" s="1">
        <v>46040</v>
      </c>
      <c r="H820" s="1" t="str">
        <f t="shared" si="24"/>
        <v>Sunday</v>
      </c>
      <c r="I820">
        <v>39</v>
      </c>
      <c r="J820" t="s">
        <v>5</v>
      </c>
      <c r="K820">
        <v>1</v>
      </c>
      <c r="L820">
        <v>0</v>
      </c>
      <c r="M820">
        <v>0</v>
      </c>
      <c r="N820">
        <v>0</v>
      </c>
      <c r="O820">
        <v>0</v>
      </c>
      <c r="P820" t="str">
        <f t="shared" si="25"/>
        <v>Non Chronic</v>
      </c>
      <c r="Q820">
        <v>1</v>
      </c>
      <c r="R820">
        <v>0</v>
      </c>
      <c r="S820" t="s">
        <v>22</v>
      </c>
    </row>
    <row r="821" spans="1:19" x14ac:dyDescent="0.3">
      <c r="A821">
        <v>500820</v>
      </c>
      <c r="B821">
        <v>91684</v>
      </c>
      <c r="C821" t="s">
        <v>8</v>
      </c>
      <c r="D821" t="s">
        <v>58</v>
      </c>
      <c r="E821" s="1">
        <v>46111</v>
      </c>
      <c r="F821" t="s">
        <v>565</v>
      </c>
      <c r="G821" s="1">
        <v>46121</v>
      </c>
      <c r="H821" s="1" t="str">
        <f t="shared" si="24"/>
        <v>Thursday</v>
      </c>
      <c r="I821">
        <v>59</v>
      </c>
      <c r="J821" t="s">
        <v>15</v>
      </c>
      <c r="K821">
        <v>0</v>
      </c>
      <c r="L821">
        <v>0</v>
      </c>
      <c r="M821">
        <v>1</v>
      </c>
      <c r="N821">
        <v>0</v>
      </c>
      <c r="O821">
        <v>0</v>
      </c>
      <c r="P821" t="str">
        <f t="shared" si="25"/>
        <v>Chronic</v>
      </c>
      <c r="Q821">
        <v>1</v>
      </c>
      <c r="R821">
        <v>0</v>
      </c>
      <c r="S821" t="s">
        <v>0</v>
      </c>
    </row>
    <row r="822" spans="1:19" x14ac:dyDescent="0.3">
      <c r="A822">
        <v>500821</v>
      </c>
      <c r="B822">
        <v>93380</v>
      </c>
      <c r="C822" t="s">
        <v>4</v>
      </c>
      <c r="D822" t="s">
        <v>36</v>
      </c>
      <c r="E822" s="1">
        <v>46036</v>
      </c>
      <c r="F822" t="s">
        <v>564</v>
      </c>
      <c r="G822" s="1">
        <v>46038</v>
      </c>
      <c r="H822" s="1" t="str">
        <f t="shared" si="24"/>
        <v>Friday</v>
      </c>
      <c r="I822">
        <v>27</v>
      </c>
      <c r="J822" t="s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 t="str">
        <f t="shared" si="25"/>
        <v>Non Chronic</v>
      </c>
      <c r="Q822">
        <v>1</v>
      </c>
      <c r="R822">
        <v>0</v>
      </c>
      <c r="S822" t="s">
        <v>22</v>
      </c>
    </row>
    <row r="823" spans="1:19" x14ac:dyDescent="0.3">
      <c r="A823">
        <v>500822</v>
      </c>
      <c r="B823">
        <v>92504</v>
      </c>
      <c r="C823" t="s">
        <v>8</v>
      </c>
      <c r="D823" t="s">
        <v>28</v>
      </c>
      <c r="E823" s="1">
        <v>46098</v>
      </c>
      <c r="F823" t="s">
        <v>563</v>
      </c>
      <c r="G823" s="1">
        <v>46098</v>
      </c>
      <c r="H823" s="1" t="str">
        <f t="shared" si="24"/>
        <v>Tuesday</v>
      </c>
      <c r="I823">
        <v>66</v>
      </c>
      <c r="J823" t="s">
        <v>12</v>
      </c>
      <c r="K823">
        <v>1</v>
      </c>
      <c r="L823">
        <v>1</v>
      </c>
      <c r="M823">
        <v>1</v>
      </c>
      <c r="N823">
        <v>0</v>
      </c>
      <c r="O823">
        <v>0</v>
      </c>
      <c r="P823" t="str">
        <f t="shared" si="25"/>
        <v>Chronic</v>
      </c>
      <c r="Q823">
        <v>1</v>
      </c>
      <c r="R823">
        <v>0</v>
      </c>
      <c r="S823" t="s">
        <v>9</v>
      </c>
    </row>
    <row r="824" spans="1:19" x14ac:dyDescent="0.3">
      <c r="A824">
        <v>500823</v>
      </c>
      <c r="B824">
        <v>94550</v>
      </c>
      <c r="C824" t="s">
        <v>8</v>
      </c>
      <c r="D824" t="s">
        <v>7</v>
      </c>
      <c r="E824" s="1">
        <v>46102</v>
      </c>
      <c r="F824" t="s">
        <v>40</v>
      </c>
      <c r="G824" s="1">
        <v>46132</v>
      </c>
      <c r="H824" s="1" t="str">
        <f t="shared" si="24"/>
        <v>Monday</v>
      </c>
      <c r="I824">
        <v>83</v>
      </c>
      <c r="J824" t="s">
        <v>12</v>
      </c>
      <c r="K824">
        <v>1</v>
      </c>
      <c r="L824">
        <v>1</v>
      </c>
      <c r="M824">
        <v>0</v>
      </c>
      <c r="N824">
        <v>0</v>
      </c>
      <c r="O824">
        <v>0</v>
      </c>
      <c r="P824" t="str">
        <f t="shared" si="25"/>
        <v>Chronic</v>
      </c>
      <c r="Q824">
        <v>1</v>
      </c>
      <c r="R824">
        <v>0</v>
      </c>
      <c r="S824" t="s">
        <v>9</v>
      </c>
    </row>
    <row r="825" spans="1:19" x14ac:dyDescent="0.3">
      <c r="A825">
        <v>500824</v>
      </c>
      <c r="B825">
        <v>93637</v>
      </c>
      <c r="C825" t="s">
        <v>4</v>
      </c>
      <c r="D825" t="s">
        <v>14</v>
      </c>
      <c r="E825" s="1">
        <v>45998</v>
      </c>
      <c r="F825" t="s">
        <v>562</v>
      </c>
      <c r="G825" s="1">
        <v>46000</v>
      </c>
      <c r="H825" s="1" t="str">
        <f t="shared" si="24"/>
        <v>Tuesday</v>
      </c>
      <c r="I825">
        <v>30</v>
      </c>
      <c r="J825" t="s">
        <v>45</v>
      </c>
      <c r="K825">
        <v>0</v>
      </c>
      <c r="L825">
        <v>0</v>
      </c>
      <c r="M825">
        <v>0</v>
      </c>
      <c r="N825">
        <v>0</v>
      </c>
      <c r="O825">
        <v>0</v>
      </c>
      <c r="P825" t="str">
        <f t="shared" si="25"/>
        <v>Non Chronic</v>
      </c>
      <c r="Q825">
        <v>1</v>
      </c>
      <c r="R825">
        <v>0</v>
      </c>
      <c r="S825" t="s">
        <v>22</v>
      </c>
    </row>
    <row r="826" spans="1:19" x14ac:dyDescent="0.3">
      <c r="A826">
        <v>500825</v>
      </c>
      <c r="B826">
        <v>59425</v>
      </c>
      <c r="C826" t="s">
        <v>4</v>
      </c>
      <c r="D826" t="s">
        <v>19</v>
      </c>
      <c r="E826" s="1">
        <v>46012</v>
      </c>
      <c r="F826" t="s">
        <v>561</v>
      </c>
      <c r="G826" s="1">
        <v>46012</v>
      </c>
      <c r="H826" s="1" t="str">
        <f t="shared" si="24"/>
        <v>Sunday</v>
      </c>
      <c r="I826">
        <v>29</v>
      </c>
      <c r="J826" t="s">
        <v>5</v>
      </c>
      <c r="K826">
        <v>0</v>
      </c>
      <c r="L826">
        <v>0</v>
      </c>
      <c r="M826">
        <v>0</v>
      </c>
      <c r="N826">
        <v>0</v>
      </c>
      <c r="O826">
        <v>0</v>
      </c>
      <c r="P826" t="str">
        <f t="shared" si="25"/>
        <v>Non Chronic</v>
      </c>
      <c r="Q826">
        <v>1</v>
      </c>
      <c r="R826">
        <v>0</v>
      </c>
      <c r="S826" t="s">
        <v>22</v>
      </c>
    </row>
    <row r="827" spans="1:19" x14ac:dyDescent="0.3">
      <c r="A827">
        <v>500826</v>
      </c>
      <c r="B827">
        <v>86541</v>
      </c>
      <c r="C827" t="s">
        <v>4</v>
      </c>
      <c r="D827" t="s">
        <v>7</v>
      </c>
      <c r="E827" s="1">
        <v>46066</v>
      </c>
      <c r="F827" t="s">
        <v>191</v>
      </c>
      <c r="G827" s="1">
        <v>46069</v>
      </c>
      <c r="H827" s="1" t="str">
        <f t="shared" si="24"/>
        <v>Monday</v>
      </c>
      <c r="I827">
        <v>67</v>
      </c>
      <c r="J827" t="s">
        <v>12</v>
      </c>
      <c r="K827">
        <v>1</v>
      </c>
      <c r="L827">
        <v>0</v>
      </c>
      <c r="M827">
        <v>0</v>
      </c>
      <c r="N827">
        <v>0</v>
      </c>
      <c r="O827">
        <v>0</v>
      </c>
      <c r="P827" t="str">
        <f t="shared" si="25"/>
        <v>Non Chronic</v>
      </c>
      <c r="Q827">
        <v>1</v>
      </c>
      <c r="R827">
        <v>1</v>
      </c>
      <c r="S827" t="s">
        <v>9</v>
      </c>
    </row>
    <row r="828" spans="1:19" x14ac:dyDescent="0.3">
      <c r="A828">
        <v>500827</v>
      </c>
      <c r="B828">
        <v>40643</v>
      </c>
      <c r="C828" t="s">
        <v>8</v>
      </c>
      <c r="D828" t="s">
        <v>58</v>
      </c>
      <c r="E828" s="1">
        <v>46126</v>
      </c>
      <c r="F828" t="s">
        <v>560</v>
      </c>
      <c r="G828" s="1">
        <v>46128</v>
      </c>
      <c r="H828" s="1" t="str">
        <f t="shared" si="24"/>
        <v>Thursday</v>
      </c>
      <c r="I828">
        <v>69</v>
      </c>
      <c r="J828" t="s">
        <v>20</v>
      </c>
      <c r="K828">
        <v>0</v>
      </c>
      <c r="L828">
        <v>1</v>
      </c>
      <c r="M828">
        <v>0</v>
      </c>
      <c r="N828">
        <v>0</v>
      </c>
      <c r="O828">
        <v>0</v>
      </c>
      <c r="P828" t="str">
        <f t="shared" si="25"/>
        <v>Chronic</v>
      </c>
      <c r="Q828">
        <v>1</v>
      </c>
      <c r="R828">
        <v>1</v>
      </c>
      <c r="S828" t="s">
        <v>9</v>
      </c>
    </row>
    <row r="829" spans="1:19" x14ac:dyDescent="0.3">
      <c r="A829">
        <v>500828</v>
      </c>
      <c r="B829">
        <v>57216</v>
      </c>
      <c r="C829" t="s">
        <v>4</v>
      </c>
      <c r="D829" t="s">
        <v>14</v>
      </c>
      <c r="E829" s="1">
        <v>46036</v>
      </c>
      <c r="F829" t="s">
        <v>66</v>
      </c>
      <c r="G829" s="1">
        <v>46038</v>
      </c>
      <c r="H829" s="1" t="str">
        <f t="shared" si="24"/>
        <v>Friday</v>
      </c>
      <c r="I829">
        <v>27</v>
      </c>
      <c r="J829" t="s">
        <v>20</v>
      </c>
      <c r="K829">
        <v>0</v>
      </c>
      <c r="L829">
        <v>0</v>
      </c>
      <c r="M829">
        <v>0</v>
      </c>
      <c r="N829">
        <v>0</v>
      </c>
      <c r="O829">
        <v>0</v>
      </c>
      <c r="P829" t="str">
        <f t="shared" si="25"/>
        <v>Non Chronic</v>
      </c>
      <c r="Q829">
        <v>0</v>
      </c>
      <c r="R829">
        <v>0</v>
      </c>
      <c r="S829" t="s">
        <v>22</v>
      </c>
    </row>
    <row r="830" spans="1:19" x14ac:dyDescent="0.3">
      <c r="A830">
        <v>500829</v>
      </c>
      <c r="B830">
        <v>45974</v>
      </c>
      <c r="C830" t="s">
        <v>4</v>
      </c>
      <c r="D830" t="s">
        <v>28</v>
      </c>
      <c r="E830" s="1">
        <v>46044</v>
      </c>
      <c r="F830" t="s">
        <v>559</v>
      </c>
      <c r="G830" s="1">
        <v>46046</v>
      </c>
      <c r="H830" s="1" t="str">
        <f t="shared" si="24"/>
        <v>Saturday</v>
      </c>
      <c r="I830">
        <v>29</v>
      </c>
      <c r="J830" t="s">
        <v>12</v>
      </c>
      <c r="K830">
        <v>1</v>
      </c>
      <c r="L830">
        <v>0</v>
      </c>
      <c r="M830">
        <v>0</v>
      </c>
      <c r="N830">
        <v>1</v>
      </c>
      <c r="O830">
        <v>0</v>
      </c>
      <c r="P830" t="str">
        <f t="shared" si="25"/>
        <v>Non Chronic</v>
      </c>
      <c r="Q830">
        <v>0</v>
      </c>
      <c r="R830">
        <v>0</v>
      </c>
      <c r="S830" t="s">
        <v>22</v>
      </c>
    </row>
    <row r="831" spans="1:19" x14ac:dyDescent="0.3">
      <c r="A831">
        <v>500830</v>
      </c>
      <c r="B831">
        <v>62928</v>
      </c>
      <c r="C831" t="s">
        <v>8</v>
      </c>
      <c r="D831" t="s">
        <v>36</v>
      </c>
      <c r="E831" s="1">
        <v>45985</v>
      </c>
      <c r="F831" t="s">
        <v>411</v>
      </c>
      <c r="G831" s="1">
        <v>45987</v>
      </c>
      <c r="H831" s="1" t="str">
        <f t="shared" si="24"/>
        <v>Wednesday</v>
      </c>
      <c r="I831">
        <v>32</v>
      </c>
      <c r="J831" t="s">
        <v>10</v>
      </c>
      <c r="K831">
        <v>0</v>
      </c>
      <c r="L831">
        <v>0</v>
      </c>
      <c r="M831">
        <v>0</v>
      </c>
      <c r="N831">
        <v>0</v>
      </c>
      <c r="O831">
        <v>0</v>
      </c>
      <c r="P831" t="str">
        <f t="shared" si="25"/>
        <v>Non Chronic</v>
      </c>
      <c r="Q831">
        <v>0</v>
      </c>
      <c r="R831">
        <v>0</v>
      </c>
      <c r="S831" t="s">
        <v>22</v>
      </c>
    </row>
    <row r="832" spans="1:19" x14ac:dyDescent="0.3">
      <c r="A832">
        <v>500831</v>
      </c>
      <c r="B832">
        <v>40634</v>
      </c>
      <c r="C832" t="s">
        <v>8</v>
      </c>
      <c r="D832" t="s">
        <v>7</v>
      </c>
      <c r="E832" s="1">
        <v>45991</v>
      </c>
      <c r="F832" t="s">
        <v>212</v>
      </c>
      <c r="G832" s="1">
        <v>46006</v>
      </c>
      <c r="H832" s="1" t="str">
        <f t="shared" si="24"/>
        <v>Monday</v>
      </c>
      <c r="I832">
        <v>11</v>
      </c>
      <c r="J832" t="s">
        <v>20</v>
      </c>
      <c r="K832">
        <v>0</v>
      </c>
      <c r="L832">
        <v>0</v>
      </c>
      <c r="M832">
        <v>0</v>
      </c>
      <c r="N832">
        <v>0</v>
      </c>
      <c r="O832">
        <v>0</v>
      </c>
      <c r="P832" t="str">
        <f t="shared" si="25"/>
        <v>Non Chronic</v>
      </c>
      <c r="Q832">
        <v>1</v>
      </c>
      <c r="R832">
        <v>1</v>
      </c>
      <c r="S832" t="s">
        <v>30</v>
      </c>
    </row>
    <row r="833" spans="1:19" x14ac:dyDescent="0.3">
      <c r="A833">
        <v>500832</v>
      </c>
      <c r="B833">
        <v>64747</v>
      </c>
      <c r="C833" t="s">
        <v>4</v>
      </c>
      <c r="D833" t="s">
        <v>7</v>
      </c>
      <c r="E833" s="1">
        <v>46004</v>
      </c>
      <c r="F833" t="s">
        <v>558</v>
      </c>
      <c r="G833" s="1">
        <v>46007</v>
      </c>
      <c r="H833" s="1" t="str">
        <f t="shared" si="24"/>
        <v>Tuesday</v>
      </c>
      <c r="I833">
        <v>19</v>
      </c>
      <c r="J833" t="s">
        <v>10</v>
      </c>
      <c r="K833">
        <v>0</v>
      </c>
      <c r="L833">
        <v>0</v>
      </c>
      <c r="M833">
        <v>0</v>
      </c>
      <c r="N833">
        <v>0</v>
      </c>
      <c r="O833">
        <v>0</v>
      </c>
      <c r="P833" t="str">
        <f t="shared" si="25"/>
        <v>Non Chronic</v>
      </c>
      <c r="Q833">
        <v>1</v>
      </c>
      <c r="R833">
        <v>1</v>
      </c>
      <c r="S833" t="s">
        <v>22</v>
      </c>
    </row>
    <row r="834" spans="1:19" x14ac:dyDescent="0.3">
      <c r="A834">
        <v>500833</v>
      </c>
      <c r="B834">
        <v>11268</v>
      </c>
      <c r="C834" t="s">
        <v>8</v>
      </c>
      <c r="D834" t="s">
        <v>19</v>
      </c>
      <c r="E834" s="1">
        <v>45990</v>
      </c>
      <c r="F834" t="s">
        <v>557</v>
      </c>
      <c r="G834" s="1">
        <v>45992</v>
      </c>
      <c r="H834" s="1" t="str">
        <f t="shared" si="24"/>
        <v>Monday</v>
      </c>
      <c r="I834">
        <v>17</v>
      </c>
      <c r="J834" t="s">
        <v>20</v>
      </c>
      <c r="K834">
        <v>0</v>
      </c>
      <c r="L834">
        <v>0</v>
      </c>
      <c r="M834">
        <v>0</v>
      </c>
      <c r="N834">
        <v>0</v>
      </c>
      <c r="O834">
        <v>0</v>
      </c>
      <c r="P834" t="str">
        <f t="shared" si="25"/>
        <v>Non Chronic</v>
      </c>
      <c r="Q834">
        <v>1</v>
      </c>
      <c r="R834">
        <v>0</v>
      </c>
      <c r="S834" t="s">
        <v>30</v>
      </c>
    </row>
    <row r="835" spans="1:19" x14ac:dyDescent="0.3">
      <c r="A835">
        <v>500834</v>
      </c>
      <c r="B835">
        <v>80464</v>
      </c>
      <c r="C835" t="s">
        <v>8</v>
      </c>
      <c r="D835" t="s">
        <v>19</v>
      </c>
      <c r="E835" s="1">
        <v>46033</v>
      </c>
      <c r="F835" t="s">
        <v>556</v>
      </c>
      <c r="G835" s="1">
        <v>46033</v>
      </c>
      <c r="H835" s="1" t="str">
        <f t="shared" ref="H835:H898" si="26">TEXT(G835,"dddd")</f>
        <v>Sunday</v>
      </c>
      <c r="I835">
        <v>22</v>
      </c>
      <c r="J835" t="s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 t="str">
        <f t="shared" ref="P835:P898" si="27">IF(OR(L835=1,M835=1),"Chronic","Non Chronic")</f>
        <v>Non Chronic</v>
      </c>
      <c r="Q835">
        <v>1</v>
      </c>
      <c r="R835">
        <v>0</v>
      </c>
      <c r="S835" t="s">
        <v>22</v>
      </c>
    </row>
    <row r="836" spans="1:19" x14ac:dyDescent="0.3">
      <c r="A836">
        <v>500835</v>
      </c>
      <c r="B836">
        <v>53286</v>
      </c>
      <c r="C836" t="s">
        <v>8</v>
      </c>
      <c r="D836" t="s">
        <v>3</v>
      </c>
      <c r="E836" s="1">
        <v>46039</v>
      </c>
      <c r="F836" t="s">
        <v>130</v>
      </c>
      <c r="G836" s="1">
        <v>46042</v>
      </c>
      <c r="H836" s="1" t="str">
        <f t="shared" si="26"/>
        <v>Tuesday</v>
      </c>
      <c r="I836">
        <v>37</v>
      </c>
      <c r="J836" t="s">
        <v>45</v>
      </c>
      <c r="K836">
        <v>1</v>
      </c>
      <c r="L836">
        <v>0</v>
      </c>
      <c r="M836">
        <v>0</v>
      </c>
      <c r="N836">
        <v>1</v>
      </c>
      <c r="O836">
        <v>0</v>
      </c>
      <c r="P836" t="str">
        <f t="shared" si="27"/>
        <v>Non Chronic</v>
      </c>
      <c r="Q836">
        <v>1</v>
      </c>
      <c r="R836">
        <v>0</v>
      </c>
      <c r="S836" t="s">
        <v>22</v>
      </c>
    </row>
    <row r="837" spans="1:19" x14ac:dyDescent="0.3">
      <c r="A837">
        <v>500836</v>
      </c>
      <c r="B837">
        <v>69183</v>
      </c>
      <c r="C837" t="s">
        <v>8</v>
      </c>
      <c r="D837" t="s">
        <v>58</v>
      </c>
      <c r="E837" s="1">
        <v>46007</v>
      </c>
      <c r="F837" t="s">
        <v>555</v>
      </c>
      <c r="G837" s="1">
        <v>46022</v>
      </c>
      <c r="H837" s="1" t="str">
        <f t="shared" si="26"/>
        <v>Wednesday</v>
      </c>
      <c r="I837">
        <v>42</v>
      </c>
      <c r="J837" t="s">
        <v>31</v>
      </c>
      <c r="K837">
        <v>0</v>
      </c>
      <c r="L837">
        <v>0</v>
      </c>
      <c r="M837">
        <v>0</v>
      </c>
      <c r="N837">
        <v>0</v>
      </c>
      <c r="O837">
        <v>0</v>
      </c>
      <c r="P837" t="str">
        <f t="shared" si="27"/>
        <v>Non Chronic</v>
      </c>
      <c r="Q837">
        <v>1</v>
      </c>
      <c r="R837">
        <v>1</v>
      </c>
      <c r="S837" t="s">
        <v>0</v>
      </c>
    </row>
    <row r="838" spans="1:19" x14ac:dyDescent="0.3">
      <c r="A838">
        <v>500837</v>
      </c>
      <c r="B838">
        <v>36083</v>
      </c>
      <c r="C838" t="s">
        <v>4</v>
      </c>
      <c r="D838" t="s">
        <v>3</v>
      </c>
      <c r="E838" s="1">
        <v>46118</v>
      </c>
      <c r="F838" t="s">
        <v>554</v>
      </c>
      <c r="G838" s="1">
        <v>46123</v>
      </c>
      <c r="H838" s="1" t="str">
        <f t="shared" si="26"/>
        <v>Saturday</v>
      </c>
      <c r="I838">
        <v>69</v>
      </c>
      <c r="J838" t="s">
        <v>5</v>
      </c>
      <c r="K838">
        <v>0</v>
      </c>
      <c r="L838">
        <v>1</v>
      </c>
      <c r="M838">
        <v>0</v>
      </c>
      <c r="N838">
        <v>1</v>
      </c>
      <c r="O838">
        <v>1</v>
      </c>
      <c r="P838" t="str">
        <f t="shared" si="27"/>
        <v>Chronic</v>
      </c>
      <c r="Q838">
        <v>1</v>
      </c>
      <c r="R838">
        <v>0</v>
      </c>
      <c r="S838" t="s">
        <v>9</v>
      </c>
    </row>
    <row r="839" spans="1:19" x14ac:dyDescent="0.3">
      <c r="A839">
        <v>500838</v>
      </c>
      <c r="B839">
        <v>63852</v>
      </c>
      <c r="C839" t="s">
        <v>8</v>
      </c>
      <c r="D839" t="s">
        <v>28</v>
      </c>
      <c r="E839" s="1">
        <v>46019</v>
      </c>
      <c r="F839" t="s">
        <v>94</v>
      </c>
      <c r="G839" s="1">
        <v>46020</v>
      </c>
      <c r="H839" s="1" t="str">
        <f t="shared" si="26"/>
        <v>Monday</v>
      </c>
      <c r="I839">
        <v>18</v>
      </c>
      <c r="J839" t="s">
        <v>15</v>
      </c>
      <c r="K839">
        <v>0</v>
      </c>
      <c r="L839">
        <v>0</v>
      </c>
      <c r="M839">
        <v>0</v>
      </c>
      <c r="N839">
        <v>0</v>
      </c>
      <c r="O839">
        <v>0</v>
      </c>
      <c r="P839" t="str">
        <f t="shared" si="27"/>
        <v>Non Chronic</v>
      </c>
      <c r="Q839">
        <v>1</v>
      </c>
      <c r="R839">
        <v>0</v>
      </c>
      <c r="S839" t="s">
        <v>30</v>
      </c>
    </row>
    <row r="840" spans="1:19" x14ac:dyDescent="0.3">
      <c r="A840">
        <v>500839</v>
      </c>
      <c r="B840">
        <v>60986</v>
      </c>
      <c r="C840" t="s">
        <v>4</v>
      </c>
      <c r="D840" t="s">
        <v>28</v>
      </c>
      <c r="E840" s="1">
        <v>45993</v>
      </c>
      <c r="F840" t="s">
        <v>553</v>
      </c>
      <c r="G840" s="1">
        <v>46013</v>
      </c>
      <c r="H840" s="1" t="str">
        <f t="shared" si="26"/>
        <v>Monday</v>
      </c>
      <c r="I840">
        <v>57</v>
      </c>
      <c r="J840" t="s">
        <v>45</v>
      </c>
      <c r="K840">
        <v>1</v>
      </c>
      <c r="L840">
        <v>0</v>
      </c>
      <c r="M840">
        <v>0</v>
      </c>
      <c r="N840">
        <v>0</v>
      </c>
      <c r="O840">
        <v>0</v>
      </c>
      <c r="P840" t="str">
        <f t="shared" si="27"/>
        <v>Non Chronic</v>
      </c>
      <c r="Q840">
        <v>1</v>
      </c>
      <c r="R840">
        <v>0</v>
      </c>
      <c r="S840" t="s">
        <v>0</v>
      </c>
    </row>
    <row r="841" spans="1:19" x14ac:dyDescent="0.3">
      <c r="A841">
        <v>500840</v>
      </c>
      <c r="B841">
        <v>99762</v>
      </c>
      <c r="C841" t="s">
        <v>8</v>
      </c>
      <c r="D841" t="s">
        <v>25</v>
      </c>
      <c r="E841" s="1">
        <v>46138</v>
      </c>
      <c r="F841" t="s">
        <v>465</v>
      </c>
      <c r="G841" s="1">
        <v>46143</v>
      </c>
      <c r="H841" s="1" t="str">
        <f t="shared" si="26"/>
        <v>Friday</v>
      </c>
      <c r="I841">
        <v>33</v>
      </c>
      <c r="J841" t="s">
        <v>45</v>
      </c>
      <c r="K841">
        <v>0</v>
      </c>
      <c r="L841">
        <v>0</v>
      </c>
      <c r="M841">
        <v>0</v>
      </c>
      <c r="N841">
        <v>0</v>
      </c>
      <c r="O841">
        <v>0</v>
      </c>
      <c r="P841" t="str">
        <f t="shared" si="27"/>
        <v>Non Chronic</v>
      </c>
      <c r="Q841">
        <v>0</v>
      </c>
      <c r="R841">
        <v>0</v>
      </c>
      <c r="S841" t="s">
        <v>22</v>
      </c>
    </row>
    <row r="842" spans="1:19" x14ac:dyDescent="0.3">
      <c r="A842">
        <v>500841</v>
      </c>
      <c r="B842">
        <v>42353</v>
      </c>
      <c r="C842" t="s">
        <v>8</v>
      </c>
      <c r="D842" t="s">
        <v>7</v>
      </c>
      <c r="E842" s="1">
        <v>46141</v>
      </c>
      <c r="F842" t="s">
        <v>537</v>
      </c>
      <c r="G842" s="1">
        <v>46151</v>
      </c>
      <c r="H842" s="1" t="str">
        <f t="shared" si="26"/>
        <v>Saturday</v>
      </c>
      <c r="I842">
        <v>37</v>
      </c>
      <c r="J842" t="s">
        <v>10</v>
      </c>
      <c r="K842">
        <v>1</v>
      </c>
      <c r="L842">
        <v>0</v>
      </c>
      <c r="M842">
        <v>0</v>
      </c>
      <c r="N842">
        <v>0</v>
      </c>
      <c r="O842">
        <v>0</v>
      </c>
      <c r="P842" t="str">
        <f t="shared" si="27"/>
        <v>Non Chronic</v>
      </c>
      <c r="Q842">
        <v>1</v>
      </c>
      <c r="R842">
        <v>0</v>
      </c>
      <c r="S842" t="s">
        <v>22</v>
      </c>
    </row>
    <row r="843" spans="1:19" x14ac:dyDescent="0.3">
      <c r="A843">
        <v>500842</v>
      </c>
      <c r="B843">
        <v>69809</v>
      </c>
      <c r="C843" t="s">
        <v>8</v>
      </c>
      <c r="D843" t="s">
        <v>25</v>
      </c>
      <c r="E843" s="1">
        <v>45998</v>
      </c>
      <c r="F843" t="s">
        <v>552</v>
      </c>
      <c r="G843" s="1">
        <v>46001</v>
      </c>
      <c r="H843" s="1" t="str">
        <f t="shared" si="26"/>
        <v>Wednesday</v>
      </c>
      <c r="I843">
        <v>51</v>
      </c>
      <c r="J843" t="s">
        <v>23</v>
      </c>
      <c r="K843">
        <v>0</v>
      </c>
      <c r="L843">
        <v>0</v>
      </c>
      <c r="M843">
        <v>1</v>
      </c>
      <c r="N843">
        <v>0</v>
      </c>
      <c r="O843">
        <v>0</v>
      </c>
      <c r="P843" t="str">
        <f t="shared" si="27"/>
        <v>Chronic</v>
      </c>
      <c r="Q843">
        <v>1</v>
      </c>
      <c r="R843">
        <v>0</v>
      </c>
      <c r="S843" t="s">
        <v>0</v>
      </c>
    </row>
    <row r="844" spans="1:19" x14ac:dyDescent="0.3">
      <c r="A844">
        <v>500843</v>
      </c>
      <c r="B844">
        <v>84529</v>
      </c>
      <c r="C844" t="s">
        <v>4</v>
      </c>
      <c r="D844" t="s">
        <v>3</v>
      </c>
      <c r="E844" s="1">
        <v>45992</v>
      </c>
      <c r="F844" t="s">
        <v>41</v>
      </c>
      <c r="G844" s="1">
        <v>45994</v>
      </c>
      <c r="H844" s="1" t="str">
        <f t="shared" si="26"/>
        <v>Wednesday</v>
      </c>
      <c r="I844">
        <v>15</v>
      </c>
      <c r="J844" t="s">
        <v>17</v>
      </c>
      <c r="K844">
        <v>0</v>
      </c>
      <c r="L844">
        <v>0</v>
      </c>
      <c r="M844">
        <v>0</v>
      </c>
      <c r="N844">
        <v>0</v>
      </c>
      <c r="O844">
        <v>0</v>
      </c>
      <c r="P844" t="str">
        <f t="shared" si="27"/>
        <v>Non Chronic</v>
      </c>
      <c r="Q844">
        <v>0</v>
      </c>
      <c r="R844">
        <v>0</v>
      </c>
      <c r="S844" t="s">
        <v>30</v>
      </c>
    </row>
    <row r="845" spans="1:19" x14ac:dyDescent="0.3">
      <c r="A845">
        <v>500844</v>
      </c>
      <c r="B845">
        <v>92324</v>
      </c>
      <c r="C845" t="s">
        <v>8</v>
      </c>
      <c r="D845" t="s">
        <v>58</v>
      </c>
      <c r="E845" s="1">
        <v>46057</v>
      </c>
      <c r="F845" t="s">
        <v>551</v>
      </c>
      <c r="G845" s="1">
        <v>46058</v>
      </c>
      <c r="H845" s="1" t="str">
        <f t="shared" si="26"/>
        <v>Thursday</v>
      </c>
      <c r="I845">
        <v>45</v>
      </c>
      <c r="J845" t="s">
        <v>45</v>
      </c>
      <c r="K845">
        <v>1</v>
      </c>
      <c r="L845">
        <v>0</v>
      </c>
      <c r="M845">
        <v>0</v>
      </c>
      <c r="N845">
        <v>0</v>
      </c>
      <c r="O845">
        <v>0</v>
      </c>
      <c r="P845" t="str">
        <f t="shared" si="27"/>
        <v>Non Chronic</v>
      </c>
      <c r="Q845">
        <v>1</v>
      </c>
      <c r="R845">
        <v>0</v>
      </c>
      <c r="S845" t="s">
        <v>0</v>
      </c>
    </row>
    <row r="846" spans="1:19" x14ac:dyDescent="0.3">
      <c r="A846">
        <v>500845</v>
      </c>
      <c r="B846">
        <v>76112</v>
      </c>
      <c r="C846" t="s">
        <v>8</v>
      </c>
      <c r="D846" t="s">
        <v>3</v>
      </c>
      <c r="E846" s="1">
        <v>46042</v>
      </c>
      <c r="F846" t="s">
        <v>450</v>
      </c>
      <c r="G846" s="1">
        <v>46047</v>
      </c>
      <c r="H846" s="1" t="str">
        <f t="shared" si="26"/>
        <v>Sunday</v>
      </c>
      <c r="I846">
        <v>41</v>
      </c>
      <c r="J846" t="s">
        <v>10</v>
      </c>
      <c r="K846">
        <v>0</v>
      </c>
      <c r="L846">
        <v>0</v>
      </c>
      <c r="M846">
        <v>0</v>
      </c>
      <c r="N846">
        <v>0</v>
      </c>
      <c r="O846">
        <v>0</v>
      </c>
      <c r="P846" t="str">
        <f t="shared" si="27"/>
        <v>Non Chronic</v>
      </c>
      <c r="Q846">
        <v>1</v>
      </c>
      <c r="R846">
        <v>0</v>
      </c>
      <c r="S846" t="s">
        <v>0</v>
      </c>
    </row>
    <row r="847" spans="1:19" x14ac:dyDescent="0.3">
      <c r="A847">
        <v>500846</v>
      </c>
      <c r="B847">
        <v>70542</v>
      </c>
      <c r="C847" t="s">
        <v>8</v>
      </c>
      <c r="D847" t="s">
        <v>19</v>
      </c>
      <c r="E847" s="1">
        <v>45986</v>
      </c>
      <c r="F847" t="s">
        <v>550</v>
      </c>
      <c r="G847" s="1">
        <v>46006</v>
      </c>
      <c r="H847" s="1" t="str">
        <f t="shared" si="26"/>
        <v>Monday</v>
      </c>
      <c r="I847">
        <v>47</v>
      </c>
      <c r="J847" t="s">
        <v>23</v>
      </c>
      <c r="K847">
        <v>0</v>
      </c>
      <c r="L847">
        <v>0</v>
      </c>
      <c r="M847">
        <v>1</v>
      </c>
      <c r="N847">
        <v>0</v>
      </c>
      <c r="O847">
        <v>0</v>
      </c>
      <c r="P847" t="str">
        <f t="shared" si="27"/>
        <v>Chronic</v>
      </c>
      <c r="Q847">
        <v>1</v>
      </c>
      <c r="R847">
        <v>0</v>
      </c>
      <c r="S847" t="s">
        <v>0</v>
      </c>
    </row>
    <row r="848" spans="1:19" x14ac:dyDescent="0.3">
      <c r="A848">
        <v>500847</v>
      </c>
      <c r="B848">
        <v>73538</v>
      </c>
      <c r="C848" t="s">
        <v>8</v>
      </c>
      <c r="D848" t="s">
        <v>58</v>
      </c>
      <c r="E848" s="1">
        <v>46129</v>
      </c>
      <c r="F848" t="s">
        <v>549</v>
      </c>
      <c r="G848" s="1">
        <v>46134</v>
      </c>
      <c r="H848" s="1" t="str">
        <f t="shared" si="26"/>
        <v>Wednesday</v>
      </c>
      <c r="I848">
        <v>43</v>
      </c>
      <c r="J848" t="s">
        <v>15</v>
      </c>
      <c r="K848">
        <v>0</v>
      </c>
      <c r="L848">
        <v>0</v>
      </c>
      <c r="M848">
        <v>0</v>
      </c>
      <c r="N848">
        <v>0</v>
      </c>
      <c r="O848">
        <v>0</v>
      </c>
      <c r="P848" t="str">
        <f t="shared" si="27"/>
        <v>Non Chronic</v>
      </c>
      <c r="Q848">
        <v>1</v>
      </c>
      <c r="R848">
        <v>0</v>
      </c>
      <c r="S848" t="s">
        <v>0</v>
      </c>
    </row>
    <row r="849" spans="1:19" x14ac:dyDescent="0.3">
      <c r="A849">
        <v>500848</v>
      </c>
      <c r="B849">
        <v>12367</v>
      </c>
      <c r="C849" t="s">
        <v>4</v>
      </c>
      <c r="D849" t="s">
        <v>28</v>
      </c>
      <c r="E849" s="1">
        <v>46019</v>
      </c>
      <c r="F849" t="s">
        <v>548</v>
      </c>
      <c r="G849" s="1">
        <v>46029</v>
      </c>
      <c r="H849" s="1" t="str">
        <f t="shared" si="26"/>
        <v>Wednesday</v>
      </c>
      <c r="I849">
        <v>87</v>
      </c>
      <c r="J849" t="s">
        <v>5</v>
      </c>
      <c r="K849">
        <v>0</v>
      </c>
      <c r="L849">
        <v>0</v>
      </c>
      <c r="M849">
        <v>0</v>
      </c>
      <c r="N849">
        <v>1</v>
      </c>
      <c r="O849">
        <v>0</v>
      </c>
      <c r="P849" t="str">
        <f t="shared" si="27"/>
        <v>Non Chronic</v>
      </c>
      <c r="Q849">
        <v>1</v>
      </c>
      <c r="R849">
        <v>0</v>
      </c>
      <c r="S849" t="s">
        <v>9</v>
      </c>
    </row>
    <row r="850" spans="1:19" x14ac:dyDescent="0.3">
      <c r="A850">
        <v>500849</v>
      </c>
      <c r="B850">
        <v>38399</v>
      </c>
      <c r="C850" t="s">
        <v>4</v>
      </c>
      <c r="D850" t="s">
        <v>14</v>
      </c>
      <c r="E850" s="1">
        <v>45993</v>
      </c>
      <c r="F850" t="s">
        <v>547</v>
      </c>
      <c r="G850" s="1">
        <v>46008</v>
      </c>
      <c r="H850" s="1" t="str">
        <f t="shared" si="26"/>
        <v>Wednesday</v>
      </c>
      <c r="I850">
        <v>25</v>
      </c>
      <c r="J850" t="s">
        <v>10</v>
      </c>
      <c r="K850">
        <v>0</v>
      </c>
      <c r="L850">
        <v>0</v>
      </c>
      <c r="M850">
        <v>0</v>
      </c>
      <c r="N850">
        <v>0</v>
      </c>
      <c r="O850">
        <v>0</v>
      </c>
      <c r="P850" t="str">
        <f t="shared" si="27"/>
        <v>Non Chronic</v>
      </c>
      <c r="Q850">
        <v>1</v>
      </c>
      <c r="R850">
        <v>0</v>
      </c>
      <c r="S850" t="s">
        <v>22</v>
      </c>
    </row>
    <row r="851" spans="1:19" x14ac:dyDescent="0.3">
      <c r="A851">
        <v>500850</v>
      </c>
      <c r="B851">
        <v>23473</v>
      </c>
      <c r="C851" t="s">
        <v>8</v>
      </c>
      <c r="D851" t="s">
        <v>25</v>
      </c>
      <c r="E851" s="1">
        <v>45985</v>
      </c>
      <c r="F851" t="s">
        <v>546</v>
      </c>
      <c r="G851" s="1">
        <v>45985</v>
      </c>
      <c r="H851" s="1" t="str">
        <f t="shared" si="26"/>
        <v>Monday</v>
      </c>
      <c r="I851">
        <v>27</v>
      </c>
      <c r="J851" t="s">
        <v>10</v>
      </c>
      <c r="K851">
        <v>0</v>
      </c>
      <c r="L851">
        <v>0</v>
      </c>
      <c r="M851">
        <v>0</v>
      </c>
      <c r="N851">
        <v>0</v>
      </c>
      <c r="O851">
        <v>0</v>
      </c>
      <c r="P851" t="str">
        <f t="shared" si="27"/>
        <v>Non Chronic</v>
      </c>
      <c r="Q851">
        <v>1</v>
      </c>
      <c r="R851">
        <v>0</v>
      </c>
      <c r="S851" t="s">
        <v>22</v>
      </c>
    </row>
    <row r="852" spans="1:19" x14ac:dyDescent="0.3">
      <c r="A852">
        <v>500851</v>
      </c>
      <c r="B852">
        <v>42728</v>
      </c>
      <c r="C852" t="s">
        <v>8</v>
      </c>
      <c r="D852" t="s">
        <v>14</v>
      </c>
      <c r="E852" s="1">
        <v>46037</v>
      </c>
      <c r="F852" t="s">
        <v>415</v>
      </c>
      <c r="G852" s="1">
        <v>46037</v>
      </c>
      <c r="H852" s="1" t="str">
        <f t="shared" si="26"/>
        <v>Thursday</v>
      </c>
      <c r="I852">
        <v>25</v>
      </c>
      <c r="J852" t="s">
        <v>45</v>
      </c>
      <c r="K852">
        <v>0</v>
      </c>
      <c r="L852">
        <v>0</v>
      </c>
      <c r="M852">
        <v>0</v>
      </c>
      <c r="N852">
        <v>1</v>
      </c>
      <c r="O852">
        <v>0</v>
      </c>
      <c r="P852" t="str">
        <f t="shared" si="27"/>
        <v>Non Chronic</v>
      </c>
      <c r="Q852">
        <v>1</v>
      </c>
      <c r="R852">
        <v>0</v>
      </c>
      <c r="S852" t="s">
        <v>22</v>
      </c>
    </row>
    <row r="853" spans="1:19" x14ac:dyDescent="0.3">
      <c r="A853">
        <v>500852</v>
      </c>
      <c r="B853">
        <v>99123</v>
      </c>
      <c r="C853" t="s">
        <v>4</v>
      </c>
      <c r="D853" t="s">
        <v>14</v>
      </c>
      <c r="E853" s="1">
        <v>46121</v>
      </c>
      <c r="F853" t="s">
        <v>545</v>
      </c>
      <c r="G853" s="1">
        <v>46121</v>
      </c>
      <c r="H853" s="1" t="str">
        <f t="shared" si="26"/>
        <v>Thursday</v>
      </c>
      <c r="I853">
        <v>26</v>
      </c>
      <c r="J853" t="s">
        <v>15</v>
      </c>
      <c r="K853">
        <v>0</v>
      </c>
      <c r="L853">
        <v>0</v>
      </c>
      <c r="M853">
        <v>0</v>
      </c>
      <c r="N853">
        <v>0</v>
      </c>
      <c r="O853">
        <v>0</v>
      </c>
      <c r="P853" t="str">
        <f t="shared" si="27"/>
        <v>Non Chronic</v>
      </c>
      <c r="Q853">
        <v>1</v>
      </c>
      <c r="R853">
        <v>0</v>
      </c>
      <c r="S853" t="s">
        <v>22</v>
      </c>
    </row>
    <row r="854" spans="1:19" x14ac:dyDescent="0.3">
      <c r="A854">
        <v>500853</v>
      </c>
      <c r="B854">
        <v>52294</v>
      </c>
      <c r="C854" t="s">
        <v>4</v>
      </c>
      <c r="D854" t="s">
        <v>14</v>
      </c>
      <c r="E854" s="1">
        <v>46115</v>
      </c>
      <c r="F854" t="s">
        <v>529</v>
      </c>
      <c r="G854" s="1">
        <v>46116</v>
      </c>
      <c r="H854" s="1" t="str">
        <f t="shared" si="26"/>
        <v>Saturday</v>
      </c>
      <c r="I854">
        <v>25</v>
      </c>
      <c r="J854" t="s">
        <v>12</v>
      </c>
      <c r="K854">
        <v>1</v>
      </c>
      <c r="L854">
        <v>0</v>
      </c>
      <c r="M854">
        <v>0</v>
      </c>
      <c r="N854">
        <v>0</v>
      </c>
      <c r="O854">
        <v>0</v>
      </c>
      <c r="P854" t="str">
        <f t="shared" si="27"/>
        <v>Non Chronic</v>
      </c>
      <c r="Q854">
        <v>1</v>
      </c>
      <c r="R854">
        <v>0</v>
      </c>
      <c r="S854" t="s">
        <v>22</v>
      </c>
    </row>
    <row r="855" spans="1:19" x14ac:dyDescent="0.3">
      <c r="A855">
        <v>500854</v>
      </c>
      <c r="B855">
        <v>32756</v>
      </c>
      <c r="C855" t="s">
        <v>4</v>
      </c>
      <c r="D855" t="s">
        <v>3</v>
      </c>
      <c r="E855" s="1">
        <v>46061</v>
      </c>
      <c r="F855" t="s">
        <v>544</v>
      </c>
      <c r="G855" s="1">
        <v>46068</v>
      </c>
      <c r="H855" s="1" t="str">
        <f t="shared" si="26"/>
        <v>Sunday</v>
      </c>
      <c r="I855">
        <v>61</v>
      </c>
      <c r="J855" t="s">
        <v>20</v>
      </c>
      <c r="K855">
        <v>0</v>
      </c>
      <c r="L855">
        <v>0</v>
      </c>
      <c r="M855">
        <v>0</v>
      </c>
      <c r="N855">
        <v>1</v>
      </c>
      <c r="O855">
        <v>0</v>
      </c>
      <c r="P855" t="str">
        <f t="shared" si="27"/>
        <v>Non Chronic</v>
      </c>
      <c r="Q855">
        <v>1</v>
      </c>
      <c r="R855">
        <v>1</v>
      </c>
      <c r="S855" t="s">
        <v>9</v>
      </c>
    </row>
    <row r="856" spans="1:19" x14ac:dyDescent="0.3">
      <c r="A856">
        <v>500855</v>
      </c>
      <c r="B856">
        <v>38647</v>
      </c>
      <c r="C856" t="s">
        <v>8</v>
      </c>
      <c r="D856" t="s">
        <v>25</v>
      </c>
      <c r="E856" s="1">
        <v>45987</v>
      </c>
      <c r="F856" t="s">
        <v>543</v>
      </c>
      <c r="G856" s="1">
        <v>46002</v>
      </c>
      <c r="H856" s="1" t="str">
        <f t="shared" si="26"/>
        <v>Thursday</v>
      </c>
      <c r="I856">
        <v>66</v>
      </c>
      <c r="J856" t="s">
        <v>1</v>
      </c>
      <c r="K856">
        <v>1</v>
      </c>
      <c r="L856">
        <v>0</v>
      </c>
      <c r="M856">
        <v>1</v>
      </c>
      <c r="N856">
        <v>0</v>
      </c>
      <c r="O856">
        <v>0</v>
      </c>
      <c r="P856" t="str">
        <f t="shared" si="27"/>
        <v>Chronic</v>
      </c>
      <c r="Q856">
        <v>1</v>
      </c>
      <c r="R856">
        <v>0</v>
      </c>
      <c r="S856" t="s">
        <v>9</v>
      </c>
    </row>
    <row r="857" spans="1:19" x14ac:dyDescent="0.3">
      <c r="A857">
        <v>500856</v>
      </c>
      <c r="B857">
        <v>88625</v>
      </c>
      <c r="C857" t="s">
        <v>8</v>
      </c>
      <c r="D857" t="s">
        <v>3</v>
      </c>
      <c r="E857" s="1">
        <v>46152</v>
      </c>
      <c r="F857" t="s">
        <v>542</v>
      </c>
      <c r="G857" s="1">
        <v>46162</v>
      </c>
      <c r="H857" s="1" t="str">
        <f t="shared" si="26"/>
        <v>Wednesday</v>
      </c>
      <c r="I857">
        <v>26</v>
      </c>
      <c r="J857" t="s">
        <v>31</v>
      </c>
      <c r="K857">
        <v>1</v>
      </c>
      <c r="L857">
        <v>0</v>
      </c>
      <c r="M857">
        <v>0</v>
      </c>
      <c r="N857">
        <v>0</v>
      </c>
      <c r="O857">
        <v>0</v>
      </c>
      <c r="P857" t="str">
        <f t="shared" si="27"/>
        <v>Non Chronic</v>
      </c>
      <c r="Q857">
        <v>1</v>
      </c>
      <c r="R857">
        <v>0</v>
      </c>
      <c r="S857" t="s">
        <v>22</v>
      </c>
    </row>
    <row r="858" spans="1:19" x14ac:dyDescent="0.3">
      <c r="A858">
        <v>500857</v>
      </c>
      <c r="B858">
        <v>97342</v>
      </c>
      <c r="C858" t="s">
        <v>8</v>
      </c>
      <c r="D858" t="s">
        <v>58</v>
      </c>
      <c r="E858" s="1">
        <v>46019</v>
      </c>
      <c r="F858" t="s">
        <v>541</v>
      </c>
      <c r="G858" s="1">
        <v>46026</v>
      </c>
      <c r="H858" s="1" t="str">
        <f t="shared" si="26"/>
        <v>Sunday</v>
      </c>
      <c r="I858">
        <v>21</v>
      </c>
      <c r="J858" t="s">
        <v>20</v>
      </c>
      <c r="K858">
        <v>0</v>
      </c>
      <c r="L858">
        <v>0</v>
      </c>
      <c r="M858">
        <v>0</v>
      </c>
      <c r="N858">
        <v>0</v>
      </c>
      <c r="O858">
        <v>0</v>
      </c>
      <c r="P858" t="str">
        <f t="shared" si="27"/>
        <v>Non Chronic</v>
      </c>
      <c r="Q858">
        <v>1</v>
      </c>
      <c r="R858">
        <v>0</v>
      </c>
      <c r="S858" t="s">
        <v>22</v>
      </c>
    </row>
    <row r="859" spans="1:19" x14ac:dyDescent="0.3">
      <c r="A859">
        <v>500858</v>
      </c>
      <c r="B859">
        <v>40464</v>
      </c>
      <c r="C859" t="s">
        <v>4</v>
      </c>
      <c r="D859" t="s">
        <v>14</v>
      </c>
      <c r="E859" s="1">
        <v>45992</v>
      </c>
      <c r="F859" t="s">
        <v>281</v>
      </c>
      <c r="G859" s="1">
        <v>45999</v>
      </c>
      <c r="H859" s="1" t="str">
        <f t="shared" si="26"/>
        <v>Monday</v>
      </c>
      <c r="I859">
        <v>47</v>
      </c>
      <c r="J859" t="s">
        <v>17</v>
      </c>
      <c r="K859">
        <v>0</v>
      </c>
      <c r="L859">
        <v>1</v>
      </c>
      <c r="M859">
        <v>0</v>
      </c>
      <c r="N859">
        <v>0</v>
      </c>
      <c r="O859">
        <v>0</v>
      </c>
      <c r="P859" t="str">
        <f t="shared" si="27"/>
        <v>Chronic</v>
      </c>
      <c r="Q859">
        <v>1</v>
      </c>
      <c r="R859">
        <v>0</v>
      </c>
      <c r="S859" t="s">
        <v>0</v>
      </c>
    </row>
    <row r="860" spans="1:19" x14ac:dyDescent="0.3">
      <c r="A860">
        <v>500859</v>
      </c>
      <c r="B860">
        <v>48877</v>
      </c>
      <c r="C860" t="s">
        <v>4</v>
      </c>
      <c r="D860" t="s">
        <v>28</v>
      </c>
      <c r="E860" s="1">
        <v>46012</v>
      </c>
      <c r="F860" t="s">
        <v>389</v>
      </c>
      <c r="G860" s="1">
        <v>46014</v>
      </c>
      <c r="H860" s="1" t="str">
        <f t="shared" si="26"/>
        <v>Tuesday</v>
      </c>
      <c r="I860">
        <v>26</v>
      </c>
      <c r="J860" t="s">
        <v>23</v>
      </c>
      <c r="K860">
        <v>0</v>
      </c>
      <c r="L860">
        <v>0</v>
      </c>
      <c r="M860">
        <v>0</v>
      </c>
      <c r="N860">
        <v>0</v>
      </c>
      <c r="O860">
        <v>0</v>
      </c>
      <c r="P860" t="str">
        <f t="shared" si="27"/>
        <v>Non Chronic</v>
      </c>
      <c r="Q860">
        <v>0</v>
      </c>
      <c r="R860">
        <v>0</v>
      </c>
      <c r="S860" t="s">
        <v>22</v>
      </c>
    </row>
    <row r="861" spans="1:19" x14ac:dyDescent="0.3">
      <c r="A861">
        <v>500860</v>
      </c>
      <c r="B861">
        <v>68160</v>
      </c>
      <c r="C861" t="s">
        <v>8</v>
      </c>
      <c r="D861" t="s">
        <v>28</v>
      </c>
      <c r="E861" s="1">
        <v>46011</v>
      </c>
      <c r="F861" t="s">
        <v>458</v>
      </c>
      <c r="G861" s="1">
        <v>46041</v>
      </c>
      <c r="H861" s="1" t="str">
        <f t="shared" si="26"/>
        <v>Monday</v>
      </c>
      <c r="I861">
        <v>50</v>
      </c>
      <c r="J861" t="s">
        <v>5</v>
      </c>
      <c r="K861">
        <v>1</v>
      </c>
      <c r="L861">
        <v>0</v>
      </c>
      <c r="M861">
        <v>0</v>
      </c>
      <c r="N861">
        <v>0</v>
      </c>
      <c r="O861">
        <v>0</v>
      </c>
      <c r="P861" t="str">
        <f t="shared" si="27"/>
        <v>Non Chronic</v>
      </c>
      <c r="Q861">
        <v>1</v>
      </c>
      <c r="R861">
        <v>1</v>
      </c>
      <c r="S861" t="s">
        <v>0</v>
      </c>
    </row>
    <row r="862" spans="1:19" x14ac:dyDescent="0.3">
      <c r="A862">
        <v>500861</v>
      </c>
      <c r="B862">
        <v>13105</v>
      </c>
      <c r="C862" t="s">
        <v>4</v>
      </c>
      <c r="D862" t="s">
        <v>19</v>
      </c>
      <c r="E862" s="1">
        <v>46133</v>
      </c>
      <c r="F862" t="s">
        <v>149</v>
      </c>
      <c r="G862" s="1">
        <v>46153</v>
      </c>
      <c r="H862" s="1" t="str">
        <f t="shared" si="26"/>
        <v>Monday</v>
      </c>
      <c r="I862">
        <v>42</v>
      </c>
      <c r="J862" t="s">
        <v>20</v>
      </c>
      <c r="K862">
        <v>0</v>
      </c>
      <c r="L862">
        <v>0</v>
      </c>
      <c r="M862">
        <v>1</v>
      </c>
      <c r="N862">
        <v>1</v>
      </c>
      <c r="O862">
        <v>0</v>
      </c>
      <c r="P862" t="str">
        <f t="shared" si="27"/>
        <v>Chronic</v>
      </c>
      <c r="Q862">
        <v>0</v>
      </c>
      <c r="R862">
        <v>0</v>
      </c>
      <c r="S862" t="s">
        <v>0</v>
      </c>
    </row>
    <row r="863" spans="1:19" x14ac:dyDescent="0.3">
      <c r="A863">
        <v>500862</v>
      </c>
      <c r="B863">
        <v>39156</v>
      </c>
      <c r="C863" t="s">
        <v>8</v>
      </c>
      <c r="D863" t="s">
        <v>19</v>
      </c>
      <c r="E863" s="1">
        <v>46140</v>
      </c>
      <c r="F863" t="s">
        <v>540</v>
      </c>
      <c r="G863" s="1">
        <v>46145</v>
      </c>
      <c r="H863" s="1" t="str">
        <f t="shared" si="26"/>
        <v>Sunday</v>
      </c>
      <c r="I863">
        <v>7</v>
      </c>
      <c r="J863" t="s">
        <v>31</v>
      </c>
      <c r="K863">
        <v>0</v>
      </c>
      <c r="L863">
        <v>0</v>
      </c>
      <c r="M863">
        <v>0</v>
      </c>
      <c r="N863">
        <v>0</v>
      </c>
      <c r="O863">
        <v>0</v>
      </c>
      <c r="P863" t="str">
        <f t="shared" si="27"/>
        <v>Non Chronic</v>
      </c>
      <c r="Q863">
        <v>1</v>
      </c>
      <c r="R863">
        <v>0</v>
      </c>
      <c r="S863" t="s">
        <v>30</v>
      </c>
    </row>
    <row r="864" spans="1:19" x14ac:dyDescent="0.3">
      <c r="A864">
        <v>500863</v>
      </c>
      <c r="B864">
        <v>19173</v>
      </c>
      <c r="C864" t="s">
        <v>4</v>
      </c>
      <c r="D864" t="s">
        <v>36</v>
      </c>
      <c r="E864" s="1">
        <v>46116</v>
      </c>
      <c r="F864" t="s">
        <v>155</v>
      </c>
      <c r="G864" s="1">
        <v>46118</v>
      </c>
      <c r="H864" s="1" t="str">
        <f t="shared" si="26"/>
        <v>Monday</v>
      </c>
      <c r="I864">
        <v>68</v>
      </c>
      <c r="J864" t="s">
        <v>31</v>
      </c>
      <c r="K864">
        <v>0</v>
      </c>
      <c r="L864">
        <v>1</v>
      </c>
      <c r="M864">
        <v>1</v>
      </c>
      <c r="N864">
        <v>0</v>
      </c>
      <c r="O864">
        <v>0</v>
      </c>
      <c r="P864" t="str">
        <f t="shared" si="27"/>
        <v>Chronic</v>
      </c>
      <c r="Q864">
        <v>1</v>
      </c>
      <c r="R864">
        <v>0</v>
      </c>
      <c r="S864" t="s">
        <v>9</v>
      </c>
    </row>
    <row r="865" spans="1:19" x14ac:dyDescent="0.3">
      <c r="A865">
        <v>500864</v>
      </c>
      <c r="B865">
        <v>71220</v>
      </c>
      <c r="C865" t="s">
        <v>8</v>
      </c>
      <c r="D865" t="s">
        <v>28</v>
      </c>
      <c r="E865" s="1">
        <v>46102</v>
      </c>
      <c r="F865" t="s">
        <v>16</v>
      </c>
      <c r="G865" s="1">
        <v>46132</v>
      </c>
      <c r="H865" s="1" t="str">
        <f t="shared" si="26"/>
        <v>Monday</v>
      </c>
      <c r="I865">
        <v>73</v>
      </c>
      <c r="J865" t="s">
        <v>45</v>
      </c>
      <c r="K865">
        <v>0</v>
      </c>
      <c r="L865">
        <v>0</v>
      </c>
      <c r="M865">
        <v>0</v>
      </c>
      <c r="N865">
        <v>0</v>
      </c>
      <c r="O865">
        <v>0</v>
      </c>
      <c r="P865" t="str">
        <f t="shared" si="27"/>
        <v>Non Chronic</v>
      </c>
      <c r="Q865">
        <v>1</v>
      </c>
      <c r="R865">
        <v>0</v>
      </c>
      <c r="S865" t="s">
        <v>9</v>
      </c>
    </row>
    <row r="866" spans="1:19" x14ac:dyDescent="0.3">
      <c r="A866">
        <v>500865</v>
      </c>
      <c r="B866">
        <v>73068</v>
      </c>
      <c r="C866" t="s">
        <v>4</v>
      </c>
      <c r="D866" t="s">
        <v>19</v>
      </c>
      <c r="E866" s="1">
        <v>46104</v>
      </c>
      <c r="F866" t="s">
        <v>539</v>
      </c>
      <c r="G866" s="1">
        <v>46107</v>
      </c>
      <c r="H866" s="1" t="str">
        <f t="shared" si="26"/>
        <v>Thursday</v>
      </c>
      <c r="I866">
        <v>25</v>
      </c>
      <c r="J866" t="s">
        <v>23</v>
      </c>
      <c r="K866">
        <v>1</v>
      </c>
      <c r="L866">
        <v>0</v>
      </c>
      <c r="M866">
        <v>0</v>
      </c>
      <c r="N866">
        <v>0</v>
      </c>
      <c r="O866">
        <v>0</v>
      </c>
      <c r="P866" t="str">
        <f t="shared" si="27"/>
        <v>Non Chronic</v>
      </c>
      <c r="Q866">
        <v>1</v>
      </c>
      <c r="R866">
        <v>0</v>
      </c>
      <c r="S866" t="s">
        <v>22</v>
      </c>
    </row>
    <row r="867" spans="1:19" x14ac:dyDescent="0.3">
      <c r="A867">
        <v>500866</v>
      </c>
      <c r="B867">
        <v>30431</v>
      </c>
      <c r="C867" t="s">
        <v>8</v>
      </c>
      <c r="D867" t="s">
        <v>36</v>
      </c>
      <c r="E867" s="1">
        <v>46069</v>
      </c>
      <c r="F867" t="s">
        <v>538</v>
      </c>
      <c r="G867" s="1">
        <v>46079</v>
      </c>
      <c r="H867" s="1" t="str">
        <f t="shared" si="26"/>
        <v>Thursday</v>
      </c>
      <c r="I867">
        <v>30</v>
      </c>
      <c r="J867" t="s">
        <v>23</v>
      </c>
      <c r="K867">
        <v>1</v>
      </c>
      <c r="L867">
        <v>0</v>
      </c>
      <c r="M867">
        <v>0</v>
      </c>
      <c r="N867">
        <v>0</v>
      </c>
      <c r="O867">
        <v>0</v>
      </c>
      <c r="P867" t="str">
        <f t="shared" si="27"/>
        <v>Non Chronic</v>
      </c>
      <c r="Q867">
        <v>0</v>
      </c>
      <c r="R867">
        <v>0</v>
      </c>
      <c r="S867" t="s">
        <v>22</v>
      </c>
    </row>
    <row r="868" spans="1:19" x14ac:dyDescent="0.3">
      <c r="A868">
        <v>500867</v>
      </c>
      <c r="B868">
        <v>30027</v>
      </c>
      <c r="C868" t="s">
        <v>4</v>
      </c>
      <c r="D868" t="s">
        <v>25</v>
      </c>
      <c r="E868" s="1">
        <v>46004</v>
      </c>
      <c r="F868" t="s">
        <v>42</v>
      </c>
      <c r="G868" s="1">
        <v>46011</v>
      </c>
      <c r="H868" s="1" t="str">
        <f t="shared" si="26"/>
        <v>Saturday</v>
      </c>
      <c r="I868">
        <v>43</v>
      </c>
      <c r="J868" t="s">
        <v>23</v>
      </c>
      <c r="K868">
        <v>1</v>
      </c>
      <c r="L868">
        <v>0</v>
      </c>
      <c r="M868">
        <v>0</v>
      </c>
      <c r="N868">
        <v>0</v>
      </c>
      <c r="O868">
        <v>0</v>
      </c>
      <c r="P868" t="str">
        <f t="shared" si="27"/>
        <v>Non Chronic</v>
      </c>
      <c r="Q868">
        <v>1</v>
      </c>
      <c r="R868">
        <v>0</v>
      </c>
      <c r="S868" t="s">
        <v>0</v>
      </c>
    </row>
    <row r="869" spans="1:19" x14ac:dyDescent="0.3">
      <c r="A869">
        <v>500868</v>
      </c>
      <c r="B869">
        <v>71506</v>
      </c>
      <c r="C869" t="s">
        <v>4</v>
      </c>
      <c r="D869" t="s">
        <v>28</v>
      </c>
      <c r="E869" s="1">
        <v>46138</v>
      </c>
      <c r="F869" t="s">
        <v>537</v>
      </c>
      <c r="G869" s="1">
        <v>46148</v>
      </c>
      <c r="H869" s="1" t="str">
        <f t="shared" si="26"/>
        <v>Wednesday</v>
      </c>
      <c r="I869">
        <v>44</v>
      </c>
      <c r="J869" t="s">
        <v>45</v>
      </c>
      <c r="K869">
        <v>0</v>
      </c>
      <c r="L869">
        <v>0</v>
      </c>
      <c r="M869">
        <v>1</v>
      </c>
      <c r="N869">
        <v>0</v>
      </c>
      <c r="O869">
        <v>0</v>
      </c>
      <c r="P869" t="str">
        <f t="shared" si="27"/>
        <v>Chronic</v>
      </c>
      <c r="Q869">
        <v>1</v>
      </c>
      <c r="R869">
        <v>0</v>
      </c>
      <c r="S869" t="s">
        <v>0</v>
      </c>
    </row>
    <row r="870" spans="1:19" x14ac:dyDescent="0.3">
      <c r="A870">
        <v>500869</v>
      </c>
      <c r="B870">
        <v>61727</v>
      </c>
      <c r="C870" t="s">
        <v>8</v>
      </c>
      <c r="D870" t="s">
        <v>3</v>
      </c>
      <c r="E870" s="1">
        <v>45981</v>
      </c>
      <c r="F870" t="s">
        <v>434</v>
      </c>
      <c r="G870" s="1">
        <v>45981</v>
      </c>
      <c r="H870" s="1" t="str">
        <f t="shared" si="26"/>
        <v>Thursday</v>
      </c>
      <c r="I870">
        <v>51</v>
      </c>
      <c r="J870" t="s">
        <v>10</v>
      </c>
      <c r="K870">
        <v>1</v>
      </c>
      <c r="L870">
        <v>0</v>
      </c>
      <c r="M870">
        <v>0</v>
      </c>
      <c r="N870">
        <v>0</v>
      </c>
      <c r="O870">
        <v>0</v>
      </c>
      <c r="P870" t="str">
        <f t="shared" si="27"/>
        <v>Non Chronic</v>
      </c>
      <c r="Q870">
        <v>0</v>
      </c>
      <c r="R870">
        <v>0</v>
      </c>
      <c r="S870" t="s">
        <v>0</v>
      </c>
    </row>
    <row r="871" spans="1:19" x14ac:dyDescent="0.3">
      <c r="A871">
        <v>500870</v>
      </c>
      <c r="B871">
        <v>84135</v>
      </c>
      <c r="C871" t="s">
        <v>4</v>
      </c>
      <c r="D871" t="s">
        <v>14</v>
      </c>
      <c r="E871" s="1">
        <v>46151</v>
      </c>
      <c r="F871" t="s">
        <v>404</v>
      </c>
      <c r="G871" s="1">
        <v>46158</v>
      </c>
      <c r="H871" s="1" t="str">
        <f t="shared" si="26"/>
        <v>Saturday</v>
      </c>
      <c r="I871">
        <v>78</v>
      </c>
      <c r="J871" t="s">
        <v>23</v>
      </c>
      <c r="K871">
        <v>1</v>
      </c>
      <c r="L871">
        <v>0</v>
      </c>
      <c r="M871">
        <v>0</v>
      </c>
      <c r="N871">
        <v>0</v>
      </c>
      <c r="O871">
        <v>0</v>
      </c>
      <c r="P871" t="str">
        <f t="shared" si="27"/>
        <v>Non Chronic</v>
      </c>
      <c r="Q871">
        <v>1</v>
      </c>
      <c r="R871">
        <v>1</v>
      </c>
      <c r="S871" t="s">
        <v>9</v>
      </c>
    </row>
    <row r="872" spans="1:19" x14ac:dyDescent="0.3">
      <c r="A872">
        <v>500871</v>
      </c>
      <c r="B872">
        <v>60506</v>
      </c>
      <c r="C872" t="s">
        <v>8</v>
      </c>
      <c r="D872" t="s">
        <v>14</v>
      </c>
      <c r="E872" s="1">
        <v>46146</v>
      </c>
      <c r="F872" t="s">
        <v>321</v>
      </c>
      <c r="G872" s="1">
        <v>46161</v>
      </c>
      <c r="H872" s="1" t="str">
        <f t="shared" si="26"/>
        <v>Tuesday</v>
      </c>
      <c r="I872">
        <v>34</v>
      </c>
      <c r="J872" t="s">
        <v>45</v>
      </c>
      <c r="K872">
        <v>1</v>
      </c>
      <c r="L872">
        <v>0</v>
      </c>
      <c r="M872">
        <v>0</v>
      </c>
      <c r="N872">
        <v>1</v>
      </c>
      <c r="O872">
        <v>0</v>
      </c>
      <c r="P872" t="str">
        <f t="shared" si="27"/>
        <v>Non Chronic</v>
      </c>
      <c r="Q872">
        <v>1</v>
      </c>
      <c r="R872">
        <v>0</v>
      </c>
      <c r="S872" t="s">
        <v>22</v>
      </c>
    </row>
    <row r="873" spans="1:19" x14ac:dyDescent="0.3">
      <c r="A873">
        <v>500872</v>
      </c>
      <c r="B873">
        <v>97251</v>
      </c>
      <c r="C873" t="s">
        <v>4</v>
      </c>
      <c r="D873" t="s">
        <v>25</v>
      </c>
      <c r="E873" s="1">
        <v>46153</v>
      </c>
      <c r="F873" t="s">
        <v>536</v>
      </c>
      <c r="G873" s="1">
        <v>46154</v>
      </c>
      <c r="H873" s="1" t="str">
        <f t="shared" si="26"/>
        <v>Tuesday</v>
      </c>
      <c r="I873">
        <v>22</v>
      </c>
      <c r="J873" t="s">
        <v>1</v>
      </c>
      <c r="K873">
        <v>1</v>
      </c>
      <c r="L873">
        <v>0</v>
      </c>
      <c r="M873">
        <v>0</v>
      </c>
      <c r="N873">
        <v>0</v>
      </c>
      <c r="O873">
        <v>0</v>
      </c>
      <c r="P873" t="str">
        <f t="shared" si="27"/>
        <v>Non Chronic</v>
      </c>
      <c r="Q873">
        <v>1</v>
      </c>
      <c r="R873">
        <v>0</v>
      </c>
      <c r="S873" t="s">
        <v>22</v>
      </c>
    </row>
    <row r="874" spans="1:19" x14ac:dyDescent="0.3">
      <c r="A874">
        <v>500873</v>
      </c>
      <c r="B874">
        <v>96848</v>
      </c>
      <c r="C874" t="s">
        <v>4</v>
      </c>
      <c r="D874" t="s">
        <v>36</v>
      </c>
      <c r="E874" s="1">
        <v>46160</v>
      </c>
      <c r="F874" t="s">
        <v>535</v>
      </c>
      <c r="G874" s="1">
        <v>46175</v>
      </c>
      <c r="H874" s="1" t="str">
        <f t="shared" si="26"/>
        <v>Tuesday</v>
      </c>
      <c r="I874">
        <v>10</v>
      </c>
      <c r="J874" t="s">
        <v>15</v>
      </c>
      <c r="K874">
        <v>0</v>
      </c>
      <c r="L874">
        <v>0</v>
      </c>
      <c r="M874">
        <v>0</v>
      </c>
      <c r="N874">
        <v>0</v>
      </c>
      <c r="O874">
        <v>0</v>
      </c>
      <c r="P874" t="str">
        <f t="shared" si="27"/>
        <v>Non Chronic</v>
      </c>
      <c r="Q874">
        <v>1</v>
      </c>
      <c r="R874">
        <v>0</v>
      </c>
      <c r="S874" t="s">
        <v>30</v>
      </c>
    </row>
    <row r="875" spans="1:19" x14ac:dyDescent="0.3">
      <c r="A875">
        <v>500874</v>
      </c>
      <c r="B875">
        <v>62122</v>
      </c>
      <c r="C875" t="s">
        <v>4</v>
      </c>
      <c r="D875" t="s">
        <v>14</v>
      </c>
      <c r="E875" s="1">
        <v>46074</v>
      </c>
      <c r="F875" t="s">
        <v>534</v>
      </c>
      <c r="G875" s="1">
        <v>46076</v>
      </c>
      <c r="H875" s="1" t="str">
        <f t="shared" si="26"/>
        <v>Monday</v>
      </c>
      <c r="I875">
        <v>23</v>
      </c>
      <c r="J875" t="s">
        <v>23</v>
      </c>
      <c r="K875">
        <v>0</v>
      </c>
      <c r="L875">
        <v>0</v>
      </c>
      <c r="M875">
        <v>0</v>
      </c>
      <c r="N875">
        <v>0</v>
      </c>
      <c r="O875">
        <v>0</v>
      </c>
      <c r="P875" t="str">
        <f t="shared" si="27"/>
        <v>Non Chronic</v>
      </c>
      <c r="Q875">
        <v>1</v>
      </c>
      <c r="R875">
        <v>0</v>
      </c>
      <c r="S875" t="s">
        <v>22</v>
      </c>
    </row>
    <row r="876" spans="1:19" x14ac:dyDescent="0.3">
      <c r="A876">
        <v>500875</v>
      </c>
      <c r="B876">
        <v>96309</v>
      </c>
      <c r="C876" t="s">
        <v>8</v>
      </c>
      <c r="D876" t="s">
        <v>25</v>
      </c>
      <c r="E876" s="1">
        <v>45996</v>
      </c>
      <c r="F876" t="s">
        <v>455</v>
      </c>
      <c r="G876" s="1">
        <v>46003</v>
      </c>
      <c r="H876" s="1" t="str">
        <f t="shared" si="26"/>
        <v>Friday</v>
      </c>
      <c r="I876">
        <v>37</v>
      </c>
      <c r="J876" t="s">
        <v>23</v>
      </c>
      <c r="K876">
        <v>0</v>
      </c>
      <c r="L876">
        <v>0</v>
      </c>
      <c r="M876">
        <v>0</v>
      </c>
      <c r="N876">
        <v>0</v>
      </c>
      <c r="O876">
        <v>0</v>
      </c>
      <c r="P876" t="str">
        <f t="shared" si="27"/>
        <v>Non Chronic</v>
      </c>
      <c r="Q876">
        <v>0</v>
      </c>
      <c r="R876">
        <v>0</v>
      </c>
      <c r="S876" t="s">
        <v>22</v>
      </c>
    </row>
    <row r="877" spans="1:19" x14ac:dyDescent="0.3">
      <c r="A877">
        <v>500876</v>
      </c>
      <c r="B877">
        <v>45261</v>
      </c>
      <c r="C877" t="s">
        <v>4</v>
      </c>
      <c r="D877" t="s">
        <v>3</v>
      </c>
      <c r="E877" s="1">
        <v>46124</v>
      </c>
      <c r="F877" t="s">
        <v>133</v>
      </c>
      <c r="G877" s="1">
        <v>46134</v>
      </c>
      <c r="H877" s="1" t="str">
        <f t="shared" si="26"/>
        <v>Wednesday</v>
      </c>
      <c r="I877">
        <v>73</v>
      </c>
      <c r="J877" t="s">
        <v>5</v>
      </c>
      <c r="K877">
        <v>0</v>
      </c>
      <c r="L877">
        <v>0</v>
      </c>
      <c r="M877">
        <v>0</v>
      </c>
      <c r="N877">
        <v>1</v>
      </c>
      <c r="O877">
        <v>0</v>
      </c>
      <c r="P877" t="str">
        <f t="shared" si="27"/>
        <v>Non Chronic</v>
      </c>
      <c r="Q877">
        <v>1</v>
      </c>
      <c r="R877">
        <v>0</v>
      </c>
      <c r="S877" t="s">
        <v>9</v>
      </c>
    </row>
    <row r="878" spans="1:19" x14ac:dyDescent="0.3">
      <c r="A878">
        <v>500877</v>
      </c>
      <c r="B878">
        <v>66485</v>
      </c>
      <c r="C878" t="s">
        <v>4</v>
      </c>
      <c r="D878" t="s">
        <v>28</v>
      </c>
      <c r="E878" s="1">
        <v>46075</v>
      </c>
      <c r="F878" t="s">
        <v>533</v>
      </c>
      <c r="G878" s="1">
        <v>46077</v>
      </c>
      <c r="H878" s="1" t="str">
        <f t="shared" si="26"/>
        <v>Tuesday</v>
      </c>
      <c r="I878">
        <v>27</v>
      </c>
      <c r="J878" t="s">
        <v>20</v>
      </c>
      <c r="K878">
        <v>0</v>
      </c>
      <c r="L878">
        <v>0</v>
      </c>
      <c r="M878">
        <v>0</v>
      </c>
      <c r="N878">
        <v>0</v>
      </c>
      <c r="O878">
        <v>0</v>
      </c>
      <c r="P878" t="str">
        <f t="shared" si="27"/>
        <v>Non Chronic</v>
      </c>
      <c r="Q878">
        <v>1</v>
      </c>
      <c r="R878">
        <v>0</v>
      </c>
      <c r="S878" t="s">
        <v>22</v>
      </c>
    </row>
    <row r="879" spans="1:19" x14ac:dyDescent="0.3">
      <c r="A879">
        <v>500878</v>
      </c>
      <c r="B879">
        <v>69069</v>
      </c>
      <c r="C879" t="s">
        <v>4</v>
      </c>
      <c r="D879" t="s">
        <v>28</v>
      </c>
      <c r="E879" s="1">
        <v>46159</v>
      </c>
      <c r="F879" t="s">
        <v>532</v>
      </c>
      <c r="G879" s="1">
        <v>46161</v>
      </c>
      <c r="H879" s="1" t="str">
        <f t="shared" si="26"/>
        <v>Tuesday</v>
      </c>
      <c r="I879">
        <v>42</v>
      </c>
      <c r="J879" t="s">
        <v>45</v>
      </c>
      <c r="K879">
        <v>0</v>
      </c>
      <c r="L879">
        <v>0</v>
      </c>
      <c r="M879">
        <v>0</v>
      </c>
      <c r="N879">
        <v>0</v>
      </c>
      <c r="O879">
        <v>0</v>
      </c>
      <c r="P879" t="str">
        <f t="shared" si="27"/>
        <v>Non Chronic</v>
      </c>
      <c r="Q879">
        <v>0</v>
      </c>
      <c r="R879">
        <v>0</v>
      </c>
      <c r="S879" t="s">
        <v>0</v>
      </c>
    </row>
    <row r="880" spans="1:19" x14ac:dyDescent="0.3">
      <c r="A880">
        <v>500879</v>
      </c>
      <c r="B880">
        <v>67767</v>
      </c>
      <c r="C880" t="s">
        <v>4</v>
      </c>
      <c r="D880" t="s">
        <v>28</v>
      </c>
      <c r="E880" s="1">
        <v>46071</v>
      </c>
      <c r="F880" t="s">
        <v>531</v>
      </c>
      <c r="G880" s="1">
        <v>46072</v>
      </c>
      <c r="H880" s="1" t="str">
        <f t="shared" si="26"/>
        <v>Thursday</v>
      </c>
      <c r="I880">
        <v>37</v>
      </c>
      <c r="J880" t="s">
        <v>15</v>
      </c>
      <c r="K880">
        <v>1</v>
      </c>
      <c r="L880">
        <v>0</v>
      </c>
      <c r="M880">
        <v>0</v>
      </c>
      <c r="N880">
        <v>0</v>
      </c>
      <c r="O880">
        <v>0</v>
      </c>
      <c r="P880" t="str">
        <f t="shared" si="27"/>
        <v>Non Chronic</v>
      </c>
      <c r="Q880">
        <v>1</v>
      </c>
      <c r="R880">
        <v>1</v>
      </c>
      <c r="S880" t="s">
        <v>22</v>
      </c>
    </row>
    <row r="881" spans="1:19" x14ac:dyDescent="0.3">
      <c r="A881">
        <v>500880</v>
      </c>
      <c r="B881">
        <v>40773</v>
      </c>
      <c r="C881" t="s">
        <v>8</v>
      </c>
      <c r="D881" t="s">
        <v>7</v>
      </c>
      <c r="E881" s="1">
        <v>46075</v>
      </c>
      <c r="F881" t="s">
        <v>530</v>
      </c>
      <c r="G881" s="1">
        <v>46105</v>
      </c>
      <c r="H881" s="1" t="str">
        <f t="shared" si="26"/>
        <v>Tuesday</v>
      </c>
      <c r="I881">
        <v>61</v>
      </c>
      <c r="J881" t="s">
        <v>15</v>
      </c>
      <c r="K881">
        <v>0</v>
      </c>
      <c r="L881">
        <v>1</v>
      </c>
      <c r="M881">
        <v>0</v>
      </c>
      <c r="N881">
        <v>1</v>
      </c>
      <c r="O881">
        <v>0</v>
      </c>
      <c r="P881" t="str">
        <f t="shared" si="27"/>
        <v>Chronic</v>
      </c>
      <c r="Q881">
        <v>1</v>
      </c>
      <c r="R881">
        <v>0</v>
      </c>
      <c r="S881" t="s">
        <v>9</v>
      </c>
    </row>
    <row r="882" spans="1:19" x14ac:dyDescent="0.3">
      <c r="A882">
        <v>500881</v>
      </c>
      <c r="B882">
        <v>10951</v>
      </c>
      <c r="C882" t="s">
        <v>8</v>
      </c>
      <c r="D882" t="s">
        <v>25</v>
      </c>
      <c r="E882" s="1">
        <v>46067</v>
      </c>
      <c r="F882" t="s">
        <v>74</v>
      </c>
      <c r="G882" s="1">
        <v>46070</v>
      </c>
      <c r="H882" s="1" t="str">
        <f t="shared" si="26"/>
        <v>Tuesday</v>
      </c>
      <c r="I882">
        <v>88</v>
      </c>
      <c r="J882" t="s">
        <v>10</v>
      </c>
      <c r="K882">
        <v>1</v>
      </c>
      <c r="L882">
        <v>0</v>
      </c>
      <c r="M882">
        <v>0</v>
      </c>
      <c r="N882">
        <v>0</v>
      </c>
      <c r="O882">
        <v>0</v>
      </c>
      <c r="P882" t="str">
        <f t="shared" si="27"/>
        <v>Non Chronic</v>
      </c>
      <c r="Q882">
        <v>1</v>
      </c>
      <c r="R882">
        <v>0</v>
      </c>
      <c r="S882" t="s">
        <v>9</v>
      </c>
    </row>
    <row r="883" spans="1:19" x14ac:dyDescent="0.3">
      <c r="A883">
        <v>500882</v>
      </c>
      <c r="B883">
        <v>57344</v>
      </c>
      <c r="C883" t="s">
        <v>8</v>
      </c>
      <c r="D883" t="s">
        <v>3</v>
      </c>
      <c r="E883" s="1">
        <v>46050</v>
      </c>
      <c r="F883" t="s">
        <v>261</v>
      </c>
      <c r="G883" s="1">
        <v>46070</v>
      </c>
      <c r="H883" s="1" t="str">
        <f t="shared" si="26"/>
        <v>Tuesday</v>
      </c>
      <c r="I883">
        <v>27</v>
      </c>
      <c r="J883" t="s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 t="str">
        <f t="shared" si="27"/>
        <v>Non Chronic</v>
      </c>
      <c r="Q883">
        <v>0</v>
      </c>
      <c r="R883">
        <v>1</v>
      </c>
      <c r="S883" t="s">
        <v>22</v>
      </c>
    </row>
    <row r="884" spans="1:19" x14ac:dyDescent="0.3">
      <c r="A884">
        <v>500883</v>
      </c>
      <c r="B884">
        <v>62665</v>
      </c>
      <c r="C884" t="s">
        <v>4</v>
      </c>
      <c r="D884" t="s">
        <v>36</v>
      </c>
      <c r="E884" s="1">
        <v>45997</v>
      </c>
      <c r="F884" t="s">
        <v>529</v>
      </c>
      <c r="G884" s="1">
        <v>45999</v>
      </c>
      <c r="H884" s="1" t="str">
        <f t="shared" si="26"/>
        <v>Monday</v>
      </c>
      <c r="I884">
        <v>28</v>
      </c>
      <c r="J884" t="s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 t="str">
        <f t="shared" si="27"/>
        <v>Non Chronic</v>
      </c>
      <c r="Q884">
        <v>1</v>
      </c>
      <c r="R884">
        <v>0</v>
      </c>
      <c r="S884" t="s">
        <v>22</v>
      </c>
    </row>
    <row r="885" spans="1:19" x14ac:dyDescent="0.3">
      <c r="A885">
        <v>500884</v>
      </c>
      <c r="B885">
        <v>58290</v>
      </c>
      <c r="C885" t="s">
        <v>8</v>
      </c>
      <c r="D885" t="s">
        <v>7</v>
      </c>
      <c r="E885" s="1">
        <v>46005</v>
      </c>
      <c r="F885" t="s">
        <v>528</v>
      </c>
      <c r="G885" s="1">
        <v>46008</v>
      </c>
      <c r="H885" s="1" t="str">
        <f t="shared" si="26"/>
        <v>Wednesday</v>
      </c>
      <c r="I885">
        <v>58</v>
      </c>
      <c r="J885" t="s">
        <v>12</v>
      </c>
      <c r="K885">
        <v>1</v>
      </c>
      <c r="L885">
        <v>0</v>
      </c>
      <c r="M885">
        <v>1</v>
      </c>
      <c r="N885">
        <v>0</v>
      </c>
      <c r="O885">
        <v>0</v>
      </c>
      <c r="P885" t="str">
        <f t="shared" si="27"/>
        <v>Chronic</v>
      </c>
      <c r="Q885">
        <v>1</v>
      </c>
      <c r="R885">
        <v>0</v>
      </c>
      <c r="S885" t="s">
        <v>0</v>
      </c>
    </row>
    <row r="886" spans="1:19" x14ac:dyDescent="0.3">
      <c r="A886">
        <v>500885</v>
      </c>
      <c r="B886">
        <v>52667</v>
      </c>
      <c r="C886" t="s">
        <v>8</v>
      </c>
      <c r="D886" t="s">
        <v>14</v>
      </c>
      <c r="E886" s="1">
        <v>45985</v>
      </c>
      <c r="F886" t="s">
        <v>292</v>
      </c>
      <c r="G886" s="1">
        <v>45988</v>
      </c>
      <c r="H886" s="1" t="str">
        <f t="shared" si="26"/>
        <v>Thursday</v>
      </c>
      <c r="I886">
        <v>51</v>
      </c>
      <c r="J886" t="s">
        <v>1</v>
      </c>
      <c r="K886">
        <v>1</v>
      </c>
      <c r="L886">
        <v>0</v>
      </c>
      <c r="M886">
        <v>0</v>
      </c>
      <c r="N886">
        <v>0</v>
      </c>
      <c r="O886">
        <v>0</v>
      </c>
      <c r="P886" t="str">
        <f t="shared" si="27"/>
        <v>Non Chronic</v>
      </c>
      <c r="Q886">
        <v>0</v>
      </c>
      <c r="R886">
        <v>0</v>
      </c>
      <c r="S886" t="s">
        <v>0</v>
      </c>
    </row>
    <row r="887" spans="1:19" x14ac:dyDescent="0.3">
      <c r="A887">
        <v>500886</v>
      </c>
      <c r="B887">
        <v>96289</v>
      </c>
      <c r="C887" t="s">
        <v>4</v>
      </c>
      <c r="D887" t="s">
        <v>3</v>
      </c>
      <c r="E887" s="1">
        <v>46108</v>
      </c>
      <c r="F887" t="s">
        <v>527</v>
      </c>
      <c r="G887" s="1">
        <v>46118</v>
      </c>
      <c r="H887" s="1" t="str">
        <f t="shared" si="26"/>
        <v>Monday</v>
      </c>
      <c r="I887">
        <v>74</v>
      </c>
      <c r="J887" t="s">
        <v>5</v>
      </c>
      <c r="K887">
        <v>0</v>
      </c>
      <c r="L887">
        <v>0</v>
      </c>
      <c r="M887">
        <v>0</v>
      </c>
      <c r="N887">
        <v>0</v>
      </c>
      <c r="O887">
        <v>0</v>
      </c>
      <c r="P887" t="str">
        <f t="shared" si="27"/>
        <v>Non Chronic</v>
      </c>
      <c r="Q887">
        <v>1</v>
      </c>
      <c r="R887">
        <v>0</v>
      </c>
      <c r="S887" t="s">
        <v>9</v>
      </c>
    </row>
    <row r="888" spans="1:19" x14ac:dyDescent="0.3">
      <c r="A888">
        <v>500887</v>
      </c>
      <c r="B888">
        <v>21415</v>
      </c>
      <c r="C888" t="s">
        <v>8</v>
      </c>
      <c r="D888" t="s">
        <v>7</v>
      </c>
      <c r="E888" s="1">
        <v>46152</v>
      </c>
      <c r="F888" t="s">
        <v>162</v>
      </c>
      <c r="G888" s="1">
        <v>46154</v>
      </c>
      <c r="H888" s="1" t="str">
        <f t="shared" si="26"/>
        <v>Tuesday</v>
      </c>
      <c r="I888">
        <v>49</v>
      </c>
      <c r="J888" t="s">
        <v>31</v>
      </c>
      <c r="K888">
        <v>1</v>
      </c>
      <c r="L888">
        <v>0</v>
      </c>
      <c r="M888">
        <v>0</v>
      </c>
      <c r="N888">
        <v>0</v>
      </c>
      <c r="O888">
        <v>0</v>
      </c>
      <c r="P888" t="str">
        <f t="shared" si="27"/>
        <v>Non Chronic</v>
      </c>
      <c r="Q888">
        <v>1</v>
      </c>
      <c r="R888">
        <v>0</v>
      </c>
      <c r="S888" t="s">
        <v>0</v>
      </c>
    </row>
    <row r="889" spans="1:19" x14ac:dyDescent="0.3">
      <c r="A889">
        <v>500888</v>
      </c>
      <c r="B889">
        <v>21722</v>
      </c>
      <c r="C889" t="s">
        <v>4</v>
      </c>
      <c r="D889" t="s">
        <v>3</v>
      </c>
      <c r="E889" s="1">
        <v>46145</v>
      </c>
      <c r="F889" t="s">
        <v>526</v>
      </c>
      <c r="G889" s="1">
        <v>46148</v>
      </c>
      <c r="H889" s="1" t="str">
        <f t="shared" si="26"/>
        <v>Wednesday</v>
      </c>
      <c r="I889">
        <v>30</v>
      </c>
      <c r="J889" t="s">
        <v>17</v>
      </c>
      <c r="K889">
        <v>0</v>
      </c>
      <c r="L889">
        <v>0</v>
      </c>
      <c r="M889">
        <v>0</v>
      </c>
      <c r="N889">
        <v>0</v>
      </c>
      <c r="O889">
        <v>0</v>
      </c>
      <c r="P889" t="str">
        <f t="shared" si="27"/>
        <v>Non Chronic</v>
      </c>
      <c r="Q889">
        <v>1</v>
      </c>
      <c r="R889">
        <v>0</v>
      </c>
      <c r="S889" t="s">
        <v>22</v>
      </c>
    </row>
    <row r="890" spans="1:19" x14ac:dyDescent="0.3">
      <c r="A890">
        <v>500889</v>
      </c>
      <c r="B890">
        <v>43767</v>
      </c>
      <c r="C890" t="s">
        <v>8</v>
      </c>
      <c r="D890" t="s">
        <v>58</v>
      </c>
      <c r="E890" s="1">
        <v>46032</v>
      </c>
      <c r="F890" t="s">
        <v>479</v>
      </c>
      <c r="G890" s="1">
        <v>46052</v>
      </c>
      <c r="H890" s="1" t="str">
        <f t="shared" si="26"/>
        <v>Friday</v>
      </c>
      <c r="I890">
        <v>49</v>
      </c>
      <c r="J890" t="s">
        <v>31</v>
      </c>
      <c r="K890">
        <v>1</v>
      </c>
      <c r="L890">
        <v>1</v>
      </c>
      <c r="M890">
        <v>0</v>
      </c>
      <c r="N890">
        <v>0</v>
      </c>
      <c r="O890">
        <v>0</v>
      </c>
      <c r="P890" t="str">
        <f t="shared" si="27"/>
        <v>Chronic</v>
      </c>
      <c r="Q890">
        <v>0</v>
      </c>
      <c r="R890">
        <v>0</v>
      </c>
      <c r="S890" t="s">
        <v>0</v>
      </c>
    </row>
    <row r="891" spans="1:19" x14ac:dyDescent="0.3">
      <c r="A891">
        <v>500890</v>
      </c>
      <c r="B891">
        <v>94408</v>
      </c>
      <c r="C891" t="s">
        <v>8</v>
      </c>
      <c r="D891" t="s">
        <v>3</v>
      </c>
      <c r="E891" s="1">
        <v>46140</v>
      </c>
      <c r="F891" t="s">
        <v>525</v>
      </c>
      <c r="G891" s="1">
        <v>46141</v>
      </c>
      <c r="H891" s="1" t="str">
        <f t="shared" si="26"/>
        <v>Wednesday</v>
      </c>
      <c r="I891">
        <v>60</v>
      </c>
      <c r="J891" t="s">
        <v>23</v>
      </c>
      <c r="K891">
        <v>1</v>
      </c>
      <c r="L891">
        <v>0</v>
      </c>
      <c r="M891">
        <v>0</v>
      </c>
      <c r="N891">
        <v>0</v>
      </c>
      <c r="O891">
        <v>0</v>
      </c>
      <c r="P891" t="str">
        <f t="shared" si="27"/>
        <v>Non Chronic</v>
      </c>
      <c r="Q891">
        <v>0</v>
      </c>
      <c r="R891">
        <v>0</v>
      </c>
      <c r="S891" t="s">
        <v>0</v>
      </c>
    </row>
    <row r="892" spans="1:19" x14ac:dyDescent="0.3">
      <c r="A892">
        <v>500891</v>
      </c>
      <c r="B892">
        <v>25218</v>
      </c>
      <c r="C892" t="s">
        <v>8</v>
      </c>
      <c r="D892" t="s">
        <v>28</v>
      </c>
      <c r="E892" s="1">
        <v>46107</v>
      </c>
      <c r="F892" t="s">
        <v>524</v>
      </c>
      <c r="G892" s="1">
        <v>46112</v>
      </c>
      <c r="H892" s="1" t="str">
        <f t="shared" si="26"/>
        <v>Tuesday</v>
      </c>
      <c r="I892">
        <v>54</v>
      </c>
      <c r="J892" t="s">
        <v>20</v>
      </c>
      <c r="K892">
        <v>1</v>
      </c>
      <c r="L892">
        <v>0</v>
      </c>
      <c r="M892">
        <v>1</v>
      </c>
      <c r="N892">
        <v>1</v>
      </c>
      <c r="O892">
        <v>0</v>
      </c>
      <c r="P892" t="str">
        <f t="shared" si="27"/>
        <v>Chronic</v>
      </c>
      <c r="Q892">
        <v>0</v>
      </c>
      <c r="R892">
        <v>0</v>
      </c>
      <c r="S892" t="s">
        <v>0</v>
      </c>
    </row>
    <row r="893" spans="1:19" x14ac:dyDescent="0.3">
      <c r="A893">
        <v>500892</v>
      </c>
      <c r="B893">
        <v>51896</v>
      </c>
      <c r="C893" t="s">
        <v>8</v>
      </c>
      <c r="D893" t="s">
        <v>28</v>
      </c>
      <c r="E893" s="1">
        <v>45996</v>
      </c>
      <c r="F893" t="s">
        <v>427</v>
      </c>
      <c r="G893" s="1">
        <v>45999</v>
      </c>
      <c r="H893" s="1" t="str">
        <f t="shared" si="26"/>
        <v>Monday</v>
      </c>
      <c r="I893">
        <v>48</v>
      </c>
      <c r="J893" t="s">
        <v>12</v>
      </c>
      <c r="K893">
        <v>0</v>
      </c>
      <c r="L893">
        <v>1</v>
      </c>
      <c r="M893">
        <v>1</v>
      </c>
      <c r="N893">
        <v>0</v>
      </c>
      <c r="O893">
        <v>0</v>
      </c>
      <c r="P893" t="str">
        <f t="shared" si="27"/>
        <v>Chronic</v>
      </c>
      <c r="Q893">
        <v>0</v>
      </c>
      <c r="R893">
        <v>1</v>
      </c>
      <c r="S893" t="s">
        <v>0</v>
      </c>
    </row>
    <row r="894" spans="1:19" x14ac:dyDescent="0.3">
      <c r="A894">
        <v>500893</v>
      </c>
      <c r="B894">
        <v>38692</v>
      </c>
      <c r="C894" t="s">
        <v>8</v>
      </c>
      <c r="D894" t="s">
        <v>7</v>
      </c>
      <c r="E894" s="1">
        <v>46014</v>
      </c>
      <c r="F894" t="s">
        <v>412</v>
      </c>
      <c r="G894" s="1">
        <v>46021</v>
      </c>
      <c r="H894" s="1" t="str">
        <f t="shared" si="26"/>
        <v>Tuesday</v>
      </c>
      <c r="I894">
        <v>59</v>
      </c>
      <c r="J894" t="s">
        <v>31</v>
      </c>
      <c r="K894">
        <v>1</v>
      </c>
      <c r="L894">
        <v>1</v>
      </c>
      <c r="M894">
        <v>0</v>
      </c>
      <c r="N894">
        <v>0</v>
      </c>
      <c r="O894">
        <v>0</v>
      </c>
      <c r="P894" t="str">
        <f t="shared" si="27"/>
        <v>Chronic</v>
      </c>
      <c r="Q894">
        <v>1</v>
      </c>
      <c r="R894">
        <v>0</v>
      </c>
      <c r="S894" t="s">
        <v>0</v>
      </c>
    </row>
    <row r="895" spans="1:19" x14ac:dyDescent="0.3">
      <c r="A895">
        <v>500894</v>
      </c>
      <c r="B895">
        <v>26182</v>
      </c>
      <c r="C895" t="s">
        <v>8</v>
      </c>
      <c r="D895" t="s">
        <v>7</v>
      </c>
      <c r="E895" s="1">
        <v>46058</v>
      </c>
      <c r="F895" t="s">
        <v>523</v>
      </c>
      <c r="G895" s="1">
        <v>46059</v>
      </c>
      <c r="H895" s="1" t="str">
        <f t="shared" si="26"/>
        <v>Friday</v>
      </c>
      <c r="I895">
        <v>61</v>
      </c>
      <c r="J895" t="s">
        <v>45</v>
      </c>
      <c r="K895">
        <v>1</v>
      </c>
      <c r="L895">
        <v>1</v>
      </c>
      <c r="M895">
        <v>0</v>
      </c>
      <c r="N895">
        <v>1</v>
      </c>
      <c r="O895">
        <v>0</v>
      </c>
      <c r="P895" t="str">
        <f t="shared" si="27"/>
        <v>Chronic</v>
      </c>
      <c r="Q895">
        <v>1</v>
      </c>
      <c r="R895">
        <v>0</v>
      </c>
      <c r="S895" t="s">
        <v>9</v>
      </c>
    </row>
    <row r="896" spans="1:19" x14ac:dyDescent="0.3">
      <c r="A896">
        <v>500895</v>
      </c>
      <c r="B896">
        <v>39500</v>
      </c>
      <c r="C896" t="s">
        <v>4</v>
      </c>
      <c r="D896" t="s">
        <v>28</v>
      </c>
      <c r="E896" s="1">
        <v>46080</v>
      </c>
      <c r="F896" t="s">
        <v>522</v>
      </c>
      <c r="G896" s="1">
        <v>46080</v>
      </c>
      <c r="H896" s="1" t="str">
        <f t="shared" si="26"/>
        <v>Friday</v>
      </c>
      <c r="I896">
        <v>65</v>
      </c>
      <c r="J896" t="s">
        <v>10</v>
      </c>
      <c r="K896">
        <v>1</v>
      </c>
      <c r="L896">
        <v>1</v>
      </c>
      <c r="M896">
        <v>0</v>
      </c>
      <c r="N896">
        <v>0</v>
      </c>
      <c r="O896">
        <v>0</v>
      </c>
      <c r="P896" t="str">
        <f t="shared" si="27"/>
        <v>Chronic</v>
      </c>
      <c r="Q896">
        <v>1</v>
      </c>
      <c r="R896">
        <v>0</v>
      </c>
      <c r="S896" t="s">
        <v>9</v>
      </c>
    </row>
    <row r="897" spans="1:19" x14ac:dyDescent="0.3">
      <c r="A897">
        <v>500896</v>
      </c>
      <c r="B897">
        <v>72052</v>
      </c>
      <c r="C897" t="s">
        <v>8</v>
      </c>
      <c r="D897" t="s">
        <v>3</v>
      </c>
      <c r="E897" s="1">
        <v>46059</v>
      </c>
      <c r="F897" t="s">
        <v>65</v>
      </c>
      <c r="G897" s="1">
        <v>46061</v>
      </c>
      <c r="H897" s="1" t="str">
        <f t="shared" si="26"/>
        <v>Sunday</v>
      </c>
      <c r="I897">
        <v>50</v>
      </c>
      <c r="J897" t="s">
        <v>23</v>
      </c>
      <c r="K897">
        <v>0</v>
      </c>
      <c r="L897">
        <v>0</v>
      </c>
      <c r="M897">
        <v>0</v>
      </c>
      <c r="N897">
        <v>0</v>
      </c>
      <c r="O897">
        <v>0</v>
      </c>
      <c r="P897" t="str">
        <f t="shared" si="27"/>
        <v>Non Chronic</v>
      </c>
      <c r="Q897">
        <v>0</v>
      </c>
      <c r="R897">
        <v>0</v>
      </c>
      <c r="S897" t="s">
        <v>0</v>
      </c>
    </row>
    <row r="898" spans="1:19" x14ac:dyDescent="0.3">
      <c r="A898">
        <v>500897</v>
      </c>
      <c r="B898">
        <v>27157</v>
      </c>
      <c r="C898" t="s">
        <v>8</v>
      </c>
      <c r="D898" t="s">
        <v>36</v>
      </c>
      <c r="E898" s="1">
        <v>46026</v>
      </c>
      <c r="F898" t="s">
        <v>521</v>
      </c>
      <c r="G898" s="1">
        <v>46033</v>
      </c>
      <c r="H898" s="1" t="str">
        <f t="shared" si="26"/>
        <v>Sunday</v>
      </c>
      <c r="I898">
        <v>34</v>
      </c>
      <c r="J898" t="s">
        <v>5</v>
      </c>
      <c r="K898">
        <v>1</v>
      </c>
      <c r="L898">
        <v>0</v>
      </c>
      <c r="M898">
        <v>0</v>
      </c>
      <c r="N898">
        <v>0</v>
      </c>
      <c r="O898">
        <v>0</v>
      </c>
      <c r="P898" t="str">
        <f t="shared" si="27"/>
        <v>Non Chronic</v>
      </c>
      <c r="Q898">
        <v>1</v>
      </c>
      <c r="R898">
        <v>0</v>
      </c>
      <c r="S898" t="s">
        <v>22</v>
      </c>
    </row>
    <row r="899" spans="1:19" x14ac:dyDescent="0.3">
      <c r="A899">
        <v>500898</v>
      </c>
      <c r="B899">
        <v>28982</v>
      </c>
      <c r="C899" t="s">
        <v>4</v>
      </c>
      <c r="D899" t="s">
        <v>14</v>
      </c>
      <c r="E899" s="1">
        <v>46083</v>
      </c>
      <c r="F899" t="s">
        <v>520</v>
      </c>
      <c r="G899" s="1">
        <v>46098</v>
      </c>
      <c r="H899" s="1" t="str">
        <f t="shared" ref="H899:H962" si="28">TEXT(G899,"dddd")</f>
        <v>Tuesday</v>
      </c>
      <c r="I899">
        <v>40</v>
      </c>
      <c r="J899" t="s">
        <v>45</v>
      </c>
      <c r="K899">
        <v>0</v>
      </c>
      <c r="L899">
        <v>0</v>
      </c>
      <c r="M899">
        <v>0</v>
      </c>
      <c r="N899">
        <v>0</v>
      </c>
      <c r="O899">
        <v>0</v>
      </c>
      <c r="P899" t="str">
        <f t="shared" ref="P899:P962" si="29">IF(OR(L899=1,M899=1),"Chronic","Non Chronic")</f>
        <v>Non Chronic</v>
      </c>
      <c r="Q899">
        <v>1</v>
      </c>
      <c r="R899">
        <v>0</v>
      </c>
      <c r="S899" t="s">
        <v>22</v>
      </c>
    </row>
    <row r="900" spans="1:19" x14ac:dyDescent="0.3">
      <c r="A900">
        <v>500899</v>
      </c>
      <c r="B900">
        <v>29346</v>
      </c>
      <c r="C900" t="s">
        <v>8</v>
      </c>
      <c r="D900" t="s">
        <v>3</v>
      </c>
      <c r="E900" s="1">
        <v>45996</v>
      </c>
      <c r="F900" t="s">
        <v>6</v>
      </c>
      <c r="G900" s="1">
        <v>46026</v>
      </c>
      <c r="H900" s="1" t="str">
        <f t="shared" si="28"/>
        <v>Sunday</v>
      </c>
      <c r="I900">
        <v>62</v>
      </c>
      <c r="J900" t="s">
        <v>31</v>
      </c>
      <c r="K900">
        <v>0</v>
      </c>
      <c r="L900">
        <v>1</v>
      </c>
      <c r="M900">
        <v>0</v>
      </c>
      <c r="N900">
        <v>0</v>
      </c>
      <c r="O900">
        <v>1</v>
      </c>
      <c r="P900" t="str">
        <f t="shared" si="29"/>
        <v>Chronic</v>
      </c>
      <c r="Q900">
        <v>1</v>
      </c>
      <c r="R900">
        <v>0</v>
      </c>
      <c r="S900" t="s">
        <v>9</v>
      </c>
    </row>
    <row r="901" spans="1:19" x14ac:dyDescent="0.3">
      <c r="A901">
        <v>500900</v>
      </c>
      <c r="B901">
        <v>29473</v>
      </c>
      <c r="C901" t="s">
        <v>8</v>
      </c>
      <c r="D901" t="s">
        <v>14</v>
      </c>
      <c r="E901" s="1">
        <v>46058</v>
      </c>
      <c r="F901" t="s">
        <v>519</v>
      </c>
      <c r="G901" s="1">
        <v>46063</v>
      </c>
      <c r="H901" s="1" t="str">
        <f t="shared" si="28"/>
        <v>Tuesday</v>
      </c>
      <c r="I901">
        <v>21</v>
      </c>
      <c r="J901" t="s">
        <v>17</v>
      </c>
      <c r="K901">
        <v>0</v>
      </c>
      <c r="L901">
        <v>0</v>
      </c>
      <c r="M901">
        <v>0</v>
      </c>
      <c r="N901">
        <v>0</v>
      </c>
      <c r="O901">
        <v>0</v>
      </c>
      <c r="P901" t="str">
        <f t="shared" si="29"/>
        <v>Non Chronic</v>
      </c>
      <c r="Q901">
        <v>1</v>
      </c>
      <c r="R901">
        <v>0</v>
      </c>
      <c r="S901" t="s">
        <v>22</v>
      </c>
    </row>
    <row r="902" spans="1:19" x14ac:dyDescent="0.3">
      <c r="A902">
        <v>500901</v>
      </c>
      <c r="B902">
        <v>95563</v>
      </c>
      <c r="C902" t="s">
        <v>8</v>
      </c>
      <c r="D902" t="s">
        <v>58</v>
      </c>
      <c r="E902" s="1">
        <v>46059</v>
      </c>
      <c r="F902" t="s">
        <v>518</v>
      </c>
      <c r="G902" s="1">
        <v>46062</v>
      </c>
      <c r="H902" s="1" t="str">
        <f t="shared" si="28"/>
        <v>Monday</v>
      </c>
      <c r="I902">
        <v>45</v>
      </c>
      <c r="J902" t="s">
        <v>10</v>
      </c>
      <c r="K902">
        <v>1</v>
      </c>
      <c r="L902">
        <v>0</v>
      </c>
      <c r="M902">
        <v>0</v>
      </c>
      <c r="N902">
        <v>0</v>
      </c>
      <c r="O902">
        <v>0</v>
      </c>
      <c r="P902" t="str">
        <f t="shared" si="29"/>
        <v>Non Chronic</v>
      </c>
      <c r="Q902">
        <v>1</v>
      </c>
      <c r="R902">
        <v>1</v>
      </c>
      <c r="S902" t="s">
        <v>0</v>
      </c>
    </row>
    <row r="903" spans="1:19" x14ac:dyDescent="0.3">
      <c r="A903">
        <v>500902</v>
      </c>
      <c r="B903">
        <v>74122</v>
      </c>
      <c r="C903" t="s">
        <v>4</v>
      </c>
      <c r="D903" t="s">
        <v>36</v>
      </c>
      <c r="E903" s="1">
        <v>46127</v>
      </c>
      <c r="F903" t="s">
        <v>6</v>
      </c>
      <c r="G903" s="1">
        <v>46137</v>
      </c>
      <c r="H903" s="1" t="str">
        <f t="shared" si="28"/>
        <v>Saturday</v>
      </c>
      <c r="I903">
        <v>30</v>
      </c>
      <c r="J903" t="s">
        <v>1</v>
      </c>
      <c r="K903">
        <v>1</v>
      </c>
      <c r="L903">
        <v>0</v>
      </c>
      <c r="M903">
        <v>0</v>
      </c>
      <c r="N903">
        <v>0</v>
      </c>
      <c r="O903">
        <v>0</v>
      </c>
      <c r="P903" t="str">
        <f t="shared" si="29"/>
        <v>Non Chronic</v>
      </c>
      <c r="Q903">
        <v>0</v>
      </c>
      <c r="R903">
        <v>1</v>
      </c>
      <c r="S903" t="s">
        <v>22</v>
      </c>
    </row>
    <row r="904" spans="1:19" x14ac:dyDescent="0.3">
      <c r="A904">
        <v>500903</v>
      </c>
      <c r="B904">
        <v>73463</v>
      </c>
      <c r="C904" t="s">
        <v>8</v>
      </c>
      <c r="D904" t="s">
        <v>25</v>
      </c>
      <c r="E904" s="1">
        <v>46099</v>
      </c>
      <c r="F904" t="s">
        <v>446</v>
      </c>
      <c r="G904" s="1">
        <v>46099</v>
      </c>
      <c r="H904" s="1" t="str">
        <f t="shared" si="28"/>
        <v>Wednesday</v>
      </c>
      <c r="I904">
        <v>38</v>
      </c>
      <c r="J904" t="s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 t="str">
        <f t="shared" si="29"/>
        <v>Non Chronic</v>
      </c>
      <c r="Q904">
        <v>0</v>
      </c>
      <c r="R904">
        <v>0</v>
      </c>
      <c r="S904" t="s">
        <v>22</v>
      </c>
    </row>
    <row r="905" spans="1:19" x14ac:dyDescent="0.3">
      <c r="A905">
        <v>500904</v>
      </c>
      <c r="B905">
        <v>34233</v>
      </c>
      <c r="C905" t="s">
        <v>8</v>
      </c>
      <c r="D905" t="s">
        <v>36</v>
      </c>
      <c r="E905" s="1">
        <v>46140</v>
      </c>
      <c r="F905" t="s">
        <v>517</v>
      </c>
      <c r="G905" s="1">
        <v>46147</v>
      </c>
      <c r="H905" s="1" t="str">
        <f t="shared" si="28"/>
        <v>Tuesday</v>
      </c>
      <c r="I905">
        <v>63</v>
      </c>
      <c r="J905" t="s">
        <v>23</v>
      </c>
      <c r="K905">
        <v>1</v>
      </c>
      <c r="L905">
        <v>1</v>
      </c>
      <c r="M905">
        <v>0</v>
      </c>
      <c r="N905">
        <v>0</v>
      </c>
      <c r="O905">
        <v>0</v>
      </c>
      <c r="P905" t="str">
        <f t="shared" si="29"/>
        <v>Chronic</v>
      </c>
      <c r="Q905">
        <v>0</v>
      </c>
      <c r="R905">
        <v>1</v>
      </c>
      <c r="S905" t="s">
        <v>9</v>
      </c>
    </row>
    <row r="906" spans="1:19" x14ac:dyDescent="0.3">
      <c r="A906">
        <v>500905</v>
      </c>
      <c r="B906">
        <v>96321</v>
      </c>
      <c r="C906" t="s">
        <v>4</v>
      </c>
      <c r="D906" t="s">
        <v>28</v>
      </c>
      <c r="E906" s="1">
        <v>46026</v>
      </c>
      <c r="F906" t="s">
        <v>516</v>
      </c>
      <c r="G906" s="1">
        <v>46028</v>
      </c>
      <c r="H906" s="1" t="str">
        <f t="shared" si="28"/>
        <v>Tuesday</v>
      </c>
      <c r="I906">
        <v>41</v>
      </c>
      <c r="J906" t="s">
        <v>1</v>
      </c>
      <c r="K906">
        <v>0</v>
      </c>
      <c r="L906">
        <v>0</v>
      </c>
      <c r="M906">
        <v>1</v>
      </c>
      <c r="N906">
        <v>0</v>
      </c>
      <c r="O906">
        <v>0</v>
      </c>
      <c r="P906" t="str">
        <f t="shared" si="29"/>
        <v>Chronic</v>
      </c>
      <c r="Q906">
        <v>1</v>
      </c>
      <c r="R906">
        <v>0</v>
      </c>
      <c r="S906" t="s">
        <v>0</v>
      </c>
    </row>
    <row r="907" spans="1:19" x14ac:dyDescent="0.3">
      <c r="A907">
        <v>500906</v>
      </c>
      <c r="B907">
        <v>95542</v>
      </c>
      <c r="C907" t="s">
        <v>4</v>
      </c>
      <c r="D907" t="s">
        <v>58</v>
      </c>
      <c r="E907" s="1">
        <v>45994</v>
      </c>
      <c r="F907" t="s">
        <v>515</v>
      </c>
      <c r="G907" s="1">
        <v>45994</v>
      </c>
      <c r="H907" s="1" t="str">
        <f t="shared" si="28"/>
        <v>Wednesday</v>
      </c>
      <c r="I907">
        <v>38</v>
      </c>
      <c r="J907" t="s">
        <v>12</v>
      </c>
      <c r="K907">
        <v>1</v>
      </c>
      <c r="L907">
        <v>0</v>
      </c>
      <c r="M907">
        <v>0</v>
      </c>
      <c r="N907">
        <v>0</v>
      </c>
      <c r="O907">
        <v>0</v>
      </c>
      <c r="P907" t="str">
        <f t="shared" si="29"/>
        <v>Non Chronic</v>
      </c>
      <c r="Q907">
        <v>0</v>
      </c>
      <c r="R907">
        <v>0</v>
      </c>
      <c r="S907" t="s">
        <v>22</v>
      </c>
    </row>
    <row r="908" spans="1:19" x14ac:dyDescent="0.3">
      <c r="A908">
        <v>500907</v>
      </c>
      <c r="B908">
        <v>57652</v>
      </c>
      <c r="C908" t="s">
        <v>4</v>
      </c>
      <c r="D908" t="s">
        <v>3</v>
      </c>
      <c r="E908" s="1">
        <v>46063</v>
      </c>
      <c r="F908" t="s">
        <v>514</v>
      </c>
      <c r="G908" s="1">
        <v>46065</v>
      </c>
      <c r="H908" s="1" t="str">
        <f t="shared" si="28"/>
        <v>Thursday</v>
      </c>
      <c r="I908">
        <v>10</v>
      </c>
      <c r="J908" t="s">
        <v>17</v>
      </c>
      <c r="K908">
        <v>0</v>
      </c>
      <c r="L908">
        <v>0</v>
      </c>
      <c r="M908">
        <v>0</v>
      </c>
      <c r="N908">
        <v>0</v>
      </c>
      <c r="O908">
        <v>0</v>
      </c>
      <c r="P908" t="str">
        <f t="shared" si="29"/>
        <v>Non Chronic</v>
      </c>
      <c r="Q908">
        <v>1</v>
      </c>
      <c r="R908">
        <v>0</v>
      </c>
      <c r="S908" t="s">
        <v>30</v>
      </c>
    </row>
    <row r="909" spans="1:19" x14ac:dyDescent="0.3">
      <c r="A909">
        <v>500908</v>
      </c>
      <c r="B909">
        <v>48456</v>
      </c>
      <c r="C909" t="s">
        <v>8</v>
      </c>
      <c r="D909" t="s">
        <v>28</v>
      </c>
      <c r="E909" s="1">
        <v>46040</v>
      </c>
      <c r="F909" t="s">
        <v>513</v>
      </c>
      <c r="G909" s="1">
        <v>46043</v>
      </c>
      <c r="H909" s="1" t="str">
        <f t="shared" si="28"/>
        <v>Wednesday</v>
      </c>
      <c r="I909">
        <v>52</v>
      </c>
      <c r="J909" t="s">
        <v>1</v>
      </c>
      <c r="K909">
        <v>1</v>
      </c>
      <c r="L909">
        <v>0</v>
      </c>
      <c r="M909">
        <v>0</v>
      </c>
      <c r="N909">
        <v>0</v>
      </c>
      <c r="O909">
        <v>0</v>
      </c>
      <c r="P909" t="str">
        <f t="shared" si="29"/>
        <v>Non Chronic</v>
      </c>
      <c r="Q909">
        <v>1</v>
      </c>
      <c r="R909">
        <v>1</v>
      </c>
      <c r="S909" t="s">
        <v>0</v>
      </c>
    </row>
    <row r="910" spans="1:19" x14ac:dyDescent="0.3">
      <c r="A910">
        <v>500909</v>
      </c>
      <c r="B910">
        <v>22977</v>
      </c>
      <c r="C910" t="s">
        <v>4</v>
      </c>
      <c r="D910" t="s">
        <v>14</v>
      </c>
      <c r="E910" s="1">
        <v>45986</v>
      </c>
      <c r="F910" t="s">
        <v>512</v>
      </c>
      <c r="G910" s="1">
        <v>45987</v>
      </c>
      <c r="H910" s="1" t="str">
        <f t="shared" si="28"/>
        <v>Wednesday</v>
      </c>
      <c r="I910">
        <v>50</v>
      </c>
      <c r="J910" t="s">
        <v>17</v>
      </c>
      <c r="K910">
        <v>0</v>
      </c>
      <c r="L910">
        <v>1</v>
      </c>
      <c r="M910">
        <v>0</v>
      </c>
      <c r="N910">
        <v>0</v>
      </c>
      <c r="O910">
        <v>0</v>
      </c>
      <c r="P910" t="str">
        <f t="shared" si="29"/>
        <v>Chronic</v>
      </c>
      <c r="Q910">
        <v>1</v>
      </c>
      <c r="R910">
        <v>0</v>
      </c>
      <c r="S910" t="s">
        <v>0</v>
      </c>
    </row>
    <row r="911" spans="1:19" x14ac:dyDescent="0.3">
      <c r="A911">
        <v>500910</v>
      </c>
      <c r="B911">
        <v>46358</v>
      </c>
      <c r="C911" t="s">
        <v>4</v>
      </c>
      <c r="D911" t="s">
        <v>3</v>
      </c>
      <c r="E911" s="1">
        <v>46104</v>
      </c>
      <c r="F911" t="s">
        <v>136</v>
      </c>
      <c r="G911" s="1">
        <v>46124</v>
      </c>
      <c r="H911" s="1" t="str">
        <f t="shared" si="28"/>
        <v>Sunday</v>
      </c>
      <c r="I911">
        <v>81</v>
      </c>
      <c r="J911" t="s">
        <v>15</v>
      </c>
      <c r="K911">
        <v>1</v>
      </c>
      <c r="L911">
        <v>1</v>
      </c>
      <c r="M911">
        <v>0</v>
      </c>
      <c r="N911">
        <v>0</v>
      </c>
      <c r="O911">
        <v>0</v>
      </c>
      <c r="P911" t="str">
        <f t="shared" si="29"/>
        <v>Chronic</v>
      </c>
      <c r="Q911">
        <v>1</v>
      </c>
      <c r="R911">
        <v>0</v>
      </c>
      <c r="S911" t="s">
        <v>9</v>
      </c>
    </row>
    <row r="912" spans="1:19" x14ac:dyDescent="0.3">
      <c r="A912">
        <v>500911</v>
      </c>
      <c r="B912">
        <v>28775</v>
      </c>
      <c r="C912" t="s">
        <v>4</v>
      </c>
      <c r="D912" t="s">
        <v>58</v>
      </c>
      <c r="E912" s="1">
        <v>46143</v>
      </c>
      <c r="F912" t="s">
        <v>467</v>
      </c>
      <c r="G912" s="1">
        <v>46150</v>
      </c>
      <c r="H912" s="1" t="str">
        <f t="shared" si="28"/>
        <v>Friday</v>
      </c>
      <c r="I912">
        <v>31</v>
      </c>
      <c r="J912" t="s">
        <v>5</v>
      </c>
      <c r="K912">
        <v>0</v>
      </c>
      <c r="L912">
        <v>0</v>
      </c>
      <c r="M912">
        <v>0</v>
      </c>
      <c r="N912">
        <v>0</v>
      </c>
      <c r="O912">
        <v>0</v>
      </c>
      <c r="P912" t="str">
        <f t="shared" si="29"/>
        <v>Non Chronic</v>
      </c>
      <c r="Q912">
        <v>1</v>
      </c>
      <c r="R912">
        <v>0</v>
      </c>
      <c r="S912" t="s">
        <v>22</v>
      </c>
    </row>
    <row r="913" spans="1:19" x14ac:dyDescent="0.3">
      <c r="A913">
        <v>500912</v>
      </c>
      <c r="B913">
        <v>31501</v>
      </c>
      <c r="C913" t="s">
        <v>8</v>
      </c>
      <c r="D913" t="s">
        <v>28</v>
      </c>
      <c r="E913" s="1">
        <v>46071</v>
      </c>
      <c r="F913" t="s">
        <v>511</v>
      </c>
      <c r="G913" s="1">
        <v>46073</v>
      </c>
      <c r="H913" s="1" t="str">
        <f t="shared" si="28"/>
        <v>Friday</v>
      </c>
      <c r="I913">
        <v>42</v>
      </c>
      <c r="J913" t="s">
        <v>20</v>
      </c>
      <c r="K913">
        <v>1</v>
      </c>
      <c r="L913">
        <v>0</v>
      </c>
      <c r="M913">
        <v>0</v>
      </c>
      <c r="N913">
        <v>0</v>
      </c>
      <c r="O913">
        <v>0</v>
      </c>
      <c r="P913" t="str">
        <f t="shared" si="29"/>
        <v>Non Chronic</v>
      </c>
      <c r="Q913">
        <v>1</v>
      </c>
      <c r="R913">
        <v>0</v>
      </c>
      <c r="S913" t="s">
        <v>0</v>
      </c>
    </row>
    <row r="914" spans="1:19" x14ac:dyDescent="0.3">
      <c r="A914">
        <v>500913</v>
      </c>
      <c r="B914">
        <v>99650</v>
      </c>
      <c r="C914" t="s">
        <v>8</v>
      </c>
      <c r="D914" t="s">
        <v>58</v>
      </c>
      <c r="E914" s="1">
        <v>46151</v>
      </c>
      <c r="F914" t="s">
        <v>510</v>
      </c>
      <c r="G914" s="1">
        <v>46153</v>
      </c>
      <c r="H914" s="1" t="str">
        <f t="shared" si="28"/>
        <v>Monday</v>
      </c>
      <c r="I914">
        <v>42</v>
      </c>
      <c r="J914" t="s">
        <v>20</v>
      </c>
      <c r="K914">
        <v>0</v>
      </c>
      <c r="L914">
        <v>0</v>
      </c>
      <c r="M914">
        <v>0</v>
      </c>
      <c r="N914">
        <v>0</v>
      </c>
      <c r="O914">
        <v>0</v>
      </c>
      <c r="P914" t="str">
        <f t="shared" si="29"/>
        <v>Non Chronic</v>
      </c>
      <c r="Q914">
        <v>0</v>
      </c>
      <c r="R914">
        <v>1</v>
      </c>
      <c r="S914" t="s">
        <v>0</v>
      </c>
    </row>
    <row r="915" spans="1:19" x14ac:dyDescent="0.3">
      <c r="A915">
        <v>500914</v>
      </c>
      <c r="B915">
        <v>11292</v>
      </c>
      <c r="C915" t="s">
        <v>4</v>
      </c>
      <c r="D915" t="s">
        <v>3</v>
      </c>
      <c r="E915" s="1">
        <v>46047</v>
      </c>
      <c r="F915" t="s">
        <v>509</v>
      </c>
      <c r="G915" s="1">
        <v>46067</v>
      </c>
      <c r="H915" s="1" t="str">
        <f t="shared" si="28"/>
        <v>Saturday</v>
      </c>
      <c r="I915">
        <v>69</v>
      </c>
      <c r="J915" t="s">
        <v>45</v>
      </c>
      <c r="K915">
        <v>1</v>
      </c>
      <c r="L915">
        <v>0</v>
      </c>
      <c r="M915">
        <v>0</v>
      </c>
      <c r="N915">
        <v>0</v>
      </c>
      <c r="O915">
        <v>0</v>
      </c>
      <c r="P915" t="str">
        <f t="shared" si="29"/>
        <v>Non Chronic</v>
      </c>
      <c r="Q915">
        <v>1</v>
      </c>
      <c r="R915">
        <v>0</v>
      </c>
      <c r="S915" t="s">
        <v>9</v>
      </c>
    </row>
    <row r="916" spans="1:19" x14ac:dyDescent="0.3">
      <c r="A916">
        <v>500915</v>
      </c>
      <c r="B916">
        <v>22522</v>
      </c>
      <c r="C916" t="s">
        <v>8</v>
      </c>
      <c r="D916" t="s">
        <v>25</v>
      </c>
      <c r="E916" s="1">
        <v>46060</v>
      </c>
      <c r="F916" t="s">
        <v>268</v>
      </c>
      <c r="G916" s="1">
        <v>46080</v>
      </c>
      <c r="H916" s="1" t="str">
        <f t="shared" si="28"/>
        <v>Friday</v>
      </c>
      <c r="I916">
        <v>36</v>
      </c>
      <c r="J916" t="s">
        <v>12</v>
      </c>
      <c r="K916">
        <v>1</v>
      </c>
      <c r="L916">
        <v>0</v>
      </c>
      <c r="M916">
        <v>0</v>
      </c>
      <c r="N916">
        <v>0</v>
      </c>
      <c r="O916">
        <v>0</v>
      </c>
      <c r="P916" t="str">
        <f t="shared" si="29"/>
        <v>Non Chronic</v>
      </c>
      <c r="Q916">
        <v>1</v>
      </c>
      <c r="R916">
        <v>0</v>
      </c>
      <c r="S916" t="s">
        <v>22</v>
      </c>
    </row>
    <row r="917" spans="1:19" x14ac:dyDescent="0.3">
      <c r="A917">
        <v>500916</v>
      </c>
      <c r="B917">
        <v>61060</v>
      </c>
      <c r="C917" t="s">
        <v>4</v>
      </c>
      <c r="D917" t="s">
        <v>19</v>
      </c>
      <c r="E917" s="1">
        <v>46155</v>
      </c>
      <c r="F917" t="s">
        <v>99</v>
      </c>
      <c r="G917" s="1">
        <v>46155</v>
      </c>
      <c r="H917" s="1" t="str">
        <f t="shared" si="28"/>
        <v>Wednesday</v>
      </c>
      <c r="I917">
        <v>43</v>
      </c>
      <c r="J917" t="s">
        <v>12</v>
      </c>
      <c r="K917">
        <v>1</v>
      </c>
      <c r="L917">
        <v>0</v>
      </c>
      <c r="M917">
        <v>0</v>
      </c>
      <c r="N917">
        <v>0</v>
      </c>
      <c r="O917">
        <v>0</v>
      </c>
      <c r="P917" t="str">
        <f t="shared" si="29"/>
        <v>Non Chronic</v>
      </c>
      <c r="Q917">
        <v>1</v>
      </c>
      <c r="R917">
        <v>1</v>
      </c>
      <c r="S917" t="s">
        <v>0</v>
      </c>
    </row>
    <row r="918" spans="1:19" x14ac:dyDescent="0.3">
      <c r="A918">
        <v>500917</v>
      </c>
      <c r="B918">
        <v>26563</v>
      </c>
      <c r="C918" t="s">
        <v>4</v>
      </c>
      <c r="D918" t="s">
        <v>3</v>
      </c>
      <c r="E918" s="1">
        <v>46037</v>
      </c>
      <c r="F918" t="s">
        <v>508</v>
      </c>
      <c r="G918" s="1">
        <v>46047</v>
      </c>
      <c r="H918" s="1" t="str">
        <f t="shared" si="28"/>
        <v>Sunday</v>
      </c>
      <c r="I918">
        <v>50</v>
      </c>
      <c r="J918" t="s">
        <v>1</v>
      </c>
      <c r="K918">
        <v>1</v>
      </c>
      <c r="L918">
        <v>1</v>
      </c>
      <c r="M918">
        <v>0</v>
      </c>
      <c r="N918">
        <v>0</v>
      </c>
      <c r="O918">
        <v>0</v>
      </c>
      <c r="P918" t="str">
        <f t="shared" si="29"/>
        <v>Chronic</v>
      </c>
      <c r="Q918">
        <v>1</v>
      </c>
      <c r="R918">
        <v>0</v>
      </c>
      <c r="S918" t="s">
        <v>0</v>
      </c>
    </row>
    <row r="919" spans="1:19" x14ac:dyDescent="0.3">
      <c r="A919">
        <v>500918</v>
      </c>
      <c r="B919">
        <v>70003</v>
      </c>
      <c r="C919" t="s">
        <v>4</v>
      </c>
      <c r="D919" t="s">
        <v>7</v>
      </c>
      <c r="E919" s="1">
        <v>46037</v>
      </c>
      <c r="F919" t="s">
        <v>507</v>
      </c>
      <c r="G919" s="1">
        <v>46040</v>
      </c>
      <c r="H919" s="1" t="str">
        <f t="shared" si="28"/>
        <v>Sunday</v>
      </c>
      <c r="I919">
        <v>41</v>
      </c>
      <c r="J919" t="s">
        <v>20</v>
      </c>
      <c r="K919">
        <v>1</v>
      </c>
      <c r="L919">
        <v>0</v>
      </c>
      <c r="M919">
        <v>0</v>
      </c>
      <c r="N919">
        <v>0</v>
      </c>
      <c r="O919">
        <v>0</v>
      </c>
      <c r="P919" t="str">
        <f t="shared" si="29"/>
        <v>Non Chronic</v>
      </c>
      <c r="Q919">
        <v>0</v>
      </c>
      <c r="R919">
        <v>0</v>
      </c>
      <c r="S919" t="s">
        <v>0</v>
      </c>
    </row>
    <row r="920" spans="1:19" x14ac:dyDescent="0.3">
      <c r="A920">
        <v>500919</v>
      </c>
      <c r="B920">
        <v>39984</v>
      </c>
      <c r="C920" t="s">
        <v>8</v>
      </c>
      <c r="D920" t="s">
        <v>58</v>
      </c>
      <c r="E920" s="1">
        <v>46061</v>
      </c>
      <c r="F920" t="s">
        <v>506</v>
      </c>
      <c r="G920" s="1">
        <v>46076</v>
      </c>
      <c r="H920" s="1" t="str">
        <f t="shared" si="28"/>
        <v>Monday</v>
      </c>
      <c r="I920">
        <v>29</v>
      </c>
      <c r="J920" t="s">
        <v>5</v>
      </c>
      <c r="K920">
        <v>1</v>
      </c>
      <c r="L920">
        <v>0</v>
      </c>
      <c r="M920">
        <v>0</v>
      </c>
      <c r="N920">
        <v>0</v>
      </c>
      <c r="O920">
        <v>0</v>
      </c>
      <c r="P920" t="str">
        <f t="shared" si="29"/>
        <v>Non Chronic</v>
      </c>
      <c r="Q920">
        <v>1</v>
      </c>
      <c r="R920">
        <v>1</v>
      </c>
      <c r="S920" t="s">
        <v>22</v>
      </c>
    </row>
    <row r="921" spans="1:19" x14ac:dyDescent="0.3">
      <c r="A921">
        <v>500920</v>
      </c>
      <c r="B921">
        <v>41462</v>
      </c>
      <c r="C921" t="s">
        <v>4</v>
      </c>
      <c r="D921" t="s">
        <v>28</v>
      </c>
      <c r="E921" s="1">
        <v>45988</v>
      </c>
      <c r="F921" t="s">
        <v>505</v>
      </c>
      <c r="G921" s="1">
        <v>46008</v>
      </c>
      <c r="H921" s="1" t="str">
        <f t="shared" si="28"/>
        <v>Wednesday</v>
      </c>
      <c r="I921">
        <v>41</v>
      </c>
      <c r="J921" t="s">
        <v>1</v>
      </c>
      <c r="K921">
        <v>0</v>
      </c>
      <c r="L921">
        <v>0</v>
      </c>
      <c r="M921">
        <v>1</v>
      </c>
      <c r="N921">
        <v>0</v>
      </c>
      <c r="O921">
        <v>0</v>
      </c>
      <c r="P921" t="str">
        <f t="shared" si="29"/>
        <v>Chronic</v>
      </c>
      <c r="Q921">
        <v>0</v>
      </c>
      <c r="R921">
        <v>1</v>
      </c>
      <c r="S921" t="s">
        <v>0</v>
      </c>
    </row>
    <row r="922" spans="1:19" x14ac:dyDescent="0.3">
      <c r="A922">
        <v>500921</v>
      </c>
      <c r="B922">
        <v>65572</v>
      </c>
      <c r="C922" t="s">
        <v>4</v>
      </c>
      <c r="D922" t="s">
        <v>7</v>
      </c>
      <c r="E922" s="1">
        <v>46040</v>
      </c>
      <c r="F922" t="s">
        <v>504</v>
      </c>
      <c r="G922" s="1">
        <v>46050</v>
      </c>
      <c r="H922" s="1" t="str">
        <f t="shared" si="28"/>
        <v>Wednesday</v>
      </c>
      <c r="I922">
        <v>59</v>
      </c>
      <c r="J922" t="s">
        <v>10</v>
      </c>
      <c r="K922">
        <v>0</v>
      </c>
      <c r="L922">
        <v>0</v>
      </c>
      <c r="M922">
        <v>0</v>
      </c>
      <c r="N922">
        <v>0</v>
      </c>
      <c r="O922">
        <v>0</v>
      </c>
      <c r="P922" t="str">
        <f t="shared" si="29"/>
        <v>Non Chronic</v>
      </c>
      <c r="Q922">
        <v>1</v>
      </c>
      <c r="R922">
        <v>0</v>
      </c>
      <c r="S922" t="s">
        <v>0</v>
      </c>
    </row>
    <row r="923" spans="1:19" x14ac:dyDescent="0.3">
      <c r="A923">
        <v>500922</v>
      </c>
      <c r="B923">
        <v>42011</v>
      </c>
      <c r="C923" t="s">
        <v>4</v>
      </c>
      <c r="D923" t="s">
        <v>7</v>
      </c>
      <c r="E923" s="1">
        <v>46018</v>
      </c>
      <c r="F923" t="s">
        <v>503</v>
      </c>
      <c r="G923" s="1">
        <v>46028</v>
      </c>
      <c r="H923" s="1" t="str">
        <f t="shared" si="28"/>
        <v>Tuesday</v>
      </c>
      <c r="I923">
        <v>17</v>
      </c>
      <c r="J923" t="s">
        <v>31</v>
      </c>
      <c r="K923">
        <v>0</v>
      </c>
      <c r="L923">
        <v>0</v>
      </c>
      <c r="M923">
        <v>0</v>
      </c>
      <c r="N923">
        <v>0</v>
      </c>
      <c r="O923">
        <v>0</v>
      </c>
      <c r="P923" t="str">
        <f t="shared" si="29"/>
        <v>Non Chronic</v>
      </c>
      <c r="Q923">
        <v>0</v>
      </c>
      <c r="R923">
        <v>0</v>
      </c>
      <c r="S923" t="s">
        <v>30</v>
      </c>
    </row>
    <row r="924" spans="1:19" x14ac:dyDescent="0.3">
      <c r="A924">
        <v>500923</v>
      </c>
      <c r="B924">
        <v>39500</v>
      </c>
      <c r="C924" t="s">
        <v>4</v>
      </c>
      <c r="D924" t="s">
        <v>58</v>
      </c>
      <c r="E924" s="1">
        <v>46104</v>
      </c>
      <c r="F924" t="s">
        <v>502</v>
      </c>
      <c r="G924" s="1">
        <v>46134</v>
      </c>
      <c r="H924" s="1" t="str">
        <f t="shared" si="28"/>
        <v>Wednesday</v>
      </c>
      <c r="I924">
        <v>40</v>
      </c>
      <c r="J924" t="s">
        <v>20</v>
      </c>
      <c r="K924">
        <v>0</v>
      </c>
      <c r="L924">
        <v>0</v>
      </c>
      <c r="M924">
        <v>0</v>
      </c>
      <c r="N924">
        <v>0</v>
      </c>
      <c r="O924">
        <v>0</v>
      </c>
      <c r="P924" t="str">
        <f t="shared" si="29"/>
        <v>Non Chronic</v>
      </c>
      <c r="Q924">
        <v>1</v>
      </c>
      <c r="R924">
        <v>0</v>
      </c>
      <c r="S924" t="s">
        <v>22</v>
      </c>
    </row>
    <row r="925" spans="1:19" x14ac:dyDescent="0.3">
      <c r="A925">
        <v>500924</v>
      </c>
      <c r="B925">
        <v>58927</v>
      </c>
      <c r="C925" t="s">
        <v>4</v>
      </c>
      <c r="D925" t="s">
        <v>19</v>
      </c>
      <c r="E925" s="1">
        <v>46092</v>
      </c>
      <c r="F925" t="s">
        <v>501</v>
      </c>
      <c r="G925" s="1">
        <v>46097</v>
      </c>
      <c r="H925" s="1" t="str">
        <f t="shared" si="28"/>
        <v>Monday</v>
      </c>
      <c r="I925">
        <v>23</v>
      </c>
      <c r="J925" t="s">
        <v>45</v>
      </c>
      <c r="K925">
        <v>0</v>
      </c>
      <c r="L925">
        <v>0</v>
      </c>
      <c r="M925">
        <v>0</v>
      </c>
      <c r="N925">
        <v>0</v>
      </c>
      <c r="O925">
        <v>0</v>
      </c>
      <c r="P925" t="str">
        <f t="shared" si="29"/>
        <v>Non Chronic</v>
      </c>
      <c r="Q925">
        <v>1</v>
      </c>
      <c r="R925">
        <v>1</v>
      </c>
      <c r="S925" t="s">
        <v>22</v>
      </c>
    </row>
    <row r="926" spans="1:19" x14ac:dyDescent="0.3">
      <c r="A926">
        <v>500925</v>
      </c>
      <c r="B926">
        <v>92729</v>
      </c>
      <c r="C926" t="s">
        <v>8</v>
      </c>
      <c r="D926" t="s">
        <v>14</v>
      </c>
      <c r="E926" s="1">
        <v>46053</v>
      </c>
      <c r="F926" t="s">
        <v>500</v>
      </c>
      <c r="G926" s="1">
        <v>46053</v>
      </c>
      <c r="H926" s="1" t="str">
        <f t="shared" si="28"/>
        <v>Saturday</v>
      </c>
      <c r="I926">
        <v>61</v>
      </c>
      <c r="J926" t="s">
        <v>5</v>
      </c>
      <c r="K926">
        <v>0</v>
      </c>
      <c r="L926">
        <v>0</v>
      </c>
      <c r="M926">
        <v>0</v>
      </c>
      <c r="N926">
        <v>0</v>
      </c>
      <c r="O926">
        <v>1</v>
      </c>
      <c r="P926" t="str">
        <f t="shared" si="29"/>
        <v>Non Chronic</v>
      </c>
      <c r="Q926">
        <v>1</v>
      </c>
      <c r="R926">
        <v>0</v>
      </c>
      <c r="S926" t="s">
        <v>9</v>
      </c>
    </row>
    <row r="927" spans="1:19" x14ac:dyDescent="0.3">
      <c r="A927">
        <v>500926</v>
      </c>
      <c r="B927">
        <v>24046</v>
      </c>
      <c r="C927" t="s">
        <v>4</v>
      </c>
      <c r="D927" t="s">
        <v>19</v>
      </c>
      <c r="E927" s="1">
        <v>46134</v>
      </c>
      <c r="F927" t="s">
        <v>499</v>
      </c>
      <c r="G927" s="1">
        <v>46137</v>
      </c>
      <c r="H927" s="1" t="str">
        <f t="shared" si="28"/>
        <v>Saturday</v>
      </c>
      <c r="I927">
        <v>7</v>
      </c>
      <c r="J927" t="s">
        <v>31</v>
      </c>
      <c r="K927">
        <v>0</v>
      </c>
      <c r="L927">
        <v>0</v>
      </c>
      <c r="M927">
        <v>0</v>
      </c>
      <c r="N927">
        <v>0</v>
      </c>
      <c r="O927">
        <v>0</v>
      </c>
      <c r="P927" t="str">
        <f t="shared" si="29"/>
        <v>Non Chronic</v>
      </c>
      <c r="Q927">
        <v>1</v>
      </c>
      <c r="R927">
        <v>0</v>
      </c>
      <c r="S927" t="s">
        <v>30</v>
      </c>
    </row>
    <row r="928" spans="1:19" x14ac:dyDescent="0.3">
      <c r="A928">
        <v>500927</v>
      </c>
      <c r="B928">
        <v>35892</v>
      </c>
      <c r="C928" t="s">
        <v>4</v>
      </c>
      <c r="D928" t="s">
        <v>28</v>
      </c>
      <c r="E928" s="1">
        <v>46044</v>
      </c>
      <c r="F928" t="s">
        <v>498</v>
      </c>
      <c r="G928" s="1">
        <v>46044</v>
      </c>
      <c r="H928" s="1" t="str">
        <f t="shared" si="28"/>
        <v>Thursday</v>
      </c>
      <c r="I928">
        <v>26</v>
      </c>
      <c r="J928" t="s">
        <v>23</v>
      </c>
      <c r="K928">
        <v>0</v>
      </c>
      <c r="L928">
        <v>0</v>
      </c>
      <c r="M928">
        <v>0</v>
      </c>
      <c r="N928">
        <v>0</v>
      </c>
      <c r="O928">
        <v>0</v>
      </c>
      <c r="P928" t="str">
        <f t="shared" si="29"/>
        <v>Non Chronic</v>
      </c>
      <c r="Q928">
        <v>0</v>
      </c>
      <c r="R928">
        <v>1</v>
      </c>
      <c r="S928" t="s">
        <v>22</v>
      </c>
    </row>
    <row r="929" spans="1:19" x14ac:dyDescent="0.3">
      <c r="A929">
        <v>500928</v>
      </c>
      <c r="B929">
        <v>71695</v>
      </c>
      <c r="C929" t="s">
        <v>8</v>
      </c>
      <c r="D929" t="s">
        <v>19</v>
      </c>
      <c r="E929" s="1">
        <v>46102</v>
      </c>
      <c r="F929" t="s">
        <v>497</v>
      </c>
      <c r="G929" s="1">
        <v>46117</v>
      </c>
      <c r="H929" s="1" t="str">
        <f t="shared" si="28"/>
        <v>Sunday</v>
      </c>
      <c r="I929">
        <v>45</v>
      </c>
      <c r="J929" t="s">
        <v>5</v>
      </c>
      <c r="K929">
        <v>1</v>
      </c>
      <c r="L929">
        <v>0</v>
      </c>
      <c r="M929">
        <v>0</v>
      </c>
      <c r="N929">
        <v>0</v>
      </c>
      <c r="O929">
        <v>0</v>
      </c>
      <c r="P929" t="str">
        <f t="shared" si="29"/>
        <v>Non Chronic</v>
      </c>
      <c r="Q929">
        <v>1</v>
      </c>
      <c r="R929">
        <v>0</v>
      </c>
      <c r="S929" t="s">
        <v>0</v>
      </c>
    </row>
    <row r="930" spans="1:19" x14ac:dyDescent="0.3">
      <c r="A930">
        <v>500929</v>
      </c>
      <c r="B930">
        <v>67587</v>
      </c>
      <c r="C930" t="s">
        <v>4</v>
      </c>
      <c r="D930" t="s">
        <v>28</v>
      </c>
      <c r="E930" s="1">
        <v>46158</v>
      </c>
      <c r="F930" t="s">
        <v>496</v>
      </c>
      <c r="G930" s="1">
        <v>46160</v>
      </c>
      <c r="H930" s="1" t="str">
        <f t="shared" si="28"/>
        <v>Monday</v>
      </c>
      <c r="I930">
        <v>69</v>
      </c>
      <c r="J930" t="s">
        <v>20</v>
      </c>
      <c r="K930">
        <v>1</v>
      </c>
      <c r="L930">
        <v>1</v>
      </c>
      <c r="M930">
        <v>0</v>
      </c>
      <c r="N930">
        <v>0</v>
      </c>
      <c r="O930">
        <v>0</v>
      </c>
      <c r="P930" t="str">
        <f t="shared" si="29"/>
        <v>Chronic</v>
      </c>
      <c r="Q930">
        <v>1</v>
      </c>
      <c r="R930">
        <v>0</v>
      </c>
      <c r="S930" t="s">
        <v>9</v>
      </c>
    </row>
    <row r="931" spans="1:19" x14ac:dyDescent="0.3">
      <c r="A931">
        <v>500930</v>
      </c>
      <c r="B931">
        <v>53412</v>
      </c>
      <c r="C931" t="s">
        <v>4</v>
      </c>
      <c r="D931" t="s">
        <v>28</v>
      </c>
      <c r="E931" s="1">
        <v>46120</v>
      </c>
      <c r="F931" t="s">
        <v>495</v>
      </c>
      <c r="G931" s="1">
        <v>46150</v>
      </c>
      <c r="H931" s="1" t="str">
        <f t="shared" si="28"/>
        <v>Friday</v>
      </c>
      <c r="I931">
        <v>36</v>
      </c>
      <c r="J931" t="s">
        <v>45</v>
      </c>
      <c r="K931">
        <v>1</v>
      </c>
      <c r="L931">
        <v>0</v>
      </c>
      <c r="M931">
        <v>0</v>
      </c>
      <c r="N931">
        <v>0</v>
      </c>
      <c r="O931">
        <v>0</v>
      </c>
      <c r="P931" t="str">
        <f t="shared" si="29"/>
        <v>Non Chronic</v>
      </c>
      <c r="Q931">
        <v>1</v>
      </c>
      <c r="R931">
        <v>0</v>
      </c>
      <c r="S931" t="s">
        <v>22</v>
      </c>
    </row>
    <row r="932" spans="1:19" x14ac:dyDescent="0.3">
      <c r="A932">
        <v>500931</v>
      </c>
      <c r="B932">
        <v>74955</v>
      </c>
      <c r="C932" t="s">
        <v>4</v>
      </c>
      <c r="D932" t="s">
        <v>19</v>
      </c>
      <c r="E932" s="1">
        <v>46093</v>
      </c>
      <c r="F932" t="s">
        <v>494</v>
      </c>
      <c r="G932" s="1">
        <v>46123</v>
      </c>
      <c r="H932" s="1" t="str">
        <f t="shared" si="28"/>
        <v>Saturday</v>
      </c>
      <c r="I932">
        <v>26</v>
      </c>
      <c r="J932" t="s">
        <v>23</v>
      </c>
      <c r="K932">
        <v>1</v>
      </c>
      <c r="L932">
        <v>0</v>
      </c>
      <c r="M932">
        <v>0</v>
      </c>
      <c r="N932">
        <v>0</v>
      </c>
      <c r="O932">
        <v>0</v>
      </c>
      <c r="P932" t="str">
        <f t="shared" si="29"/>
        <v>Non Chronic</v>
      </c>
      <c r="Q932">
        <v>0</v>
      </c>
      <c r="R932">
        <v>1</v>
      </c>
      <c r="S932" t="s">
        <v>22</v>
      </c>
    </row>
    <row r="933" spans="1:19" x14ac:dyDescent="0.3">
      <c r="A933">
        <v>500932</v>
      </c>
      <c r="B933">
        <v>55104</v>
      </c>
      <c r="C933" t="s">
        <v>4</v>
      </c>
      <c r="D933" t="s">
        <v>14</v>
      </c>
      <c r="E933" s="1">
        <v>46056</v>
      </c>
      <c r="F933" t="s">
        <v>493</v>
      </c>
      <c r="G933" s="1">
        <v>46058</v>
      </c>
      <c r="H933" s="1" t="str">
        <f t="shared" si="28"/>
        <v>Thursday</v>
      </c>
      <c r="I933">
        <v>75</v>
      </c>
      <c r="J933" t="s">
        <v>17</v>
      </c>
      <c r="K933">
        <v>1</v>
      </c>
      <c r="L933">
        <v>0</v>
      </c>
      <c r="M933">
        <v>0</v>
      </c>
      <c r="N933">
        <v>1</v>
      </c>
      <c r="O933">
        <v>0</v>
      </c>
      <c r="P933" t="str">
        <f t="shared" si="29"/>
        <v>Non Chronic</v>
      </c>
      <c r="Q933">
        <v>1</v>
      </c>
      <c r="R933">
        <v>0</v>
      </c>
      <c r="S933" t="s">
        <v>9</v>
      </c>
    </row>
    <row r="934" spans="1:19" x14ac:dyDescent="0.3">
      <c r="A934">
        <v>500933</v>
      </c>
      <c r="B934">
        <v>90951</v>
      </c>
      <c r="C934" t="s">
        <v>4</v>
      </c>
      <c r="D934" t="s">
        <v>28</v>
      </c>
      <c r="E934" s="1">
        <v>46081</v>
      </c>
      <c r="F934" t="s">
        <v>166</v>
      </c>
      <c r="G934" s="1">
        <v>46083</v>
      </c>
      <c r="H934" s="1" t="str">
        <f t="shared" si="28"/>
        <v>Monday</v>
      </c>
      <c r="I934">
        <v>9</v>
      </c>
      <c r="J934" t="s">
        <v>45</v>
      </c>
      <c r="K934">
        <v>0</v>
      </c>
      <c r="L934">
        <v>0</v>
      </c>
      <c r="M934">
        <v>0</v>
      </c>
      <c r="N934">
        <v>0</v>
      </c>
      <c r="O934">
        <v>0</v>
      </c>
      <c r="P934" t="str">
        <f t="shared" si="29"/>
        <v>Non Chronic</v>
      </c>
      <c r="Q934">
        <v>1</v>
      </c>
      <c r="R934">
        <v>1</v>
      </c>
      <c r="S934" t="s">
        <v>30</v>
      </c>
    </row>
    <row r="935" spans="1:19" x14ac:dyDescent="0.3">
      <c r="A935">
        <v>500934</v>
      </c>
      <c r="B935">
        <v>42421</v>
      </c>
      <c r="C935" t="s">
        <v>8</v>
      </c>
      <c r="D935" t="s">
        <v>14</v>
      </c>
      <c r="E935" s="1">
        <v>46115</v>
      </c>
      <c r="F935" t="s">
        <v>492</v>
      </c>
      <c r="G935" s="1">
        <v>46125</v>
      </c>
      <c r="H935" s="1" t="str">
        <f t="shared" si="28"/>
        <v>Monday</v>
      </c>
      <c r="I935">
        <v>0</v>
      </c>
      <c r="J935" t="s">
        <v>10</v>
      </c>
      <c r="K935">
        <v>0</v>
      </c>
      <c r="L935">
        <v>0</v>
      </c>
      <c r="M935">
        <v>0</v>
      </c>
      <c r="N935">
        <v>0</v>
      </c>
      <c r="O935">
        <v>0</v>
      </c>
      <c r="P935" t="str">
        <f t="shared" si="29"/>
        <v>Non Chronic</v>
      </c>
      <c r="Q935">
        <v>0</v>
      </c>
      <c r="R935">
        <v>0</v>
      </c>
      <c r="S935" t="s">
        <v>30</v>
      </c>
    </row>
    <row r="936" spans="1:19" x14ac:dyDescent="0.3">
      <c r="A936">
        <v>500935</v>
      </c>
      <c r="B936">
        <v>75841</v>
      </c>
      <c r="C936" t="s">
        <v>4</v>
      </c>
      <c r="D936" t="s">
        <v>14</v>
      </c>
      <c r="E936" s="1">
        <v>45992</v>
      </c>
      <c r="F936" t="s">
        <v>491</v>
      </c>
      <c r="G936" s="1">
        <v>46022</v>
      </c>
      <c r="H936" s="1" t="str">
        <f t="shared" si="28"/>
        <v>Wednesday</v>
      </c>
      <c r="I936">
        <v>46</v>
      </c>
      <c r="J936" t="s">
        <v>1</v>
      </c>
      <c r="K936">
        <v>0</v>
      </c>
      <c r="L936">
        <v>1</v>
      </c>
      <c r="M936">
        <v>1</v>
      </c>
      <c r="N936">
        <v>1</v>
      </c>
      <c r="O936">
        <v>0</v>
      </c>
      <c r="P936" t="str">
        <f t="shared" si="29"/>
        <v>Chronic</v>
      </c>
      <c r="Q936">
        <v>0</v>
      </c>
      <c r="R936">
        <v>0</v>
      </c>
      <c r="S936" t="s">
        <v>0</v>
      </c>
    </row>
    <row r="937" spans="1:19" x14ac:dyDescent="0.3">
      <c r="A937">
        <v>500936</v>
      </c>
      <c r="B937">
        <v>90801</v>
      </c>
      <c r="C937" t="s">
        <v>4</v>
      </c>
      <c r="D937" t="s">
        <v>58</v>
      </c>
      <c r="E937" s="1">
        <v>46102</v>
      </c>
      <c r="F937" t="s">
        <v>490</v>
      </c>
      <c r="G937" s="1">
        <v>46104</v>
      </c>
      <c r="H937" s="1" t="str">
        <f t="shared" si="28"/>
        <v>Monday</v>
      </c>
      <c r="I937">
        <v>27</v>
      </c>
      <c r="J937" t="s">
        <v>17</v>
      </c>
      <c r="K937">
        <v>1</v>
      </c>
      <c r="L937">
        <v>0</v>
      </c>
      <c r="M937">
        <v>0</v>
      </c>
      <c r="N937">
        <v>0</v>
      </c>
      <c r="O937">
        <v>0</v>
      </c>
      <c r="P937" t="str">
        <f t="shared" si="29"/>
        <v>Non Chronic</v>
      </c>
      <c r="Q937">
        <v>1</v>
      </c>
      <c r="R937">
        <v>0</v>
      </c>
      <c r="S937" t="s">
        <v>22</v>
      </c>
    </row>
    <row r="938" spans="1:19" x14ac:dyDescent="0.3">
      <c r="A938">
        <v>500937</v>
      </c>
      <c r="B938">
        <v>54063</v>
      </c>
      <c r="C938" t="s">
        <v>8</v>
      </c>
      <c r="D938" t="s">
        <v>7</v>
      </c>
      <c r="E938" s="1">
        <v>46076</v>
      </c>
      <c r="F938" t="s">
        <v>489</v>
      </c>
      <c r="G938" s="1">
        <v>46081</v>
      </c>
      <c r="H938" s="1" t="str">
        <f t="shared" si="28"/>
        <v>Saturday</v>
      </c>
      <c r="I938">
        <v>17</v>
      </c>
      <c r="J938" t="s">
        <v>17</v>
      </c>
      <c r="K938">
        <v>0</v>
      </c>
      <c r="L938">
        <v>0</v>
      </c>
      <c r="M938">
        <v>0</v>
      </c>
      <c r="N938">
        <v>0</v>
      </c>
      <c r="O938">
        <v>0</v>
      </c>
      <c r="P938" t="str">
        <f t="shared" si="29"/>
        <v>Non Chronic</v>
      </c>
      <c r="Q938">
        <v>1</v>
      </c>
      <c r="R938">
        <v>0</v>
      </c>
      <c r="S938" t="s">
        <v>30</v>
      </c>
    </row>
    <row r="939" spans="1:19" x14ac:dyDescent="0.3">
      <c r="A939">
        <v>500938</v>
      </c>
      <c r="B939">
        <v>45290</v>
      </c>
      <c r="C939" t="s">
        <v>8</v>
      </c>
      <c r="D939" t="s">
        <v>25</v>
      </c>
      <c r="E939" s="1">
        <v>45995</v>
      </c>
      <c r="F939" t="s">
        <v>360</v>
      </c>
      <c r="G939" s="1">
        <v>45995</v>
      </c>
      <c r="H939" s="1" t="str">
        <f t="shared" si="28"/>
        <v>Thursday</v>
      </c>
      <c r="I939">
        <v>52</v>
      </c>
      <c r="J939" t="s">
        <v>20</v>
      </c>
      <c r="K939">
        <v>1</v>
      </c>
      <c r="L939">
        <v>1</v>
      </c>
      <c r="M939">
        <v>0</v>
      </c>
      <c r="N939">
        <v>0</v>
      </c>
      <c r="O939">
        <v>0</v>
      </c>
      <c r="P939" t="str">
        <f t="shared" si="29"/>
        <v>Chronic</v>
      </c>
      <c r="Q939">
        <v>1</v>
      </c>
      <c r="R939">
        <v>0</v>
      </c>
      <c r="S939" t="s">
        <v>0</v>
      </c>
    </row>
    <row r="940" spans="1:19" x14ac:dyDescent="0.3">
      <c r="A940">
        <v>500939</v>
      </c>
      <c r="B940">
        <v>47397</v>
      </c>
      <c r="C940" t="s">
        <v>8</v>
      </c>
      <c r="D940" t="s">
        <v>25</v>
      </c>
      <c r="E940" s="1">
        <v>46092</v>
      </c>
      <c r="F940" t="s">
        <v>140</v>
      </c>
      <c r="G940" s="1">
        <v>46097</v>
      </c>
      <c r="H940" s="1" t="str">
        <f t="shared" si="28"/>
        <v>Monday</v>
      </c>
      <c r="I940">
        <v>42</v>
      </c>
      <c r="J940" t="s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 t="str">
        <f t="shared" si="29"/>
        <v>Non Chronic</v>
      </c>
      <c r="Q940">
        <v>1</v>
      </c>
      <c r="R940">
        <v>1</v>
      </c>
      <c r="S940" t="s">
        <v>0</v>
      </c>
    </row>
    <row r="941" spans="1:19" x14ac:dyDescent="0.3">
      <c r="A941">
        <v>500940</v>
      </c>
      <c r="B941">
        <v>97680</v>
      </c>
      <c r="C941" t="s">
        <v>4</v>
      </c>
      <c r="D941" t="s">
        <v>28</v>
      </c>
      <c r="E941" s="1">
        <v>46127</v>
      </c>
      <c r="F941" t="s">
        <v>488</v>
      </c>
      <c r="G941" s="1">
        <v>46130</v>
      </c>
      <c r="H941" s="1" t="str">
        <f t="shared" si="28"/>
        <v>Saturday</v>
      </c>
      <c r="I941">
        <v>26</v>
      </c>
      <c r="J941" t="s">
        <v>20</v>
      </c>
      <c r="K941">
        <v>1</v>
      </c>
      <c r="L941">
        <v>0</v>
      </c>
      <c r="M941">
        <v>0</v>
      </c>
      <c r="N941">
        <v>0</v>
      </c>
      <c r="O941">
        <v>0</v>
      </c>
      <c r="P941" t="str">
        <f t="shared" si="29"/>
        <v>Non Chronic</v>
      </c>
      <c r="Q941">
        <v>0</v>
      </c>
      <c r="R941">
        <v>0</v>
      </c>
      <c r="S941" t="s">
        <v>22</v>
      </c>
    </row>
    <row r="942" spans="1:19" x14ac:dyDescent="0.3">
      <c r="A942">
        <v>500941</v>
      </c>
      <c r="B942">
        <v>58705</v>
      </c>
      <c r="C942" t="s">
        <v>4</v>
      </c>
      <c r="D942" t="s">
        <v>25</v>
      </c>
      <c r="E942" s="1">
        <v>46160</v>
      </c>
      <c r="F942" t="s">
        <v>487</v>
      </c>
      <c r="G942" s="1">
        <v>46167</v>
      </c>
      <c r="H942" s="1" t="str">
        <f t="shared" si="28"/>
        <v>Monday</v>
      </c>
      <c r="I942">
        <v>12</v>
      </c>
      <c r="J942" t="s">
        <v>45</v>
      </c>
      <c r="K942">
        <v>0</v>
      </c>
      <c r="L942">
        <v>0</v>
      </c>
      <c r="M942">
        <v>0</v>
      </c>
      <c r="N942">
        <v>0</v>
      </c>
      <c r="O942">
        <v>0</v>
      </c>
      <c r="P942" t="str">
        <f t="shared" si="29"/>
        <v>Non Chronic</v>
      </c>
      <c r="Q942">
        <v>1</v>
      </c>
      <c r="R942">
        <v>1</v>
      </c>
      <c r="S942" t="s">
        <v>30</v>
      </c>
    </row>
    <row r="943" spans="1:19" x14ac:dyDescent="0.3">
      <c r="A943">
        <v>500942</v>
      </c>
      <c r="B943">
        <v>92517</v>
      </c>
      <c r="C943" t="s">
        <v>4</v>
      </c>
      <c r="D943" t="s">
        <v>36</v>
      </c>
      <c r="E943" s="1">
        <v>46018</v>
      </c>
      <c r="F943" t="s">
        <v>138</v>
      </c>
      <c r="G943" s="1">
        <v>46038</v>
      </c>
      <c r="H943" s="1" t="str">
        <f t="shared" si="28"/>
        <v>Friday</v>
      </c>
      <c r="I943">
        <v>55</v>
      </c>
      <c r="J943" t="s">
        <v>1</v>
      </c>
      <c r="K943">
        <v>0</v>
      </c>
      <c r="L943">
        <v>1</v>
      </c>
      <c r="M943">
        <v>0</v>
      </c>
      <c r="N943">
        <v>0</v>
      </c>
      <c r="O943">
        <v>0</v>
      </c>
      <c r="P943" t="str">
        <f t="shared" si="29"/>
        <v>Chronic</v>
      </c>
      <c r="Q943">
        <v>1</v>
      </c>
      <c r="R943">
        <v>0</v>
      </c>
      <c r="S943" t="s">
        <v>0</v>
      </c>
    </row>
    <row r="944" spans="1:19" x14ac:dyDescent="0.3">
      <c r="A944">
        <v>500943</v>
      </c>
      <c r="B944">
        <v>72154</v>
      </c>
      <c r="C944" t="s">
        <v>4</v>
      </c>
      <c r="D944" t="s">
        <v>28</v>
      </c>
      <c r="E944" s="1">
        <v>46158</v>
      </c>
      <c r="F944" t="s">
        <v>486</v>
      </c>
      <c r="G944" s="1">
        <v>46178</v>
      </c>
      <c r="H944" s="1" t="str">
        <f t="shared" si="28"/>
        <v>Friday</v>
      </c>
      <c r="I944">
        <v>51</v>
      </c>
      <c r="J944" t="s">
        <v>17</v>
      </c>
      <c r="K944">
        <v>0</v>
      </c>
      <c r="L944">
        <v>1</v>
      </c>
      <c r="M944">
        <v>0</v>
      </c>
      <c r="N944">
        <v>0</v>
      </c>
      <c r="O944">
        <v>0</v>
      </c>
      <c r="P944" t="str">
        <f t="shared" si="29"/>
        <v>Chronic</v>
      </c>
      <c r="Q944">
        <v>0</v>
      </c>
      <c r="R944">
        <v>0</v>
      </c>
      <c r="S944" t="s">
        <v>0</v>
      </c>
    </row>
    <row r="945" spans="1:19" x14ac:dyDescent="0.3">
      <c r="A945">
        <v>500944</v>
      </c>
      <c r="B945">
        <v>55526</v>
      </c>
      <c r="C945" t="s">
        <v>8</v>
      </c>
      <c r="D945" t="s">
        <v>7</v>
      </c>
      <c r="E945" s="1">
        <v>46096</v>
      </c>
      <c r="F945" t="s">
        <v>139</v>
      </c>
      <c r="G945" s="1">
        <v>46099</v>
      </c>
      <c r="H945" s="1" t="str">
        <f t="shared" si="28"/>
        <v>Wednesday</v>
      </c>
      <c r="I945">
        <v>36</v>
      </c>
      <c r="J945" t="s">
        <v>15</v>
      </c>
      <c r="K945">
        <v>1</v>
      </c>
      <c r="L945">
        <v>0</v>
      </c>
      <c r="M945">
        <v>0</v>
      </c>
      <c r="N945">
        <v>1</v>
      </c>
      <c r="O945">
        <v>0</v>
      </c>
      <c r="P945" t="str">
        <f t="shared" si="29"/>
        <v>Non Chronic</v>
      </c>
      <c r="Q945">
        <v>0</v>
      </c>
      <c r="R945">
        <v>0</v>
      </c>
      <c r="S945" t="s">
        <v>22</v>
      </c>
    </row>
    <row r="946" spans="1:19" x14ac:dyDescent="0.3">
      <c r="A946">
        <v>500945</v>
      </c>
      <c r="B946">
        <v>12867</v>
      </c>
      <c r="C946" t="s">
        <v>4</v>
      </c>
      <c r="D946" t="s">
        <v>25</v>
      </c>
      <c r="E946" s="1">
        <v>45985</v>
      </c>
      <c r="F946" t="s">
        <v>245</v>
      </c>
      <c r="G946" s="1">
        <v>45995</v>
      </c>
      <c r="H946" s="1" t="str">
        <f t="shared" si="28"/>
        <v>Thursday</v>
      </c>
      <c r="I946">
        <v>74</v>
      </c>
      <c r="J946" t="s">
        <v>31</v>
      </c>
      <c r="K946">
        <v>1</v>
      </c>
      <c r="L946">
        <v>1</v>
      </c>
      <c r="M946">
        <v>0</v>
      </c>
      <c r="N946">
        <v>0</v>
      </c>
      <c r="O946">
        <v>0</v>
      </c>
      <c r="P946" t="str">
        <f t="shared" si="29"/>
        <v>Chronic</v>
      </c>
      <c r="Q946">
        <v>1</v>
      </c>
      <c r="R946">
        <v>0</v>
      </c>
      <c r="S946" t="s">
        <v>9</v>
      </c>
    </row>
    <row r="947" spans="1:19" x14ac:dyDescent="0.3">
      <c r="A947">
        <v>500946</v>
      </c>
      <c r="B947">
        <v>77303</v>
      </c>
      <c r="C947" t="s">
        <v>4</v>
      </c>
      <c r="D947" t="s">
        <v>28</v>
      </c>
      <c r="E947" s="1">
        <v>46053</v>
      </c>
      <c r="F947" t="s">
        <v>384</v>
      </c>
      <c r="G947" s="1">
        <v>46063</v>
      </c>
      <c r="H947" s="1" t="str">
        <f t="shared" si="28"/>
        <v>Tuesday</v>
      </c>
      <c r="I947">
        <v>16</v>
      </c>
      <c r="J947" t="s">
        <v>10</v>
      </c>
      <c r="K947">
        <v>0</v>
      </c>
      <c r="L947">
        <v>0</v>
      </c>
      <c r="M947">
        <v>0</v>
      </c>
      <c r="N947">
        <v>0</v>
      </c>
      <c r="O947">
        <v>0</v>
      </c>
      <c r="P947" t="str">
        <f t="shared" si="29"/>
        <v>Non Chronic</v>
      </c>
      <c r="Q947">
        <v>1</v>
      </c>
      <c r="R947">
        <v>0</v>
      </c>
      <c r="S947" t="s">
        <v>30</v>
      </c>
    </row>
    <row r="948" spans="1:19" x14ac:dyDescent="0.3">
      <c r="A948">
        <v>500947</v>
      </c>
      <c r="B948">
        <v>62540</v>
      </c>
      <c r="C948" t="s">
        <v>8</v>
      </c>
      <c r="D948" t="s">
        <v>14</v>
      </c>
      <c r="E948" s="1">
        <v>46158</v>
      </c>
      <c r="F948" t="s">
        <v>258</v>
      </c>
      <c r="G948" s="1">
        <v>46158</v>
      </c>
      <c r="H948" s="1" t="str">
        <f t="shared" si="28"/>
        <v>Saturday</v>
      </c>
      <c r="I948">
        <v>7</v>
      </c>
      <c r="J948" t="s">
        <v>31</v>
      </c>
      <c r="K948">
        <v>0</v>
      </c>
      <c r="L948">
        <v>0</v>
      </c>
      <c r="M948">
        <v>0</v>
      </c>
      <c r="N948">
        <v>0</v>
      </c>
      <c r="O948">
        <v>0</v>
      </c>
      <c r="P948" t="str">
        <f t="shared" si="29"/>
        <v>Non Chronic</v>
      </c>
      <c r="Q948">
        <v>1</v>
      </c>
      <c r="R948">
        <v>0</v>
      </c>
      <c r="S948" t="s">
        <v>30</v>
      </c>
    </row>
    <row r="949" spans="1:19" x14ac:dyDescent="0.3">
      <c r="A949">
        <v>500948</v>
      </c>
      <c r="B949">
        <v>11161</v>
      </c>
      <c r="C949" t="s">
        <v>8</v>
      </c>
      <c r="D949" t="s">
        <v>25</v>
      </c>
      <c r="E949" s="1">
        <v>45990</v>
      </c>
      <c r="F949" t="s">
        <v>369</v>
      </c>
      <c r="G949" s="1">
        <v>45992</v>
      </c>
      <c r="H949" s="1" t="str">
        <f t="shared" si="28"/>
        <v>Monday</v>
      </c>
      <c r="I949">
        <v>24</v>
      </c>
      <c r="J949" t="s">
        <v>5</v>
      </c>
      <c r="K949">
        <v>0</v>
      </c>
      <c r="L949">
        <v>0</v>
      </c>
      <c r="M949">
        <v>0</v>
      </c>
      <c r="N949">
        <v>0</v>
      </c>
      <c r="O949">
        <v>0</v>
      </c>
      <c r="P949" t="str">
        <f t="shared" si="29"/>
        <v>Non Chronic</v>
      </c>
      <c r="Q949">
        <v>1</v>
      </c>
      <c r="R949">
        <v>0</v>
      </c>
      <c r="S949" t="s">
        <v>22</v>
      </c>
    </row>
    <row r="950" spans="1:19" x14ac:dyDescent="0.3">
      <c r="A950">
        <v>500949</v>
      </c>
      <c r="B950">
        <v>79935</v>
      </c>
      <c r="C950" t="s">
        <v>4</v>
      </c>
      <c r="D950" t="s">
        <v>25</v>
      </c>
      <c r="E950" s="1">
        <v>46123</v>
      </c>
      <c r="F950" t="s">
        <v>391</v>
      </c>
      <c r="G950" s="1">
        <v>46125</v>
      </c>
      <c r="H950" s="1" t="str">
        <f t="shared" si="28"/>
        <v>Monday</v>
      </c>
      <c r="I950">
        <v>37</v>
      </c>
      <c r="J950" t="s">
        <v>17</v>
      </c>
      <c r="K950">
        <v>0</v>
      </c>
      <c r="L950">
        <v>0</v>
      </c>
      <c r="M950">
        <v>0</v>
      </c>
      <c r="N950">
        <v>0</v>
      </c>
      <c r="O950">
        <v>0</v>
      </c>
      <c r="P950" t="str">
        <f t="shared" si="29"/>
        <v>Non Chronic</v>
      </c>
      <c r="Q950">
        <v>1</v>
      </c>
      <c r="R950">
        <v>0</v>
      </c>
      <c r="S950" t="s">
        <v>22</v>
      </c>
    </row>
    <row r="951" spans="1:19" x14ac:dyDescent="0.3">
      <c r="A951">
        <v>500950</v>
      </c>
      <c r="B951">
        <v>16752</v>
      </c>
      <c r="C951" t="s">
        <v>4</v>
      </c>
      <c r="D951" t="s">
        <v>14</v>
      </c>
      <c r="E951" s="1">
        <v>46104</v>
      </c>
      <c r="F951" t="s">
        <v>455</v>
      </c>
      <c r="G951" s="1">
        <v>46111</v>
      </c>
      <c r="H951" s="1" t="str">
        <f t="shared" si="28"/>
        <v>Monday</v>
      </c>
      <c r="I951">
        <v>42</v>
      </c>
      <c r="J951" t="s">
        <v>12</v>
      </c>
      <c r="K951">
        <v>0</v>
      </c>
      <c r="L951">
        <v>0</v>
      </c>
      <c r="M951">
        <v>1</v>
      </c>
      <c r="N951">
        <v>0</v>
      </c>
      <c r="O951">
        <v>0</v>
      </c>
      <c r="P951" t="str">
        <f t="shared" si="29"/>
        <v>Chronic</v>
      </c>
      <c r="Q951">
        <v>1</v>
      </c>
      <c r="R951">
        <v>1</v>
      </c>
      <c r="S951" t="s">
        <v>0</v>
      </c>
    </row>
    <row r="952" spans="1:19" x14ac:dyDescent="0.3">
      <c r="A952">
        <v>500951</v>
      </c>
      <c r="B952">
        <v>81994</v>
      </c>
      <c r="C952" t="s">
        <v>8</v>
      </c>
      <c r="D952" t="s">
        <v>28</v>
      </c>
      <c r="E952" s="1">
        <v>46004</v>
      </c>
      <c r="F952" t="s">
        <v>388</v>
      </c>
      <c r="G952" s="1">
        <v>46004</v>
      </c>
      <c r="H952" s="1" t="str">
        <f t="shared" si="28"/>
        <v>Saturday</v>
      </c>
      <c r="I952">
        <v>33</v>
      </c>
      <c r="J952" t="s">
        <v>23</v>
      </c>
      <c r="K952">
        <v>1</v>
      </c>
      <c r="L952">
        <v>0</v>
      </c>
      <c r="M952">
        <v>0</v>
      </c>
      <c r="N952">
        <v>0</v>
      </c>
      <c r="O952">
        <v>0</v>
      </c>
      <c r="P952" t="str">
        <f t="shared" si="29"/>
        <v>Non Chronic</v>
      </c>
      <c r="Q952">
        <v>0</v>
      </c>
      <c r="R952">
        <v>0</v>
      </c>
      <c r="S952" t="s">
        <v>22</v>
      </c>
    </row>
    <row r="953" spans="1:19" x14ac:dyDescent="0.3">
      <c r="A953">
        <v>500952</v>
      </c>
      <c r="B953">
        <v>38741</v>
      </c>
      <c r="C953" t="s">
        <v>8</v>
      </c>
      <c r="D953" t="s">
        <v>28</v>
      </c>
      <c r="E953" s="1">
        <v>46008</v>
      </c>
      <c r="F953" t="s">
        <v>480</v>
      </c>
      <c r="G953" s="1">
        <v>46023</v>
      </c>
      <c r="H953" s="1" t="str">
        <f t="shared" si="28"/>
        <v>Thursday</v>
      </c>
      <c r="I953">
        <v>45</v>
      </c>
      <c r="J953" t="s">
        <v>5</v>
      </c>
      <c r="K953">
        <v>0</v>
      </c>
      <c r="L953">
        <v>0</v>
      </c>
      <c r="M953">
        <v>0</v>
      </c>
      <c r="N953">
        <v>0</v>
      </c>
      <c r="O953">
        <v>0</v>
      </c>
      <c r="P953" t="str">
        <f t="shared" si="29"/>
        <v>Non Chronic</v>
      </c>
      <c r="Q953">
        <v>0</v>
      </c>
      <c r="R953">
        <v>1</v>
      </c>
      <c r="S953" t="s">
        <v>0</v>
      </c>
    </row>
    <row r="954" spans="1:19" x14ac:dyDescent="0.3">
      <c r="A954">
        <v>500953</v>
      </c>
      <c r="B954">
        <v>60067</v>
      </c>
      <c r="C954" t="s">
        <v>8</v>
      </c>
      <c r="D954" t="s">
        <v>14</v>
      </c>
      <c r="E954" s="1">
        <v>46124</v>
      </c>
      <c r="F954" t="s">
        <v>485</v>
      </c>
      <c r="G954" s="1">
        <v>46126</v>
      </c>
      <c r="H954" s="1" t="str">
        <f t="shared" si="28"/>
        <v>Tuesday</v>
      </c>
      <c r="I954">
        <v>12</v>
      </c>
      <c r="J954" t="s">
        <v>10</v>
      </c>
      <c r="K954">
        <v>0</v>
      </c>
      <c r="L954">
        <v>0</v>
      </c>
      <c r="M954">
        <v>0</v>
      </c>
      <c r="N954">
        <v>0</v>
      </c>
      <c r="O954">
        <v>0</v>
      </c>
      <c r="P954" t="str">
        <f t="shared" si="29"/>
        <v>Non Chronic</v>
      </c>
      <c r="Q954">
        <v>1</v>
      </c>
      <c r="R954">
        <v>0</v>
      </c>
      <c r="S954" t="s">
        <v>30</v>
      </c>
    </row>
    <row r="955" spans="1:19" x14ac:dyDescent="0.3">
      <c r="A955">
        <v>500954</v>
      </c>
      <c r="B955">
        <v>61834</v>
      </c>
      <c r="C955" t="s">
        <v>4</v>
      </c>
      <c r="D955" t="s">
        <v>7</v>
      </c>
      <c r="E955" s="1">
        <v>45993</v>
      </c>
      <c r="F955" t="s">
        <v>484</v>
      </c>
      <c r="G955" s="1">
        <v>45994</v>
      </c>
      <c r="H955" s="1" t="str">
        <f t="shared" si="28"/>
        <v>Wednesday</v>
      </c>
      <c r="I955">
        <v>66</v>
      </c>
      <c r="J955" t="s">
        <v>45</v>
      </c>
      <c r="K955">
        <v>1</v>
      </c>
      <c r="L955">
        <v>0</v>
      </c>
      <c r="M955">
        <v>0</v>
      </c>
      <c r="N955">
        <v>0</v>
      </c>
      <c r="O955">
        <v>0</v>
      </c>
      <c r="P955" t="str">
        <f t="shared" si="29"/>
        <v>Non Chronic</v>
      </c>
      <c r="Q955">
        <v>0</v>
      </c>
      <c r="R955">
        <v>1</v>
      </c>
      <c r="S955" t="s">
        <v>9</v>
      </c>
    </row>
    <row r="956" spans="1:19" x14ac:dyDescent="0.3">
      <c r="A956">
        <v>500955</v>
      </c>
      <c r="B956">
        <v>74293</v>
      </c>
      <c r="C956" t="s">
        <v>4</v>
      </c>
      <c r="D956" t="s">
        <v>25</v>
      </c>
      <c r="E956" s="1">
        <v>46012</v>
      </c>
      <c r="F956" t="s">
        <v>483</v>
      </c>
      <c r="G956" s="1">
        <v>46013</v>
      </c>
      <c r="H956" s="1" t="str">
        <f t="shared" si="28"/>
        <v>Monday</v>
      </c>
      <c r="I956">
        <v>36</v>
      </c>
      <c r="J956" t="s">
        <v>17</v>
      </c>
      <c r="K956">
        <v>1</v>
      </c>
      <c r="L956">
        <v>0</v>
      </c>
      <c r="M956">
        <v>0</v>
      </c>
      <c r="N956">
        <v>0</v>
      </c>
      <c r="O956">
        <v>0</v>
      </c>
      <c r="P956" t="str">
        <f t="shared" si="29"/>
        <v>Non Chronic</v>
      </c>
      <c r="Q956">
        <v>1</v>
      </c>
      <c r="R956">
        <v>0</v>
      </c>
      <c r="S956" t="s">
        <v>22</v>
      </c>
    </row>
    <row r="957" spans="1:19" x14ac:dyDescent="0.3">
      <c r="A957">
        <v>500956</v>
      </c>
      <c r="B957">
        <v>19103</v>
      </c>
      <c r="C957" t="s">
        <v>4</v>
      </c>
      <c r="D957" t="s">
        <v>58</v>
      </c>
      <c r="E957" s="1">
        <v>46013</v>
      </c>
      <c r="F957" t="s">
        <v>482</v>
      </c>
      <c r="G957" s="1">
        <v>46014</v>
      </c>
      <c r="H957" s="1" t="str">
        <f t="shared" si="28"/>
        <v>Tuesday</v>
      </c>
      <c r="I957">
        <v>60</v>
      </c>
      <c r="J957" t="s">
        <v>23</v>
      </c>
      <c r="K957">
        <v>0</v>
      </c>
      <c r="L957">
        <v>0</v>
      </c>
      <c r="M957">
        <v>0</v>
      </c>
      <c r="N957">
        <v>0</v>
      </c>
      <c r="O957">
        <v>0</v>
      </c>
      <c r="P957" t="str">
        <f t="shared" si="29"/>
        <v>Non Chronic</v>
      </c>
      <c r="Q957">
        <v>0</v>
      </c>
      <c r="R957">
        <v>1</v>
      </c>
      <c r="S957" t="s">
        <v>0</v>
      </c>
    </row>
    <row r="958" spans="1:19" x14ac:dyDescent="0.3">
      <c r="A958">
        <v>500957</v>
      </c>
      <c r="B958">
        <v>23071</v>
      </c>
      <c r="C958" t="s">
        <v>8</v>
      </c>
      <c r="D958" t="s">
        <v>3</v>
      </c>
      <c r="E958" s="1">
        <v>46145</v>
      </c>
      <c r="F958" t="s">
        <v>481</v>
      </c>
      <c r="G958" s="1">
        <v>46152</v>
      </c>
      <c r="H958" s="1" t="str">
        <f t="shared" si="28"/>
        <v>Sunday</v>
      </c>
      <c r="I958">
        <v>44</v>
      </c>
      <c r="J958" t="s">
        <v>17</v>
      </c>
      <c r="K958">
        <v>0</v>
      </c>
      <c r="L958">
        <v>0</v>
      </c>
      <c r="M958">
        <v>0</v>
      </c>
      <c r="N958">
        <v>0</v>
      </c>
      <c r="O958">
        <v>0</v>
      </c>
      <c r="P958" t="str">
        <f t="shared" si="29"/>
        <v>Non Chronic</v>
      </c>
      <c r="Q958">
        <v>1</v>
      </c>
      <c r="R958">
        <v>0</v>
      </c>
      <c r="S958" t="s">
        <v>0</v>
      </c>
    </row>
    <row r="959" spans="1:19" x14ac:dyDescent="0.3">
      <c r="A959">
        <v>500958</v>
      </c>
      <c r="B959">
        <v>20957</v>
      </c>
      <c r="C959" t="s">
        <v>8</v>
      </c>
      <c r="D959" t="s">
        <v>28</v>
      </c>
      <c r="E959" s="1">
        <v>46072</v>
      </c>
      <c r="F959" t="s">
        <v>474</v>
      </c>
      <c r="G959" s="1">
        <v>46077</v>
      </c>
      <c r="H959" s="1" t="str">
        <f t="shared" si="28"/>
        <v>Tuesday</v>
      </c>
      <c r="I959">
        <v>47</v>
      </c>
      <c r="J959" t="s">
        <v>1</v>
      </c>
      <c r="K959">
        <v>0</v>
      </c>
      <c r="L959">
        <v>0</v>
      </c>
      <c r="M959">
        <v>1</v>
      </c>
      <c r="N959">
        <v>0</v>
      </c>
      <c r="O959">
        <v>0</v>
      </c>
      <c r="P959" t="str">
        <f t="shared" si="29"/>
        <v>Chronic</v>
      </c>
      <c r="Q959">
        <v>0</v>
      </c>
      <c r="R959">
        <v>0</v>
      </c>
      <c r="S959" t="s">
        <v>0</v>
      </c>
    </row>
    <row r="960" spans="1:19" x14ac:dyDescent="0.3">
      <c r="A960">
        <v>500959</v>
      </c>
      <c r="B960">
        <v>21136</v>
      </c>
      <c r="C960" t="s">
        <v>4</v>
      </c>
      <c r="D960" t="s">
        <v>28</v>
      </c>
      <c r="E960" s="1">
        <v>46057</v>
      </c>
      <c r="F960" t="s">
        <v>480</v>
      </c>
      <c r="G960" s="1">
        <v>46059</v>
      </c>
      <c r="H960" s="1" t="str">
        <f t="shared" si="28"/>
        <v>Friday</v>
      </c>
      <c r="I960">
        <v>49</v>
      </c>
      <c r="J960" t="s">
        <v>10</v>
      </c>
      <c r="K960">
        <v>1</v>
      </c>
      <c r="L960">
        <v>0</v>
      </c>
      <c r="M960">
        <v>0</v>
      </c>
      <c r="N960">
        <v>0</v>
      </c>
      <c r="O960">
        <v>0</v>
      </c>
      <c r="P960" t="str">
        <f t="shared" si="29"/>
        <v>Non Chronic</v>
      </c>
      <c r="Q960">
        <v>1</v>
      </c>
      <c r="R960">
        <v>1</v>
      </c>
      <c r="S960" t="s">
        <v>0</v>
      </c>
    </row>
    <row r="961" spans="1:19" x14ac:dyDescent="0.3">
      <c r="A961">
        <v>500960</v>
      </c>
      <c r="B961">
        <v>81252</v>
      </c>
      <c r="C961" t="s">
        <v>4</v>
      </c>
      <c r="D961" t="s">
        <v>36</v>
      </c>
      <c r="E961" s="1">
        <v>46077</v>
      </c>
      <c r="F961" t="s">
        <v>479</v>
      </c>
      <c r="G961" s="1">
        <v>46080</v>
      </c>
      <c r="H961" s="1" t="str">
        <f t="shared" si="28"/>
        <v>Friday</v>
      </c>
      <c r="I961">
        <v>46</v>
      </c>
      <c r="J961" t="s">
        <v>17</v>
      </c>
      <c r="K961">
        <v>0</v>
      </c>
      <c r="L961">
        <v>0</v>
      </c>
      <c r="M961">
        <v>1</v>
      </c>
      <c r="N961">
        <v>0</v>
      </c>
      <c r="O961">
        <v>0</v>
      </c>
      <c r="P961" t="str">
        <f t="shared" si="29"/>
        <v>Chronic</v>
      </c>
      <c r="Q961">
        <v>1</v>
      </c>
      <c r="R961">
        <v>0</v>
      </c>
      <c r="S961" t="s">
        <v>0</v>
      </c>
    </row>
    <row r="962" spans="1:19" x14ac:dyDescent="0.3">
      <c r="A962">
        <v>500961</v>
      </c>
      <c r="B962">
        <v>39710</v>
      </c>
      <c r="C962" t="s">
        <v>8</v>
      </c>
      <c r="D962" t="s">
        <v>3</v>
      </c>
      <c r="E962" s="1">
        <v>46155</v>
      </c>
      <c r="F962" t="s">
        <v>478</v>
      </c>
      <c r="G962" s="1">
        <v>46158</v>
      </c>
      <c r="H962" s="1" t="str">
        <f t="shared" si="28"/>
        <v>Saturday</v>
      </c>
      <c r="I962">
        <v>50</v>
      </c>
      <c r="J962" t="s">
        <v>31</v>
      </c>
      <c r="K962">
        <v>1</v>
      </c>
      <c r="L962">
        <v>0</v>
      </c>
      <c r="M962">
        <v>0</v>
      </c>
      <c r="N962">
        <v>0</v>
      </c>
      <c r="O962">
        <v>0</v>
      </c>
      <c r="P962" t="str">
        <f t="shared" si="29"/>
        <v>Non Chronic</v>
      </c>
      <c r="Q962">
        <v>0</v>
      </c>
      <c r="R962">
        <v>0</v>
      </c>
      <c r="S962" t="s">
        <v>0</v>
      </c>
    </row>
    <row r="963" spans="1:19" x14ac:dyDescent="0.3">
      <c r="A963">
        <v>500962</v>
      </c>
      <c r="B963">
        <v>24733</v>
      </c>
      <c r="C963" t="s">
        <v>8</v>
      </c>
      <c r="D963" t="s">
        <v>28</v>
      </c>
      <c r="E963" s="1">
        <v>46074</v>
      </c>
      <c r="F963" t="s">
        <v>477</v>
      </c>
      <c r="G963" s="1">
        <v>46075</v>
      </c>
      <c r="H963" s="1" t="str">
        <f t="shared" ref="H963:H1026" si="30">TEXT(G963,"dddd")</f>
        <v>Sunday</v>
      </c>
      <c r="I963">
        <v>64</v>
      </c>
      <c r="J963" t="s">
        <v>15</v>
      </c>
      <c r="K963">
        <v>0</v>
      </c>
      <c r="L963">
        <v>1</v>
      </c>
      <c r="M963">
        <v>0</v>
      </c>
      <c r="N963">
        <v>0</v>
      </c>
      <c r="O963">
        <v>0</v>
      </c>
      <c r="P963" t="str">
        <f t="shared" ref="P963:P1026" si="31">IF(OR(L963=1,M963=1),"Chronic","Non Chronic")</f>
        <v>Chronic</v>
      </c>
      <c r="Q963">
        <v>0</v>
      </c>
      <c r="R963">
        <v>0</v>
      </c>
      <c r="S963" t="s">
        <v>9</v>
      </c>
    </row>
    <row r="964" spans="1:19" x14ac:dyDescent="0.3">
      <c r="A964">
        <v>500963</v>
      </c>
      <c r="B964">
        <v>15681</v>
      </c>
      <c r="C964" t="s">
        <v>4</v>
      </c>
      <c r="D964" t="s">
        <v>28</v>
      </c>
      <c r="E964" s="1">
        <v>46071</v>
      </c>
      <c r="F964" t="s">
        <v>399</v>
      </c>
      <c r="G964" s="1">
        <v>46072</v>
      </c>
      <c r="H964" s="1" t="str">
        <f t="shared" si="30"/>
        <v>Thursday</v>
      </c>
      <c r="I964">
        <v>41</v>
      </c>
      <c r="J964" t="s">
        <v>23</v>
      </c>
      <c r="K964">
        <v>1</v>
      </c>
      <c r="L964">
        <v>0</v>
      </c>
      <c r="M964">
        <v>0</v>
      </c>
      <c r="N964">
        <v>0</v>
      </c>
      <c r="O964">
        <v>0</v>
      </c>
      <c r="P964" t="str">
        <f t="shared" si="31"/>
        <v>Non Chronic</v>
      </c>
      <c r="Q964">
        <v>1</v>
      </c>
      <c r="R964">
        <v>0</v>
      </c>
      <c r="S964" t="s">
        <v>0</v>
      </c>
    </row>
    <row r="965" spans="1:19" x14ac:dyDescent="0.3">
      <c r="A965">
        <v>500964</v>
      </c>
      <c r="B965">
        <v>47618</v>
      </c>
      <c r="C965" t="s">
        <v>8</v>
      </c>
      <c r="D965" t="s">
        <v>58</v>
      </c>
      <c r="E965" s="1">
        <v>46151</v>
      </c>
      <c r="F965" t="s">
        <v>476</v>
      </c>
      <c r="G965" s="1">
        <v>46161</v>
      </c>
      <c r="H965" s="1" t="str">
        <f t="shared" si="30"/>
        <v>Tuesday</v>
      </c>
      <c r="I965">
        <v>52</v>
      </c>
      <c r="J965" t="s">
        <v>5</v>
      </c>
      <c r="K965">
        <v>1</v>
      </c>
      <c r="L965">
        <v>0</v>
      </c>
      <c r="M965">
        <v>0</v>
      </c>
      <c r="N965">
        <v>0</v>
      </c>
      <c r="O965">
        <v>0</v>
      </c>
      <c r="P965" t="str">
        <f t="shared" si="31"/>
        <v>Non Chronic</v>
      </c>
      <c r="Q965">
        <v>1</v>
      </c>
      <c r="R965">
        <v>1</v>
      </c>
      <c r="S965" t="s">
        <v>0</v>
      </c>
    </row>
    <row r="966" spans="1:19" x14ac:dyDescent="0.3">
      <c r="A966">
        <v>500965</v>
      </c>
      <c r="B966">
        <v>29482</v>
      </c>
      <c r="C966" t="s">
        <v>4</v>
      </c>
      <c r="D966" t="s">
        <v>19</v>
      </c>
      <c r="E966" s="1">
        <v>46040</v>
      </c>
      <c r="F966" t="s">
        <v>475</v>
      </c>
      <c r="G966" s="1">
        <v>46055</v>
      </c>
      <c r="H966" s="1" t="str">
        <f t="shared" si="30"/>
        <v>Monday</v>
      </c>
      <c r="I966">
        <v>36</v>
      </c>
      <c r="J966" t="s">
        <v>31</v>
      </c>
      <c r="K966">
        <v>1</v>
      </c>
      <c r="L966">
        <v>0</v>
      </c>
      <c r="M966">
        <v>0</v>
      </c>
      <c r="N966">
        <v>0</v>
      </c>
      <c r="O966">
        <v>0</v>
      </c>
      <c r="P966" t="str">
        <f t="shared" si="31"/>
        <v>Non Chronic</v>
      </c>
      <c r="Q966">
        <v>0</v>
      </c>
      <c r="R966">
        <v>0</v>
      </c>
      <c r="S966" t="s">
        <v>22</v>
      </c>
    </row>
    <row r="967" spans="1:19" x14ac:dyDescent="0.3">
      <c r="A967">
        <v>500966</v>
      </c>
      <c r="B967">
        <v>24832</v>
      </c>
      <c r="C967" t="s">
        <v>8</v>
      </c>
      <c r="D967" t="s">
        <v>25</v>
      </c>
      <c r="E967" s="1">
        <v>46001</v>
      </c>
      <c r="F967" t="s">
        <v>171</v>
      </c>
      <c r="G967" s="1">
        <v>46006</v>
      </c>
      <c r="H967" s="1" t="str">
        <f t="shared" si="30"/>
        <v>Monday</v>
      </c>
      <c r="I967">
        <v>66</v>
      </c>
      <c r="J967" t="s">
        <v>31</v>
      </c>
      <c r="K967">
        <v>0</v>
      </c>
      <c r="L967">
        <v>1</v>
      </c>
      <c r="M967">
        <v>1</v>
      </c>
      <c r="N967">
        <v>0</v>
      </c>
      <c r="O967">
        <v>0</v>
      </c>
      <c r="P967" t="str">
        <f t="shared" si="31"/>
        <v>Chronic</v>
      </c>
      <c r="Q967">
        <v>1</v>
      </c>
      <c r="R967">
        <v>0</v>
      </c>
      <c r="S967" t="s">
        <v>9</v>
      </c>
    </row>
    <row r="968" spans="1:19" x14ac:dyDescent="0.3">
      <c r="A968">
        <v>500967</v>
      </c>
      <c r="B968">
        <v>88871</v>
      </c>
      <c r="C968" t="s">
        <v>8</v>
      </c>
      <c r="D968" t="s">
        <v>28</v>
      </c>
      <c r="E968" s="1">
        <v>46015</v>
      </c>
      <c r="F968" t="s">
        <v>474</v>
      </c>
      <c r="G968" s="1">
        <v>46020</v>
      </c>
      <c r="H968" s="1" t="str">
        <f t="shared" si="30"/>
        <v>Monday</v>
      </c>
      <c r="I968">
        <v>24</v>
      </c>
      <c r="J968" t="s">
        <v>45</v>
      </c>
      <c r="K968">
        <v>1</v>
      </c>
      <c r="L968">
        <v>0</v>
      </c>
      <c r="M968">
        <v>0</v>
      </c>
      <c r="N968">
        <v>0</v>
      </c>
      <c r="O968">
        <v>0</v>
      </c>
      <c r="P968" t="str">
        <f t="shared" si="31"/>
        <v>Non Chronic</v>
      </c>
      <c r="Q968">
        <v>1</v>
      </c>
      <c r="R968">
        <v>0</v>
      </c>
      <c r="S968" t="s">
        <v>22</v>
      </c>
    </row>
    <row r="969" spans="1:19" x14ac:dyDescent="0.3">
      <c r="A969">
        <v>500968</v>
      </c>
      <c r="B969">
        <v>40161</v>
      </c>
      <c r="C969" t="s">
        <v>8</v>
      </c>
      <c r="D969" t="s">
        <v>58</v>
      </c>
      <c r="E969" s="1">
        <v>46082</v>
      </c>
      <c r="F969" t="s">
        <v>458</v>
      </c>
      <c r="G969" s="1">
        <v>46083</v>
      </c>
      <c r="H969" s="1" t="str">
        <f t="shared" si="30"/>
        <v>Monday</v>
      </c>
      <c r="I969">
        <v>74</v>
      </c>
      <c r="J969" t="s">
        <v>1</v>
      </c>
      <c r="K969">
        <v>1</v>
      </c>
      <c r="L969">
        <v>0</v>
      </c>
      <c r="M969">
        <v>0</v>
      </c>
      <c r="N969">
        <v>0</v>
      </c>
      <c r="O969">
        <v>0</v>
      </c>
      <c r="P969" t="str">
        <f t="shared" si="31"/>
        <v>Non Chronic</v>
      </c>
      <c r="Q969">
        <v>1</v>
      </c>
      <c r="R969">
        <v>0</v>
      </c>
      <c r="S969" t="s">
        <v>9</v>
      </c>
    </row>
    <row r="970" spans="1:19" x14ac:dyDescent="0.3">
      <c r="A970">
        <v>500969</v>
      </c>
      <c r="B970">
        <v>12248</v>
      </c>
      <c r="C970" t="s">
        <v>8</v>
      </c>
      <c r="D970" t="s">
        <v>7</v>
      </c>
      <c r="E970" s="1">
        <v>46115</v>
      </c>
      <c r="F970" t="s">
        <v>473</v>
      </c>
      <c r="G970" s="1">
        <v>46118</v>
      </c>
      <c r="H970" s="1" t="str">
        <f t="shared" si="30"/>
        <v>Monday</v>
      </c>
      <c r="I970">
        <v>37</v>
      </c>
      <c r="J970" t="s">
        <v>31</v>
      </c>
      <c r="K970">
        <v>0</v>
      </c>
      <c r="L970">
        <v>0</v>
      </c>
      <c r="M970">
        <v>0</v>
      </c>
      <c r="N970">
        <v>1</v>
      </c>
      <c r="O970">
        <v>0</v>
      </c>
      <c r="P970" t="str">
        <f t="shared" si="31"/>
        <v>Non Chronic</v>
      </c>
      <c r="Q970">
        <v>0</v>
      </c>
      <c r="R970">
        <v>0</v>
      </c>
      <c r="S970" t="s">
        <v>22</v>
      </c>
    </row>
    <row r="971" spans="1:19" x14ac:dyDescent="0.3">
      <c r="A971">
        <v>500970</v>
      </c>
      <c r="B971">
        <v>28264</v>
      </c>
      <c r="C971" t="s">
        <v>8</v>
      </c>
      <c r="D971" t="s">
        <v>7</v>
      </c>
      <c r="E971" s="1">
        <v>45998</v>
      </c>
      <c r="F971" t="s">
        <v>472</v>
      </c>
      <c r="G971" s="1">
        <v>46013</v>
      </c>
      <c r="H971" s="1" t="str">
        <f t="shared" si="30"/>
        <v>Monday</v>
      </c>
      <c r="I971">
        <v>9</v>
      </c>
      <c r="J971" t="s">
        <v>31</v>
      </c>
      <c r="K971">
        <v>0</v>
      </c>
      <c r="L971">
        <v>0</v>
      </c>
      <c r="M971">
        <v>0</v>
      </c>
      <c r="N971">
        <v>0</v>
      </c>
      <c r="O971">
        <v>0</v>
      </c>
      <c r="P971" t="str">
        <f t="shared" si="31"/>
        <v>Non Chronic</v>
      </c>
      <c r="Q971">
        <v>1</v>
      </c>
      <c r="R971">
        <v>0</v>
      </c>
      <c r="S971" t="s">
        <v>30</v>
      </c>
    </row>
    <row r="972" spans="1:19" x14ac:dyDescent="0.3">
      <c r="A972">
        <v>500971</v>
      </c>
      <c r="B972">
        <v>65191</v>
      </c>
      <c r="C972" t="s">
        <v>4</v>
      </c>
      <c r="D972" t="s">
        <v>14</v>
      </c>
      <c r="E972" s="1">
        <v>46158</v>
      </c>
      <c r="F972" t="s">
        <v>320</v>
      </c>
      <c r="G972" s="1">
        <v>46159</v>
      </c>
      <c r="H972" s="1" t="str">
        <f t="shared" si="30"/>
        <v>Sunday</v>
      </c>
      <c r="I972">
        <v>40</v>
      </c>
      <c r="J972" t="s">
        <v>45</v>
      </c>
      <c r="K972">
        <v>0</v>
      </c>
      <c r="L972">
        <v>0</v>
      </c>
      <c r="M972">
        <v>0</v>
      </c>
      <c r="N972">
        <v>0</v>
      </c>
      <c r="O972">
        <v>0</v>
      </c>
      <c r="P972" t="str">
        <f t="shared" si="31"/>
        <v>Non Chronic</v>
      </c>
      <c r="Q972">
        <v>1</v>
      </c>
      <c r="R972">
        <v>0</v>
      </c>
      <c r="S972" t="s">
        <v>22</v>
      </c>
    </row>
    <row r="973" spans="1:19" x14ac:dyDescent="0.3">
      <c r="A973">
        <v>500972</v>
      </c>
      <c r="B973">
        <v>13453</v>
      </c>
      <c r="C973" t="s">
        <v>8</v>
      </c>
      <c r="D973" t="s">
        <v>19</v>
      </c>
      <c r="E973" s="1">
        <v>46007</v>
      </c>
      <c r="F973" t="s">
        <v>471</v>
      </c>
      <c r="G973" s="1">
        <v>46007</v>
      </c>
      <c r="H973" s="1" t="str">
        <f t="shared" si="30"/>
        <v>Tuesday</v>
      </c>
      <c r="I973">
        <v>24</v>
      </c>
      <c r="J973" t="s">
        <v>17</v>
      </c>
      <c r="K973">
        <v>0</v>
      </c>
      <c r="L973">
        <v>0</v>
      </c>
      <c r="M973">
        <v>0</v>
      </c>
      <c r="N973">
        <v>0</v>
      </c>
      <c r="O973">
        <v>0</v>
      </c>
      <c r="P973" t="str">
        <f t="shared" si="31"/>
        <v>Non Chronic</v>
      </c>
      <c r="Q973">
        <v>0</v>
      </c>
      <c r="R973">
        <v>0</v>
      </c>
      <c r="S973" t="s">
        <v>22</v>
      </c>
    </row>
    <row r="974" spans="1:19" x14ac:dyDescent="0.3">
      <c r="A974">
        <v>500973</v>
      </c>
      <c r="B974">
        <v>13956</v>
      </c>
      <c r="C974" t="s">
        <v>4</v>
      </c>
      <c r="D974" t="s">
        <v>19</v>
      </c>
      <c r="E974" s="1">
        <v>46134</v>
      </c>
      <c r="F974" t="s">
        <v>470</v>
      </c>
      <c r="G974" s="1">
        <v>46137</v>
      </c>
      <c r="H974" s="1" t="str">
        <f t="shared" si="30"/>
        <v>Saturday</v>
      </c>
      <c r="I974">
        <v>54</v>
      </c>
      <c r="J974" t="s">
        <v>31</v>
      </c>
      <c r="K974">
        <v>0</v>
      </c>
      <c r="L974">
        <v>1</v>
      </c>
      <c r="M974">
        <v>1</v>
      </c>
      <c r="N974">
        <v>0</v>
      </c>
      <c r="O974">
        <v>0</v>
      </c>
      <c r="P974" t="str">
        <f t="shared" si="31"/>
        <v>Chronic</v>
      </c>
      <c r="Q974">
        <v>0</v>
      </c>
      <c r="R974">
        <v>0</v>
      </c>
      <c r="S974" t="s">
        <v>0</v>
      </c>
    </row>
    <row r="975" spans="1:19" x14ac:dyDescent="0.3">
      <c r="A975">
        <v>500974</v>
      </c>
      <c r="B975">
        <v>28364</v>
      </c>
      <c r="C975" t="s">
        <v>8</v>
      </c>
      <c r="D975" t="s">
        <v>7</v>
      </c>
      <c r="E975" s="1">
        <v>46037</v>
      </c>
      <c r="F975" t="s">
        <v>469</v>
      </c>
      <c r="G975" s="1">
        <v>46044</v>
      </c>
      <c r="H975" s="1" t="str">
        <f t="shared" si="30"/>
        <v>Thursday</v>
      </c>
      <c r="I975">
        <v>24</v>
      </c>
      <c r="J975" t="s">
        <v>23</v>
      </c>
      <c r="K975">
        <v>1</v>
      </c>
      <c r="L975">
        <v>0</v>
      </c>
      <c r="M975">
        <v>0</v>
      </c>
      <c r="N975">
        <v>0</v>
      </c>
      <c r="O975">
        <v>0</v>
      </c>
      <c r="P975" t="str">
        <f t="shared" si="31"/>
        <v>Non Chronic</v>
      </c>
      <c r="Q975">
        <v>1</v>
      </c>
      <c r="R975">
        <v>1</v>
      </c>
      <c r="S975" t="s">
        <v>22</v>
      </c>
    </row>
    <row r="976" spans="1:19" x14ac:dyDescent="0.3">
      <c r="A976">
        <v>500975</v>
      </c>
      <c r="B976">
        <v>17864</v>
      </c>
      <c r="C976" t="s">
        <v>4</v>
      </c>
      <c r="D976" t="s">
        <v>28</v>
      </c>
      <c r="E976" s="1">
        <v>46094</v>
      </c>
      <c r="F976" t="s">
        <v>468</v>
      </c>
      <c r="G976" s="1">
        <v>46109</v>
      </c>
      <c r="H976" s="1" t="str">
        <f t="shared" si="30"/>
        <v>Saturday</v>
      </c>
      <c r="I976">
        <v>29</v>
      </c>
      <c r="J976" t="s">
        <v>12</v>
      </c>
      <c r="K976">
        <v>0</v>
      </c>
      <c r="L976">
        <v>0</v>
      </c>
      <c r="M976">
        <v>0</v>
      </c>
      <c r="N976">
        <v>1</v>
      </c>
      <c r="O976">
        <v>0</v>
      </c>
      <c r="P976" t="str">
        <f t="shared" si="31"/>
        <v>Non Chronic</v>
      </c>
      <c r="Q976">
        <v>1</v>
      </c>
      <c r="R976">
        <v>0</v>
      </c>
      <c r="S976" t="s">
        <v>22</v>
      </c>
    </row>
    <row r="977" spans="1:19" x14ac:dyDescent="0.3">
      <c r="A977">
        <v>500976</v>
      </c>
      <c r="B977">
        <v>82634</v>
      </c>
      <c r="C977" t="s">
        <v>8</v>
      </c>
      <c r="D977" t="s">
        <v>25</v>
      </c>
      <c r="E977" s="1">
        <v>46070</v>
      </c>
      <c r="F977" t="s">
        <v>467</v>
      </c>
      <c r="G977" s="1">
        <v>46073</v>
      </c>
      <c r="H977" s="1" t="str">
        <f t="shared" si="30"/>
        <v>Friday</v>
      </c>
      <c r="I977">
        <v>0</v>
      </c>
      <c r="J977" t="s">
        <v>45</v>
      </c>
      <c r="K977">
        <v>0</v>
      </c>
      <c r="L977">
        <v>0</v>
      </c>
      <c r="M977">
        <v>0</v>
      </c>
      <c r="N977">
        <v>0</v>
      </c>
      <c r="O977">
        <v>0</v>
      </c>
      <c r="P977" t="str">
        <f t="shared" si="31"/>
        <v>Non Chronic</v>
      </c>
      <c r="Q977">
        <v>1</v>
      </c>
      <c r="R977">
        <v>0</v>
      </c>
      <c r="S977" t="s">
        <v>30</v>
      </c>
    </row>
    <row r="978" spans="1:19" x14ac:dyDescent="0.3">
      <c r="A978">
        <v>500977</v>
      </c>
      <c r="B978">
        <v>78354</v>
      </c>
      <c r="C978" t="s">
        <v>8</v>
      </c>
      <c r="D978" t="s">
        <v>28</v>
      </c>
      <c r="E978" s="1">
        <v>45989</v>
      </c>
      <c r="F978" t="s">
        <v>466</v>
      </c>
      <c r="G978" s="1">
        <v>45991</v>
      </c>
      <c r="H978" s="1" t="str">
        <f t="shared" si="30"/>
        <v>Sunday</v>
      </c>
      <c r="I978">
        <v>28</v>
      </c>
      <c r="J978" t="s">
        <v>45</v>
      </c>
      <c r="K978">
        <v>1</v>
      </c>
      <c r="L978">
        <v>0</v>
      </c>
      <c r="M978">
        <v>0</v>
      </c>
      <c r="N978">
        <v>0</v>
      </c>
      <c r="O978">
        <v>0</v>
      </c>
      <c r="P978" t="str">
        <f t="shared" si="31"/>
        <v>Non Chronic</v>
      </c>
      <c r="Q978">
        <v>1</v>
      </c>
      <c r="R978">
        <v>0</v>
      </c>
      <c r="S978" t="s">
        <v>22</v>
      </c>
    </row>
    <row r="979" spans="1:19" x14ac:dyDescent="0.3">
      <c r="A979">
        <v>500978</v>
      </c>
      <c r="B979">
        <v>83307</v>
      </c>
      <c r="C979" t="s">
        <v>4</v>
      </c>
      <c r="D979" t="s">
        <v>7</v>
      </c>
      <c r="E979" s="1">
        <v>46123</v>
      </c>
      <c r="F979" t="s">
        <v>465</v>
      </c>
      <c r="G979" s="1">
        <v>46125</v>
      </c>
      <c r="H979" s="1" t="str">
        <f t="shared" si="30"/>
        <v>Monday</v>
      </c>
      <c r="I979">
        <v>0</v>
      </c>
      <c r="J979" t="s">
        <v>10</v>
      </c>
      <c r="K979">
        <v>0</v>
      </c>
      <c r="L979">
        <v>0</v>
      </c>
      <c r="M979">
        <v>0</v>
      </c>
      <c r="N979">
        <v>0</v>
      </c>
      <c r="O979">
        <v>0</v>
      </c>
      <c r="P979" t="str">
        <f t="shared" si="31"/>
        <v>Non Chronic</v>
      </c>
      <c r="Q979">
        <v>1</v>
      </c>
      <c r="R979">
        <v>0</v>
      </c>
      <c r="S979" t="s">
        <v>30</v>
      </c>
    </row>
    <row r="980" spans="1:19" x14ac:dyDescent="0.3">
      <c r="A980">
        <v>500979</v>
      </c>
      <c r="B980">
        <v>31603</v>
      </c>
      <c r="C980" t="s">
        <v>4</v>
      </c>
      <c r="D980" t="s">
        <v>19</v>
      </c>
      <c r="E980" s="1">
        <v>46033</v>
      </c>
      <c r="F980" t="s">
        <v>244</v>
      </c>
      <c r="G980" s="1">
        <v>46035</v>
      </c>
      <c r="H980" s="1" t="str">
        <f t="shared" si="30"/>
        <v>Tuesday</v>
      </c>
      <c r="I980">
        <v>6</v>
      </c>
      <c r="J980" t="s">
        <v>23</v>
      </c>
      <c r="K980">
        <v>0</v>
      </c>
      <c r="L980">
        <v>0</v>
      </c>
      <c r="M980">
        <v>0</v>
      </c>
      <c r="N980">
        <v>0</v>
      </c>
      <c r="O980">
        <v>0</v>
      </c>
      <c r="P980" t="str">
        <f t="shared" si="31"/>
        <v>Non Chronic</v>
      </c>
      <c r="Q980">
        <v>1</v>
      </c>
      <c r="R980">
        <v>1</v>
      </c>
      <c r="S980" t="s">
        <v>30</v>
      </c>
    </row>
    <row r="981" spans="1:19" x14ac:dyDescent="0.3">
      <c r="A981">
        <v>500980</v>
      </c>
      <c r="B981">
        <v>89061</v>
      </c>
      <c r="C981" t="s">
        <v>8</v>
      </c>
      <c r="D981" t="s">
        <v>36</v>
      </c>
      <c r="E981" s="1">
        <v>46124</v>
      </c>
      <c r="F981" t="s">
        <v>464</v>
      </c>
      <c r="G981" s="1">
        <v>46124</v>
      </c>
      <c r="H981" s="1" t="str">
        <f t="shared" si="30"/>
        <v>Sunday</v>
      </c>
      <c r="I981">
        <v>53</v>
      </c>
      <c r="J981" t="s">
        <v>45</v>
      </c>
      <c r="K981">
        <v>1</v>
      </c>
      <c r="L981">
        <v>1</v>
      </c>
      <c r="M981">
        <v>1</v>
      </c>
      <c r="N981">
        <v>0</v>
      </c>
      <c r="O981">
        <v>0</v>
      </c>
      <c r="P981" t="str">
        <f t="shared" si="31"/>
        <v>Chronic</v>
      </c>
      <c r="Q981">
        <v>0</v>
      </c>
      <c r="R981">
        <v>1</v>
      </c>
      <c r="S981" t="s">
        <v>0</v>
      </c>
    </row>
    <row r="982" spans="1:19" x14ac:dyDescent="0.3">
      <c r="A982">
        <v>500981</v>
      </c>
      <c r="B982">
        <v>36440</v>
      </c>
      <c r="C982" t="s">
        <v>4</v>
      </c>
      <c r="D982" t="s">
        <v>14</v>
      </c>
      <c r="E982" s="1">
        <v>46116</v>
      </c>
      <c r="F982" t="s">
        <v>463</v>
      </c>
      <c r="G982" s="1">
        <v>46131</v>
      </c>
      <c r="H982" s="1" t="str">
        <f t="shared" si="30"/>
        <v>Sunday</v>
      </c>
      <c r="I982">
        <v>53</v>
      </c>
      <c r="J982" t="s">
        <v>5</v>
      </c>
      <c r="K982">
        <v>0</v>
      </c>
      <c r="L982">
        <v>0</v>
      </c>
      <c r="M982">
        <v>0</v>
      </c>
      <c r="N982">
        <v>0</v>
      </c>
      <c r="O982">
        <v>0</v>
      </c>
      <c r="P982" t="str">
        <f t="shared" si="31"/>
        <v>Non Chronic</v>
      </c>
      <c r="Q982">
        <v>1</v>
      </c>
      <c r="R982">
        <v>0</v>
      </c>
      <c r="S982" t="s">
        <v>0</v>
      </c>
    </row>
    <row r="983" spans="1:19" x14ac:dyDescent="0.3">
      <c r="A983">
        <v>500982</v>
      </c>
      <c r="B983">
        <v>50449</v>
      </c>
      <c r="C983" t="s">
        <v>4</v>
      </c>
      <c r="D983" t="s">
        <v>19</v>
      </c>
      <c r="E983" s="1">
        <v>46013</v>
      </c>
      <c r="F983" t="s">
        <v>462</v>
      </c>
      <c r="G983" s="1">
        <v>46016</v>
      </c>
      <c r="H983" s="1" t="str">
        <f t="shared" si="30"/>
        <v>Thursday</v>
      </c>
      <c r="I983">
        <v>46</v>
      </c>
      <c r="J983" t="s">
        <v>5</v>
      </c>
      <c r="K983">
        <v>1</v>
      </c>
      <c r="L983">
        <v>0</v>
      </c>
      <c r="M983">
        <v>0</v>
      </c>
      <c r="N983">
        <v>0</v>
      </c>
      <c r="O983">
        <v>0</v>
      </c>
      <c r="P983" t="str">
        <f t="shared" si="31"/>
        <v>Non Chronic</v>
      </c>
      <c r="Q983">
        <v>1</v>
      </c>
      <c r="R983">
        <v>0</v>
      </c>
      <c r="S983" t="s">
        <v>0</v>
      </c>
    </row>
    <row r="984" spans="1:19" x14ac:dyDescent="0.3">
      <c r="A984">
        <v>500983</v>
      </c>
      <c r="B984">
        <v>53426</v>
      </c>
      <c r="C984" t="s">
        <v>8</v>
      </c>
      <c r="D984" t="s">
        <v>58</v>
      </c>
      <c r="E984" s="1">
        <v>46033</v>
      </c>
      <c r="F984" t="s">
        <v>461</v>
      </c>
      <c r="G984" s="1">
        <v>46048</v>
      </c>
      <c r="H984" s="1" t="str">
        <f t="shared" si="30"/>
        <v>Monday</v>
      </c>
      <c r="I984">
        <v>18</v>
      </c>
      <c r="J984" t="s">
        <v>12</v>
      </c>
      <c r="K984">
        <v>0</v>
      </c>
      <c r="L984">
        <v>0</v>
      </c>
      <c r="M984">
        <v>0</v>
      </c>
      <c r="N984">
        <v>0</v>
      </c>
      <c r="O984">
        <v>0</v>
      </c>
      <c r="P984" t="str">
        <f t="shared" si="31"/>
        <v>Non Chronic</v>
      </c>
      <c r="Q984">
        <v>1</v>
      </c>
      <c r="R984">
        <v>0</v>
      </c>
      <c r="S984" t="s">
        <v>30</v>
      </c>
    </row>
    <row r="985" spans="1:19" x14ac:dyDescent="0.3">
      <c r="A985">
        <v>500984</v>
      </c>
      <c r="B985">
        <v>60084</v>
      </c>
      <c r="C985" t="s">
        <v>8</v>
      </c>
      <c r="D985" t="s">
        <v>36</v>
      </c>
      <c r="E985" s="1">
        <v>45981</v>
      </c>
      <c r="F985" t="s">
        <v>460</v>
      </c>
      <c r="G985" s="1">
        <v>45986</v>
      </c>
      <c r="H985" s="1" t="str">
        <f t="shared" si="30"/>
        <v>Tuesday</v>
      </c>
      <c r="I985">
        <v>37</v>
      </c>
      <c r="J985" t="s">
        <v>5</v>
      </c>
      <c r="K985">
        <v>0</v>
      </c>
      <c r="L985">
        <v>0</v>
      </c>
      <c r="M985">
        <v>0</v>
      </c>
      <c r="N985">
        <v>0</v>
      </c>
      <c r="O985">
        <v>0</v>
      </c>
      <c r="P985" t="str">
        <f t="shared" si="31"/>
        <v>Non Chronic</v>
      </c>
      <c r="Q985">
        <v>0</v>
      </c>
      <c r="R985">
        <v>1</v>
      </c>
      <c r="S985" t="s">
        <v>22</v>
      </c>
    </row>
    <row r="986" spans="1:19" x14ac:dyDescent="0.3">
      <c r="A986">
        <v>500985</v>
      </c>
      <c r="B986">
        <v>40352</v>
      </c>
      <c r="C986" t="s">
        <v>4</v>
      </c>
      <c r="D986" t="s">
        <v>28</v>
      </c>
      <c r="E986" s="1">
        <v>46161</v>
      </c>
      <c r="F986" t="s">
        <v>459</v>
      </c>
      <c r="G986" s="1">
        <v>46162</v>
      </c>
      <c r="H986" s="1" t="str">
        <f t="shared" si="30"/>
        <v>Wednesday</v>
      </c>
      <c r="I986">
        <v>37</v>
      </c>
      <c r="J986" t="s">
        <v>31</v>
      </c>
      <c r="K986">
        <v>1</v>
      </c>
      <c r="L986">
        <v>0</v>
      </c>
      <c r="M986">
        <v>0</v>
      </c>
      <c r="N986">
        <v>0</v>
      </c>
      <c r="O986">
        <v>0</v>
      </c>
      <c r="P986" t="str">
        <f t="shared" si="31"/>
        <v>Non Chronic</v>
      </c>
      <c r="Q986">
        <v>1</v>
      </c>
      <c r="R986">
        <v>0</v>
      </c>
      <c r="S986" t="s">
        <v>22</v>
      </c>
    </row>
    <row r="987" spans="1:19" x14ac:dyDescent="0.3">
      <c r="A987">
        <v>500986</v>
      </c>
      <c r="B987">
        <v>66479</v>
      </c>
      <c r="C987" t="s">
        <v>4</v>
      </c>
      <c r="D987" t="s">
        <v>3</v>
      </c>
      <c r="E987" s="1">
        <v>46085</v>
      </c>
      <c r="F987" t="s">
        <v>135</v>
      </c>
      <c r="G987" s="1">
        <v>46087</v>
      </c>
      <c r="H987" s="1" t="str">
        <f t="shared" si="30"/>
        <v>Friday</v>
      </c>
      <c r="I987">
        <v>14</v>
      </c>
      <c r="J987" t="s">
        <v>45</v>
      </c>
      <c r="K987">
        <v>0</v>
      </c>
      <c r="L987">
        <v>0</v>
      </c>
      <c r="M987">
        <v>0</v>
      </c>
      <c r="N987">
        <v>0</v>
      </c>
      <c r="O987">
        <v>0</v>
      </c>
      <c r="P987" t="str">
        <f t="shared" si="31"/>
        <v>Non Chronic</v>
      </c>
      <c r="Q987">
        <v>1</v>
      </c>
      <c r="R987">
        <v>1</v>
      </c>
      <c r="S987" t="s">
        <v>30</v>
      </c>
    </row>
    <row r="988" spans="1:19" x14ac:dyDescent="0.3">
      <c r="A988">
        <v>500987</v>
      </c>
      <c r="B988">
        <v>29975</v>
      </c>
      <c r="C988" t="s">
        <v>8</v>
      </c>
      <c r="D988" t="s">
        <v>58</v>
      </c>
      <c r="E988" s="1">
        <v>46030</v>
      </c>
      <c r="F988" t="s">
        <v>458</v>
      </c>
      <c r="G988" s="1">
        <v>46050</v>
      </c>
      <c r="H988" s="1" t="str">
        <f t="shared" si="30"/>
        <v>Wednesday</v>
      </c>
      <c r="I988">
        <v>68</v>
      </c>
      <c r="J988" t="s">
        <v>17</v>
      </c>
      <c r="K988">
        <v>0</v>
      </c>
      <c r="L988">
        <v>0</v>
      </c>
      <c r="M988">
        <v>0</v>
      </c>
      <c r="N988">
        <v>0</v>
      </c>
      <c r="O988">
        <v>0</v>
      </c>
      <c r="P988" t="str">
        <f t="shared" si="31"/>
        <v>Non Chronic</v>
      </c>
      <c r="Q988">
        <v>1</v>
      </c>
      <c r="R988">
        <v>0</v>
      </c>
      <c r="S988" t="s">
        <v>9</v>
      </c>
    </row>
    <row r="989" spans="1:19" x14ac:dyDescent="0.3">
      <c r="A989">
        <v>500988</v>
      </c>
      <c r="B989">
        <v>32245</v>
      </c>
      <c r="C989" t="s">
        <v>8</v>
      </c>
      <c r="D989" t="s">
        <v>28</v>
      </c>
      <c r="E989" s="1">
        <v>46104</v>
      </c>
      <c r="F989" t="s">
        <v>457</v>
      </c>
      <c r="G989" s="1">
        <v>46114</v>
      </c>
      <c r="H989" s="1" t="str">
        <f t="shared" si="30"/>
        <v>Thursday</v>
      </c>
      <c r="I989">
        <v>55</v>
      </c>
      <c r="J989" t="s">
        <v>15</v>
      </c>
      <c r="K989">
        <v>1</v>
      </c>
      <c r="L989">
        <v>0</v>
      </c>
      <c r="M989">
        <v>0</v>
      </c>
      <c r="N989">
        <v>1</v>
      </c>
      <c r="O989">
        <v>0</v>
      </c>
      <c r="P989" t="str">
        <f t="shared" si="31"/>
        <v>Non Chronic</v>
      </c>
      <c r="Q989">
        <v>1</v>
      </c>
      <c r="R989">
        <v>0</v>
      </c>
      <c r="S989" t="s">
        <v>0</v>
      </c>
    </row>
    <row r="990" spans="1:19" x14ac:dyDescent="0.3">
      <c r="A990">
        <v>500989</v>
      </c>
      <c r="B990">
        <v>43557</v>
      </c>
      <c r="C990" t="s">
        <v>8</v>
      </c>
      <c r="D990" t="s">
        <v>28</v>
      </c>
      <c r="E990" s="1">
        <v>46003</v>
      </c>
      <c r="F990" t="s">
        <v>456</v>
      </c>
      <c r="G990" s="1">
        <v>46018</v>
      </c>
      <c r="H990" s="1" t="str">
        <f t="shared" si="30"/>
        <v>Saturday</v>
      </c>
      <c r="I990">
        <v>33</v>
      </c>
      <c r="J990" t="s">
        <v>15</v>
      </c>
      <c r="K990">
        <v>1</v>
      </c>
      <c r="L990">
        <v>0</v>
      </c>
      <c r="M990">
        <v>0</v>
      </c>
      <c r="N990">
        <v>1</v>
      </c>
      <c r="O990">
        <v>0</v>
      </c>
      <c r="P990" t="str">
        <f t="shared" si="31"/>
        <v>Non Chronic</v>
      </c>
      <c r="Q990">
        <v>1</v>
      </c>
      <c r="R990">
        <v>0</v>
      </c>
      <c r="S990" t="s">
        <v>22</v>
      </c>
    </row>
    <row r="991" spans="1:19" x14ac:dyDescent="0.3">
      <c r="A991">
        <v>500990</v>
      </c>
      <c r="B991">
        <v>99205</v>
      </c>
      <c r="C991" t="s">
        <v>4</v>
      </c>
      <c r="D991" t="s">
        <v>7</v>
      </c>
      <c r="E991" s="1">
        <v>46157</v>
      </c>
      <c r="F991" t="s">
        <v>322</v>
      </c>
      <c r="G991" s="1">
        <v>46167</v>
      </c>
      <c r="H991" s="1" t="str">
        <f t="shared" si="30"/>
        <v>Monday</v>
      </c>
      <c r="I991">
        <v>38</v>
      </c>
      <c r="J991" t="s">
        <v>20</v>
      </c>
      <c r="K991">
        <v>1</v>
      </c>
      <c r="L991">
        <v>0</v>
      </c>
      <c r="M991">
        <v>0</v>
      </c>
      <c r="N991">
        <v>0</v>
      </c>
      <c r="O991">
        <v>0</v>
      </c>
      <c r="P991" t="str">
        <f t="shared" si="31"/>
        <v>Non Chronic</v>
      </c>
      <c r="Q991">
        <v>1</v>
      </c>
      <c r="R991">
        <v>0</v>
      </c>
      <c r="S991" t="s">
        <v>22</v>
      </c>
    </row>
    <row r="992" spans="1:19" x14ac:dyDescent="0.3">
      <c r="A992">
        <v>500991</v>
      </c>
      <c r="B992">
        <v>99463</v>
      </c>
      <c r="C992" t="s">
        <v>4</v>
      </c>
      <c r="D992" t="s">
        <v>36</v>
      </c>
      <c r="E992" s="1">
        <v>46157</v>
      </c>
      <c r="F992" t="s">
        <v>455</v>
      </c>
      <c r="G992" s="1">
        <v>46160</v>
      </c>
      <c r="H992" s="1" t="str">
        <f t="shared" si="30"/>
        <v>Monday</v>
      </c>
      <c r="I992">
        <v>42</v>
      </c>
      <c r="J992" t="s">
        <v>45</v>
      </c>
      <c r="K992">
        <v>0</v>
      </c>
      <c r="L992">
        <v>0</v>
      </c>
      <c r="M992">
        <v>1</v>
      </c>
      <c r="N992">
        <v>0</v>
      </c>
      <c r="O992">
        <v>0</v>
      </c>
      <c r="P992" t="str">
        <f t="shared" si="31"/>
        <v>Chronic</v>
      </c>
      <c r="Q992">
        <v>1</v>
      </c>
      <c r="R992">
        <v>0</v>
      </c>
      <c r="S992" t="s">
        <v>0</v>
      </c>
    </row>
    <row r="993" spans="1:19" x14ac:dyDescent="0.3">
      <c r="A993">
        <v>500992</v>
      </c>
      <c r="B993">
        <v>39235</v>
      </c>
      <c r="C993" t="s">
        <v>8</v>
      </c>
      <c r="D993" t="s">
        <v>7</v>
      </c>
      <c r="E993" s="1">
        <v>46143</v>
      </c>
      <c r="F993" t="s">
        <v>454</v>
      </c>
      <c r="G993" s="1">
        <v>46146</v>
      </c>
      <c r="H993" s="1" t="str">
        <f t="shared" si="30"/>
        <v>Monday</v>
      </c>
      <c r="I993">
        <v>0</v>
      </c>
      <c r="J993" t="s">
        <v>15</v>
      </c>
      <c r="K993">
        <v>0</v>
      </c>
      <c r="L993">
        <v>0</v>
      </c>
      <c r="M993">
        <v>0</v>
      </c>
      <c r="N993">
        <v>0</v>
      </c>
      <c r="O993">
        <v>0</v>
      </c>
      <c r="P993" t="str">
        <f t="shared" si="31"/>
        <v>Non Chronic</v>
      </c>
      <c r="Q993">
        <v>1</v>
      </c>
      <c r="R993">
        <v>0</v>
      </c>
      <c r="S993" t="s">
        <v>30</v>
      </c>
    </row>
    <row r="994" spans="1:19" x14ac:dyDescent="0.3">
      <c r="A994">
        <v>500993</v>
      </c>
      <c r="B994">
        <v>70929</v>
      </c>
      <c r="C994" t="s">
        <v>4</v>
      </c>
      <c r="D994" t="s">
        <v>58</v>
      </c>
      <c r="E994" s="1">
        <v>46110</v>
      </c>
      <c r="F994" t="s">
        <v>453</v>
      </c>
      <c r="G994" s="1">
        <v>46130</v>
      </c>
      <c r="H994" s="1" t="str">
        <f t="shared" si="30"/>
        <v>Saturday</v>
      </c>
      <c r="I994">
        <v>33</v>
      </c>
      <c r="J994" t="s">
        <v>31</v>
      </c>
      <c r="K994">
        <v>0</v>
      </c>
      <c r="L994">
        <v>0</v>
      </c>
      <c r="M994">
        <v>0</v>
      </c>
      <c r="N994">
        <v>0</v>
      </c>
      <c r="O994">
        <v>0</v>
      </c>
      <c r="P994" t="str">
        <f t="shared" si="31"/>
        <v>Non Chronic</v>
      </c>
      <c r="Q994">
        <v>0</v>
      </c>
      <c r="R994">
        <v>1</v>
      </c>
      <c r="S994" t="s">
        <v>22</v>
      </c>
    </row>
    <row r="995" spans="1:19" x14ac:dyDescent="0.3">
      <c r="A995">
        <v>500994</v>
      </c>
      <c r="B995">
        <v>53086</v>
      </c>
      <c r="C995" t="s">
        <v>4</v>
      </c>
      <c r="D995" t="s">
        <v>19</v>
      </c>
      <c r="E995" s="1">
        <v>46069</v>
      </c>
      <c r="F995" t="s">
        <v>80</v>
      </c>
      <c r="G995" s="1">
        <v>46079</v>
      </c>
      <c r="H995" s="1" t="str">
        <f t="shared" si="30"/>
        <v>Thursday</v>
      </c>
      <c r="I995">
        <v>24</v>
      </c>
      <c r="J995" t="s">
        <v>20</v>
      </c>
      <c r="K995">
        <v>1</v>
      </c>
      <c r="L995">
        <v>0</v>
      </c>
      <c r="M995">
        <v>0</v>
      </c>
      <c r="N995">
        <v>0</v>
      </c>
      <c r="O995">
        <v>0</v>
      </c>
      <c r="P995" t="str">
        <f t="shared" si="31"/>
        <v>Non Chronic</v>
      </c>
      <c r="Q995">
        <v>1</v>
      </c>
      <c r="R995">
        <v>0</v>
      </c>
      <c r="S995" t="s">
        <v>22</v>
      </c>
    </row>
    <row r="996" spans="1:19" x14ac:dyDescent="0.3">
      <c r="A996">
        <v>500995</v>
      </c>
      <c r="B996">
        <v>81444</v>
      </c>
      <c r="C996" t="s">
        <v>4</v>
      </c>
      <c r="D996" t="s">
        <v>7</v>
      </c>
      <c r="E996" s="1">
        <v>46024</v>
      </c>
      <c r="F996" t="s">
        <v>452</v>
      </c>
      <c r="G996" s="1">
        <v>46031</v>
      </c>
      <c r="H996" s="1" t="str">
        <f t="shared" si="30"/>
        <v>Friday</v>
      </c>
      <c r="I996">
        <v>17</v>
      </c>
      <c r="J996" t="s">
        <v>31</v>
      </c>
      <c r="K996">
        <v>0</v>
      </c>
      <c r="L996">
        <v>0</v>
      </c>
      <c r="M996">
        <v>0</v>
      </c>
      <c r="N996">
        <v>0</v>
      </c>
      <c r="O996">
        <v>0</v>
      </c>
      <c r="P996" t="str">
        <f t="shared" si="31"/>
        <v>Non Chronic</v>
      </c>
      <c r="Q996">
        <v>1</v>
      </c>
      <c r="R996">
        <v>1</v>
      </c>
      <c r="S996" t="s">
        <v>30</v>
      </c>
    </row>
    <row r="997" spans="1:19" x14ac:dyDescent="0.3">
      <c r="A997">
        <v>500996</v>
      </c>
      <c r="B997">
        <v>88784</v>
      </c>
      <c r="C997" t="s">
        <v>8</v>
      </c>
      <c r="D997" t="s">
        <v>36</v>
      </c>
      <c r="E997" s="1">
        <v>46034</v>
      </c>
      <c r="F997" t="s">
        <v>451</v>
      </c>
      <c r="G997" s="1">
        <v>46036</v>
      </c>
      <c r="H997" s="1" t="str">
        <f t="shared" si="30"/>
        <v>Wednesday</v>
      </c>
      <c r="I997">
        <v>32</v>
      </c>
      <c r="J997" t="s">
        <v>20</v>
      </c>
      <c r="K997">
        <v>1</v>
      </c>
      <c r="L997">
        <v>0</v>
      </c>
      <c r="M997">
        <v>0</v>
      </c>
      <c r="N997">
        <v>0</v>
      </c>
      <c r="O997">
        <v>0</v>
      </c>
      <c r="P997" t="str">
        <f t="shared" si="31"/>
        <v>Non Chronic</v>
      </c>
      <c r="Q997">
        <v>1</v>
      </c>
      <c r="R997">
        <v>1</v>
      </c>
      <c r="S997" t="s">
        <v>22</v>
      </c>
    </row>
    <row r="998" spans="1:19" x14ac:dyDescent="0.3">
      <c r="A998">
        <v>500997</v>
      </c>
      <c r="B998">
        <v>99610</v>
      </c>
      <c r="C998" t="s">
        <v>8</v>
      </c>
      <c r="D998" t="s">
        <v>25</v>
      </c>
      <c r="E998" s="1">
        <v>46121</v>
      </c>
      <c r="F998" t="s">
        <v>450</v>
      </c>
      <c r="G998" s="1">
        <v>46131</v>
      </c>
      <c r="H998" s="1" t="str">
        <f t="shared" si="30"/>
        <v>Sunday</v>
      </c>
      <c r="I998">
        <v>73</v>
      </c>
      <c r="J998" t="s">
        <v>5</v>
      </c>
      <c r="K998">
        <v>0</v>
      </c>
      <c r="L998">
        <v>1</v>
      </c>
      <c r="M998">
        <v>1</v>
      </c>
      <c r="N998">
        <v>0</v>
      </c>
      <c r="O998">
        <v>0</v>
      </c>
      <c r="P998" t="str">
        <f t="shared" si="31"/>
        <v>Chronic</v>
      </c>
      <c r="Q998">
        <v>0</v>
      </c>
      <c r="R998">
        <v>0</v>
      </c>
      <c r="S998" t="s">
        <v>9</v>
      </c>
    </row>
    <row r="999" spans="1:19" x14ac:dyDescent="0.3">
      <c r="A999">
        <v>500998</v>
      </c>
      <c r="B999">
        <v>97771</v>
      </c>
      <c r="C999" t="s">
        <v>8</v>
      </c>
      <c r="D999" t="s">
        <v>28</v>
      </c>
      <c r="E999" s="1">
        <v>46115</v>
      </c>
      <c r="F999" t="s">
        <v>449</v>
      </c>
      <c r="G999" s="1">
        <v>46117</v>
      </c>
      <c r="H999" s="1" t="str">
        <f t="shared" si="30"/>
        <v>Sunday</v>
      </c>
      <c r="I999">
        <v>50</v>
      </c>
      <c r="J999" t="s">
        <v>17</v>
      </c>
      <c r="K999">
        <v>0</v>
      </c>
      <c r="L999">
        <v>0</v>
      </c>
      <c r="M999">
        <v>0</v>
      </c>
      <c r="N999">
        <v>0</v>
      </c>
      <c r="O999">
        <v>0</v>
      </c>
      <c r="P999" t="str">
        <f t="shared" si="31"/>
        <v>Non Chronic</v>
      </c>
      <c r="Q999">
        <v>1</v>
      </c>
      <c r="R999">
        <v>0</v>
      </c>
      <c r="S999" t="s">
        <v>0</v>
      </c>
    </row>
    <row r="1000" spans="1:19" x14ac:dyDescent="0.3">
      <c r="A1000">
        <v>500999</v>
      </c>
      <c r="B1000">
        <v>73127</v>
      </c>
      <c r="C1000" t="s">
        <v>8</v>
      </c>
      <c r="D1000" t="s">
        <v>28</v>
      </c>
      <c r="E1000" s="1">
        <v>46120</v>
      </c>
      <c r="F1000" t="s">
        <v>448</v>
      </c>
      <c r="G1000" s="1">
        <v>46127</v>
      </c>
      <c r="H1000" s="1" t="str">
        <f t="shared" si="30"/>
        <v>Wednesday</v>
      </c>
      <c r="I1000">
        <v>26</v>
      </c>
      <c r="J1000" t="s">
        <v>23</v>
      </c>
      <c r="K1000">
        <v>1</v>
      </c>
      <c r="L1000">
        <v>0</v>
      </c>
      <c r="M1000">
        <v>0</v>
      </c>
      <c r="N1000">
        <v>0</v>
      </c>
      <c r="O1000">
        <v>0</v>
      </c>
      <c r="P1000" t="str">
        <f t="shared" si="31"/>
        <v>Non Chronic</v>
      </c>
      <c r="Q1000">
        <v>0</v>
      </c>
      <c r="R1000">
        <v>0</v>
      </c>
      <c r="S1000" t="s">
        <v>22</v>
      </c>
    </row>
    <row r="1001" spans="1:19" x14ac:dyDescent="0.3">
      <c r="A1001">
        <v>501000</v>
      </c>
      <c r="B1001">
        <v>88266</v>
      </c>
      <c r="C1001" t="s">
        <v>4</v>
      </c>
      <c r="D1001" t="s">
        <v>58</v>
      </c>
      <c r="E1001" s="1">
        <v>46161</v>
      </c>
      <c r="F1001" t="s">
        <v>447</v>
      </c>
      <c r="G1001" s="1">
        <v>46171</v>
      </c>
      <c r="H1001" s="1" t="str">
        <f t="shared" si="30"/>
        <v>Friday</v>
      </c>
      <c r="I1001">
        <v>49</v>
      </c>
      <c r="J1001" t="s">
        <v>1</v>
      </c>
      <c r="K1001">
        <v>0</v>
      </c>
      <c r="L1001">
        <v>1</v>
      </c>
      <c r="M1001">
        <v>0</v>
      </c>
      <c r="N1001">
        <v>0</v>
      </c>
      <c r="O1001">
        <v>0</v>
      </c>
      <c r="P1001" t="str">
        <f t="shared" si="31"/>
        <v>Chronic</v>
      </c>
      <c r="Q1001">
        <v>0</v>
      </c>
      <c r="R1001">
        <v>0</v>
      </c>
      <c r="S1001" t="s">
        <v>0</v>
      </c>
    </row>
    <row r="1002" spans="1:19" x14ac:dyDescent="0.3">
      <c r="A1002">
        <v>501001</v>
      </c>
      <c r="B1002">
        <v>29727</v>
      </c>
      <c r="C1002" t="s">
        <v>8</v>
      </c>
      <c r="D1002" t="s">
        <v>28</v>
      </c>
      <c r="E1002" s="1">
        <v>45985</v>
      </c>
      <c r="F1002" t="s">
        <v>77</v>
      </c>
      <c r="G1002" s="1">
        <v>45985</v>
      </c>
      <c r="H1002" s="1" t="str">
        <f t="shared" si="30"/>
        <v>Monday</v>
      </c>
      <c r="I1002">
        <v>65</v>
      </c>
      <c r="J1002" t="s">
        <v>10</v>
      </c>
      <c r="K1002">
        <v>1</v>
      </c>
      <c r="L1002">
        <v>1</v>
      </c>
      <c r="M1002">
        <v>0</v>
      </c>
      <c r="N1002">
        <v>0</v>
      </c>
      <c r="O1002">
        <v>0</v>
      </c>
      <c r="P1002" t="str">
        <f t="shared" si="31"/>
        <v>Chronic</v>
      </c>
      <c r="Q1002">
        <v>1</v>
      </c>
      <c r="R1002">
        <v>0</v>
      </c>
      <c r="S1002" t="s">
        <v>9</v>
      </c>
    </row>
    <row r="1003" spans="1:19" x14ac:dyDescent="0.3">
      <c r="A1003">
        <v>501002</v>
      </c>
      <c r="B1003">
        <v>26478</v>
      </c>
      <c r="C1003" t="s">
        <v>8</v>
      </c>
      <c r="D1003" t="s">
        <v>58</v>
      </c>
      <c r="E1003" s="1">
        <v>46057</v>
      </c>
      <c r="F1003" t="s">
        <v>446</v>
      </c>
      <c r="G1003" s="1">
        <v>46064</v>
      </c>
      <c r="H1003" s="1" t="str">
        <f t="shared" si="30"/>
        <v>Wednesday</v>
      </c>
      <c r="I1003">
        <v>56</v>
      </c>
      <c r="J1003" t="s">
        <v>17</v>
      </c>
      <c r="K1003">
        <v>0</v>
      </c>
      <c r="L1003">
        <v>0</v>
      </c>
      <c r="M1003">
        <v>1</v>
      </c>
      <c r="N1003">
        <v>0</v>
      </c>
      <c r="O1003">
        <v>0</v>
      </c>
      <c r="P1003" t="str">
        <f t="shared" si="31"/>
        <v>Chronic</v>
      </c>
      <c r="Q1003">
        <v>1</v>
      </c>
      <c r="R1003">
        <v>0</v>
      </c>
      <c r="S1003" t="s">
        <v>0</v>
      </c>
    </row>
    <row r="1004" spans="1:19" x14ac:dyDescent="0.3">
      <c r="A1004">
        <v>501003</v>
      </c>
      <c r="B1004">
        <v>35055</v>
      </c>
      <c r="C1004" t="s">
        <v>4</v>
      </c>
      <c r="D1004" t="s">
        <v>19</v>
      </c>
      <c r="E1004" s="1">
        <v>46043</v>
      </c>
      <c r="F1004" t="s">
        <v>263</v>
      </c>
      <c r="G1004" s="1">
        <v>46045</v>
      </c>
      <c r="H1004" s="1" t="str">
        <f t="shared" si="30"/>
        <v>Friday</v>
      </c>
      <c r="I1004">
        <v>39</v>
      </c>
      <c r="J1004" t="s">
        <v>20</v>
      </c>
      <c r="K1004">
        <v>0</v>
      </c>
      <c r="L1004">
        <v>0</v>
      </c>
      <c r="M1004">
        <v>0</v>
      </c>
      <c r="N1004">
        <v>0</v>
      </c>
      <c r="O1004">
        <v>0</v>
      </c>
      <c r="P1004" t="str">
        <f t="shared" si="31"/>
        <v>Non Chronic</v>
      </c>
      <c r="Q1004">
        <v>0</v>
      </c>
      <c r="R1004">
        <v>1</v>
      </c>
      <c r="S1004" t="s">
        <v>22</v>
      </c>
    </row>
    <row r="1005" spans="1:19" x14ac:dyDescent="0.3">
      <c r="A1005">
        <v>501004</v>
      </c>
      <c r="B1005">
        <v>75422</v>
      </c>
      <c r="C1005" t="s">
        <v>8</v>
      </c>
      <c r="D1005" t="s">
        <v>3</v>
      </c>
      <c r="E1005" s="1">
        <v>46014</v>
      </c>
      <c r="F1005" t="s">
        <v>445</v>
      </c>
      <c r="G1005" s="1">
        <v>46019</v>
      </c>
      <c r="H1005" s="1" t="str">
        <f t="shared" si="30"/>
        <v>Sunday</v>
      </c>
      <c r="I1005">
        <v>25</v>
      </c>
      <c r="J1005" t="s">
        <v>23</v>
      </c>
      <c r="K1005">
        <v>1</v>
      </c>
      <c r="L1005">
        <v>0</v>
      </c>
      <c r="M1005">
        <v>0</v>
      </c>
      <c r="N1005">
        <v>0</v>
      </c>
      <c r="O1005">
        <v>0</v>
      </c>
      <c r="P1005" t="str">
        <f t="shared" si="31"/>
        <v>Non Chronic</v>
      </c>
      <c r="Q1005">
        <v>1</v>
      </c>
      <c r="R1005">
        <v>0</v>
      </c>
      <c r="S1005" t="s">
        <v>22</v>
      </c>
    </row>
    <row r="1006" spans="1:19" x14ac:dyDescent="0.3">
      <c r="A1006">
        <v>501005</v>
      </c>
      <c r="B1006">
        <v>24860</v>
      </c>
      <c r="C1006" t="s">
        <v>4</v>
      </c>
      <c r="D1006" t="s">
        <v>7</v>
      </c>
      <c r="E1006" s="1">
        <v>46134</v>
      </c>
      <c r="F1006" t="s">
        <v>300</v>
      </c>
      <c r="G1006" s="1">
        <v>46137</v>
      </c>
      <c r="H1006" s="1" t="str">
        <f t="shared" si="30"/>
        <v>Saturday</v>
      </c>
      <c r="I1006">
        <v>51</v>
      </c>
      <c r="J1006" t="s">
        <v>23</v>
      </c>
      <c r="K1006">
        <v>1</v>
      </c>
      <c r="L1006">
        <v>1</v>
      </c>
      <c r="M1006">
        <v>0</v>
      </c>
      <c r="N1006">
        <v>0</v>
      </c>
      <c r="O1006">
        <v>0</v>
      </c>
      <c r="P1006" t="str">
        <f t="shared" si="31"/>
        <v>Chronic</v>
      </c>
      <c r="Q1006">
        <v>0</v>
      </c>
      <c r="R1006">
        <v>0</v>
      </c>
      <c r="S1006" t="s">
        <v>0</v>
      </c>
    </row>
    <row r="1007" spans="1:19" x14ac:dyDescent="0.3">
      <c r="A1007">
        <v>501006</v>
      </c>
      <c r="B1007">
        <v>67343</v>
      </c>
      <c r="C1007" t="s">
        <v>8</v>
      </c>
      <c r="D1007" t="s">
        <v>58</v>
      </c>
      <c r="E1007" s="1">
        <v>46151</v>
      </c>
      <c r="F1007" t="s">
        <v>224</v>
      </c>
      <c r="G1007" s="1">
        <v>46171</v>
      </c>
      <c r="H1007" s="1" t="str">
        <f t="shared" si="30"/>
        <v>Friday</v>
      </c>
      <c r="I1007">
        <v>45</v>
      </c>
      <c r="J1007" t="s">
        <v>15</v>
      </c>
      <c r="K1007">
        <v>0</v>
      </c>
      <c r="L1007">
        <v>0</v>
      </c>
      <c r="M1007">
        <v>1</v>
      </c>
      <c r="N1007">
        <v>1</v>
      </c>
      <c r="O1007">
        <v>0</v>
      </c>
      <c r="P1007" t="str">
        <f t="shared" si="31"/>
        <v>Chronic</v>
      </c>
      <c r="Q1007">
        <v>1</v>
      </c>
      <c r="R1007">
        <v>0</v>
      </c>
      <c r="S1007" t="s">
        <v>0</v>
      </c>
    </row>
    <row r="1008" spans="1:19" x14ac:dyDescent="0.3">
      <c r="A1008">
        <v>501007</v>
      </c>
      <c r="B1008">
        <v>91766</v>
      </c>
      <c r="C1008" t="s">
        <v>4</v>
      </c>
      <c r="D1008" t="s">
        <v>7</v>
      </c>
      <c r="E1008" s="1">
        <v>46080</v>
      </c>
      <c r="F1008" t="s">
        <v>34</v>
      </c>
      <c r="G1008" s="1">
        <v>46095</v>
      </c>
      <c r="H1008" s="1" t="str">
        <f t="shared" si="30"/>
        <v>Saturday</v>
      </c>
      <c r="I1008">
        <v>55</v>
      </c>
      <c r="J1008" t="s">
        <v>12</v>
      </c>
      <c r="K1008">
        <v>0</v>
      </c>
      <c r="L1008">
        <v>0</v>
      </c>
      <c r="M1008">
        <v>0</v>
      </c>
      <c r="N1008">
        <v>0</v>
      </c>
      <c r="O1008">
        <v>0</v>
      </c>
      <c r="P1008" t="str">
        <f t="shared" si="31"/>
        <v>Non Chronic</v>
      </c>
      <c r="Q1008">
        <v>1</v>
      </c>
      <c r="R1008">
        <v>1</v>
      </c>
      <c r="S1008" t="s">
        <v>0</v>
      </c>
    </row>
    <row r="1009" spans="1:19" x14ac:dyDescent="0.3">
      <c r="A1009">
        <v>501008</v>
      </c>
      <c r="B1009">
        <v>71548</v>
      </c>
      <c r="C1009" t="s">
        <v>4</v>
      </c>
      <c r="D1009" t="s">
        <v>19</v>
      </c>
      <c r="E1009" s="1">
        <v>46010</v>
      </c>
      <c r="F1009" t="s">
        <v>444</v>
      </c>
      <c r="G1009" s="1">
        <v>46013</v>
      </c>
      <c r="H1009" s="1" t="str">
        <f t="shared" si="30"/>
        <v>Monday</v>
      </c>
      <c r="I1009">
        <v>50</v>
      </c>
      <c r="J1009" t="s">
        <v>10</v>
      </c>
      <c r="K1009">
        <v>1</v>
      </c>
      <c r="L1009">
        <v>0</v>
      </c>
      <c r="M1009">
        <v>0</v>
      </c>
      <c r="N1009">
        <v>0</v>
      </c>
      <c r="O1009">
        <v>0</v>
      </c>
      <c r="P1009" t="str">
        <f t="shared" si="31"/>
        <v>Non Chronic</v>
      </c>
      <c r="Q1009">
        <v>0</v>
      </c>
      <c r="R1009">
        <v>0</v>
      </c>
      <c r="S1009" t="s">
        <v>0</v>
      </c>
    </row>
    <row r="1010" spans="1:19" x14ac:dyDescent="0.3">
      <c r="A1010">
        <v>501009</v>
      </c>
      <c r="B1010">
        <v>76527</v>
      </c>
      <c r="C1010" t="s">
        <v>8</v>
      </c>
      <c r="D1010" t="s">
        <v>25</v>
      </c>
      <c r="E1010" s="1">
        <v>46122</v>
      </c>
      <c r="F1010" t="s">
        <v>443</v>
      </c>
      <c r="G1010" s="1">
        <v>46142</v>
      </c>
      <c r="H1010" s="1" t="str">
        <f t="shared" si="30"/>
        <v>Thursday</v>
      </c>
      <c r="I1010">
        <v>58</v>
      </c>
      <c r="J1010" t="s">
        <v>5</v>
      </c>
      <c r="K1010">
        <v>1</v>
      </c>
      <c r="L1010">
        <v>0</v>
      </c>
      <c r="M1010">
        <v>0</v>
      </c>
      <c r="N1010">
        <v>0</v>
      </c>
      <c r="O1010">
        <v>0</v>
      </c>
      <c r="P1010" t="str">
        <f t="shared" si="31"/>
        <v>Non Chronic</v>
      </c>
      <c r="Q1010">
        <v>1</v>
      </c>
      <c r="R1010">
        <v>1</v>
      </c>
      <c r="S1010" t="s">
        <v>0</v>
      </c>
    </row>
    <row r="1011" spans="1:19" x14ac:dyDescent="0.3">
      <c r="A1011">
        <v>501010</v>
      </c>
      <c r="B1011">
        <v>30103</v>
      </c>
      <c r="C1011" t="s">
        <v>8</v>
      </c>
      <c r="D1011" t="s">
        <v>19</v>
      </c>
      <c r="E1011" s="1">
        <v>46077</v>
      </c>
      <c r="F1011" t="s">
        <v>442</v>
      </c>
      <c r="G1011" s="1">
        <v>46107</v>
      </c>
      <c r="H1011" s="1" t="str">
        <f t="shared" si="30"/>
        <v>Thursday</v>
      </c>
      <c r="I1011">
        <v>27</v>
      </c>
      <c r="J1011" t="s">
        <v>20</v>
      </c>
      <c r="K1011">
        <v>0</v>
      </c>
      <c r="L1011">
        <v>0</v>
      </c>
      <c r="M1011">
        <v>0</v>
      </c>
      <c r="N1011">
        <v>0</v>
      </c>
      <c r="O1011">
        <v>0</v>
      </c>
      <c r="P1011" t="str">
        <f t="shared" si="31"/>
        <v>Non Chronic</v>
      </c>
      <c r="Q1011">
        <v>1</v>
      </c>
      <c r="R1011">
        <v>0</v>
      </c>
      <c r="S1011" t="s">
        <v>22</v>
      </c>
    </row>
    <row r="1012" spans="1:19" x14ac:dyDescent="0.3">
      <c r="A1012">
        <v>501011</v>
      </c>
      <c r="B1012">
        <v>35252</v>
      </c>
      <c r="C1012" t="s">
        <v>8</v>
      </c>
      <c r="D1012" t="s">
        <v>36</v>
      </c>
      <c r="E1012" s="1">
        <v>46142</v>
      </c>
      <c r="F1012" t="s">
        <v>428</v>
      </c>
      <c r="G1012" s="1">
        <v>46162</v>
      </c>
      <c r="H1012" s="1" t="str">
        <f t="shared" si="30"/>
        <v>Wednesday</v>
      </c>
      <c r="I1012">
        <v>64</v>
      </c>
      <c r="J1012" t="s">
        <v>1</v>
      </c>
      <c r="K1012">
        <v>1</v>
      </c>
      <c r="L1012">
        <v>1</v>
      </c>
      <c r="M1012">
        <v>0</v>
      </c>
      <c r="N1012">
        <v>0</v>
      </c>
      <c r="O1012">
        <v>0</v>
      </c>
      <c r="P1012" t="str">
        <f t="shared" si="31"/>
        <v>Chronic</v>
      </c>
      <c r="Q1012">
        <v>1</v>
      </c>
      <c r="R1012">
        <v>0</v>
      </c>
      <c r="S1012" t="s">
        <v>9</v>
      </c>
    </row>
    <row r="1013" spans="1:19" x14ac:dyDescent="0.3">
      <c r="A1013">
        <v>501012</v>
      </c>
      <c r="B1013">
        <v>23051</v>
      </c>
      <c r="C1013" t="s">
        <v>4</v>
      </c>
      <c r="D1013" t="s">
        <v>58</v>
      </c>
      <c r="E1013" s="1">
        <v>46042</v>
      </c>
      <c r="F1013" t="s">
        <v>441</v>
      </c>
      <c r="G1013" s="1">
        <v>46044</v>
      </c>
      <c r="H1013" s="1" t="str">
        <f t="shared" si="30"/>
        <v>Thursday</v>
      </c>
      <c r="I1013">
        <v>41</v>
      </c>
      <c r="J1013" t="s">
        <v>1</v>
      </c>
      <c r="K1013">
        <v>1</v>
      </c>
      <c r="L1013">
        <v>0</v>
      </c>
      <c r="M1013">
        <v>0</v>
      </c>
      <c r="N1013">
        <v>0</v>
      </c>
      <c r="O1013">
        <v>0</v>
      </c>
      <c r="P1013" t="str">
        <f t="shared" si="31"/>
        <v>Non Chronic</v>
      </c>
      <c r="Q1013">
        <v>1</v>
      </c>
      <c r="R1013">
        <v>0</v>
      </c>
      <c r="S1013" t="s">
        <v>0</v>
      </c>
    </row>
    <row r="1014" spans="1:19" x14ac:dyDescent="0.3">
      <c r="A1014">
        <v>501013</v>
      </c>
      <c r="B1014">
        <v>36707</v>
      </c>
      <c r="C1014" t="s">
        <v>4</v>
      </c>
      <c r="D1014" t="s">
        <v>58</v>
      </c>
      <c r="E1014" s="1">
        <v>46104</v>
      </c>
      <c r="F1014" t="s">
        <v>440</v>
      </c>
      <c r="G1014" s="1">
        <v>46109</v>
      </c>
      <c r="H1014" s="1" t="str">
        <f t="shared" si="30"/>
        <v>Saturday</v>
      </c>
      <c r="I1014">
        <v>79</v>
      </c>
      <c r="J1014" t="s">
        <v>17</v>
      </c>
      <c r="K1014">
        <v>1</v>
      </c>
      <c r="L1014">
        <v>1</v>
      </c>
      <c r="M1014">
        <v>0</v>
      </c>
      <c r="N1014">
        <v>0</v>
      </c>
      <c r="O1014">
        <v>0</v>
      </c>
      <c r="P1014" t="str">
        <f t="shared" si="31"/>
        <v>Chronic</v>
      </c>
      <c r="Q1014">
        <v>0</v>
      </c>
      <c r="R1014">
        <v>0</v>
      </c>
      <c r="S1014" t="s">
        <v>9</v>
      </c>
    </row>
    <row r="1015" spans="1:19" x14ac:dyDescent="0.3">
      <c r="A1015">
        <v>501014</v>
      </c>
      <c r="B1015">
        <v>13314</v>
      </c>
      <c r="C1015" t="s">
        <v>4</v>
      </c>
      <c r="D1015" t="s">
        <v>7</v>
      </c>
      <c r="E1015" s="1">
        <v>46006</v>
      </c>
      <c r="F1015" t="s">
        <v>439</v>
      </c>
      <c r="G1015" s="1">
        <v>46026</v>
      </c>
      <c r="H1015" s="1" t="str">
        <f t="shared" si="30"/>
        <v>Sunday</v>
      </c>
      <c r="I1015">
        <v>24</v>
      </c>
      <c r="J1015" t="s">
        <v>20</v>
      </c>
      <c r="K1015">
        <v>0</v>
      </c>
      <c r="L1015">
        <v>0</v>
      </c>
      <c r="M1015">
        <v>0</v>
      </c>
      <c r="N1015">
        <v>0</v>
      </c>
      <c r="O1015">
        <v>0</v>
      </c>
      <c r="P1015" t="str">
        <f t="shared" si="31"/>
        <v>Non Chronic</v>
      </c>
      <c r="Q1015">
        <v>1</v>
      </c>
      <c r="R1015">
        <v>0</v>
      </c>
      <c r="S1015" t="s">
        <v>22</v>
      </c>
    </row>
    <row r="1016" spans="1:19" x14ac:dyDescent="0.3">
      <c r="A1016">
        <v>501015</v>
      </c>
      <c r="B1016">
        <v>42145</v>
      </c>
      <c r="C1016" t="s">
        <v>8</v>
      </c>
      <c r="D1016" t="s">
        <v>25</v>
      </c>
      <c r="E1016" s="1">
        <v>45982</v>
      </c>
      <c r="F1016" t="s">
        <v>438</v>
      </c>
      <c r="G1016" s="1">
        <v>46002</v>
      </c>
      <c r="H1016" s="1" t="str">
        <f t="shared" si="30"/>
        <v>Thursday</v>
      </c>
      <c r="I1016">
        <v>72</v>
      </c>
      <c r="J1016" t="s">
        <v>17</v>
      </c>
      <c r="K1016">
        <v>1</v>
      </c>
      <c r="L1016">
        <v>1</v>
      </c>
      <c r="M1016">
        <v>1</v>
      </c>
      <c r="N1016">
        <v>1</v>
      </c>
      <c r="O1016">
        <v>0</v>
      </c>
      <c r="P1016" t="str">
        <f t="shared" si="31"/>
        <v>Chronic</v>
      </c>
      <c r="Q1016">
        <v>1</v>
      </c>
      <c r="R1016">
        <v>0</v>
      </c>
      <c r="S1016" t="s">
        <v>9</v>
      </c>
    </row>
    <row r="1017" spans="1:19" x14ac:dyDescent="0.3">
      <c r="A1017">
        <v>501016</v>
      </c>
      <c r="B1017">
        <v>26080</v>
      </c>
      <c r="C1017" t="s">
        <v>4</v>
      </c>
      <c r="D1017" t="s">
        <v>28</v>
      </c>
      <c r="E1017" s="1">
        <v>46151</v>
      </c>
      <c r="F1017" t="s">
        <v>437</v>
      </c>
      <c r="G1017" s="1">
        <v>46156</v>
      </c>
      <c r="H1017" s="1" t="str">
        <f t="shared" si="30"/>
        <v>Thursday</v>
      </c>
      <c r="I1017">
        <v>41</v>
      </c>
      <c r="J1017" t="s">
        <v>5</v>
      </c>
      <c r="K1017">
        <v>1</v>
      </c>
      <c r="L1017">
        <v>0</v>
      </c>
      <c r="M1017">
        <v>0</v>
      </c>
      <c r="N1017">
        <v>0</v>
      </c>
      <c r="O1017">
        <v>0</v>
      </c>
      <c r="P1017" t="str">
        <f t="shared" si="31"/>
        <v>Non Chronic</v>
      </c>
      <c r="Q1017">
        <v>1</v>
      </c>
      <c r="R1017">
        <v>0</v>
      </c>
      <c r="S1017" t="s">
        <v>0</v>
      </c>
    </row>
    <row r="1018" spans="1:19" x14ac:dyDescent="0.3">
      <c r="A1018">
        <v>501017</v>
      </c>
      <c r="B1018">
        <v>61222</v>
      </c>
      <c r="C1018" t="s">
        <v>4</v>
      </c>
      <c r="D1018" t="s">
        <v>7</v>
      </c>
      <c r="E1018" s="1">
        <v>46034</v>
      </c>
      <c r="F1018" t="s">
        <v>436</v>
      </c>
      <c r="G1018" s="1">
        <v>46064</v>
      </c>
      <c r="H1018" s="1" t="str">
        <f t="shared" si="30"/>
        <v>Wednesday</v>
      </c>
      <c r="I1018">
        <v>24</v>
      </c>
      <c r="J1018" t="s">
        <v>17</v>
      </c>
      <c r="K1018">
        <v>1</v>
      </c>
      <c r="L1018">
        <v>0</v>
      </c>
      <c r="M1018">
        <v>0</v>
      </c>
      <c r="N1018">
        <v>1</v>
      </c>
      <c r="O1018">
        <v>0</v>
      </c>
      <c r="P1018" t="str">
        <f t="shared" si="31"/>
        <v>Non Chronic</v>
      </c>
      <c r="Q1018">
        <v>1</v>
      </c>
      <c r="R1018">
        <v>0</v>
      </c>
      <c r="S1018" t="s">
        <v>22</v>
      </c>
    </row>
    <row r="1019" spans="1:19" x14ac:dyDescent="0.3">
      <c r="A1019">
        <v>501018</v>
      </c>
      <c r="B1019">
        <v>59185</v>
      </c>
      <c r="C1019" t="s">
        <v>8</v>
      </c>
      <c r="D1019" t="s">
        <v>7</v>
      </c>
      <c r="E1019" s="1">
        <v>46097</v>
      </c>
      <c r="F1019" t="s">
        <v>435</v>
      </c>
      <c r="G1019" s="1">
        <v>46117</v>
      </c>
      <c r="H1019" s="1" t="str">
        <f t="shared" si="30"/>
        <v>Sunday</v>
      </c>
      <c r="I1019">
        <v>28</v>
      </c>
      <c r="J1019" t="s">
        <v>31</v>
      </c>
      <c r="K1019">
        <v>0</v>
      </c>
      <c r="L1019">
        <v>0</v>
      </c>
      <c r="M1019">
        <v>0</v>
      </c>
      <c r="N1019">
        <v>0</v>
      </c>
      <c r="O1019">
        <v>0</v>
      </c>
      <c r="P1019" t="str">
        <f t="shared" si="31"/>
        <v>Non Chronic</v>
      </c>
      <c r="Q1019">
        <v>1</v>
      </c>
      <c r="R1019">
        <v>0</v>
      </c>
      <c r="S1019" t="s">
        <v>22</v>
      </c>
    </row>
    <row r="1020" spans="1:19" x14ac:dyDescent="0.3">
      <c r="A1020">
        <v>501019</v>
      </c>
      <c r="B1020">
        <v>14122</v>
      </c>
      <c r="C1020" t="s">
        <v>4</v>
      </c>
      <c r="D1020" t="s">
        <v>19</v>
      </c>
      <c r="E1020" s="1">
        <v>46139</v>
      </c>
      <c r="F1020" t="s">
        <v>434</v>
      </c>
      <c r="G1020" s="1">
        <v>46146</v>
      </c>
      <c r="H1020" s="1" t="str">
        <f t="shared" si="30"/>
        <v>Monday</v>
      </c>
      <c r="I1020">
        <v>31</v>
      </c>
      <c r="J1020" t="s">
        <v>20</v>
      </c>
      <c r="K1020">
        <v>1</v>
      </c>
      <c r="L1020">
        <v>0</v>
      </c>
      <c r="M1020">
        <v>0</v>
      </c>
      <c r="N1020">
        <v>0</v>
      </c>
      <c r="O1020">
        <v>0</v>
      </c>
      <c r="P1020" t="str">
        <f t="shared" si="31"/>
        <v>Non Chronic</v>
      </c>
      <c r="Q1020">
        <v>1</v>
      </c>
      <c r="R1020">
        <v>0</v>
      </c>
      <c r="S1020" t="s">
        <v>22</v>
      </c>
    </row>
    <row r="1021" spans="1:19" x14ac:dyDescent="0.3">
      <c r="A1021">
        <v>501020</v>
      </c>
      <c r="B1021">
        <v>43357</v>
      </c>
      <c r="C1021" t="s">
        <v>4</v>
      </c>
      <c r="D1021" t="s">
        <v>14</v>
      </c>
      <c r="E1021" s="1">
        <v>46072</v>
      </c>
      <c r="F1021" t="s">
        <v>213</v>
      </c>
      <c r="G1021" s="1">
        <v>46074</v>
      </c>
      <c r="H1021" s="1" t="str">
        <f t="shared" si="30"/>
        <v>Saturday</v>
      </c>
      <c r="I1021">
        <v>46</v>
      </c>
      <c r="J1021" t="s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 t="str">
        <f t="shared" si="31"/>
        <v>Non Chronic</v>
      </c>
      <c r="Q1021">
        <v>1</v>
      </c>
      <c r="R1021">
        <v>0</v>
      </c>
      <c r="S1021" t="s">
        <v>0</v>
      </c>
    </row>
    <row r="1022" spans="1:19" x14ac:dyDescent="0.3">
      <c r="A1022">
        <v>501021</v>
      </c>
      <c r="B1022">
        <v>13866</v>
      </c>
      <c r="C1022" t="s">
        <v>8</v>
      </c>
      <c r="D1022" t="s">
        <v>28</v>
      </c>
      <c r="E1022" s="1">
        <v>46065</v>
      </c>
      <c r="F1022" t="s">
        <v>209</v>
      </c>
      <c r="G1022" s="1">
        <v>46070</v>
      </c>
      <c r="H1022" s="1" t="str">
        <f t="shared" si="30"/>
        <v>Tuesday</v>
      </c>
      <c r="I1022">
        <v>48</v>
      </c>
      <c r="J1022" t="s">
        <v>45</v>
      </c>
      <c r="K1022">
        <v>0</v>
      </c>
      <c r="L1022">
        <v>0</v>
      </c>
      <c r="M1022">
        <v>0</v>
      </c>
      <c r="N1022">
        <v>0</v>
      </c>
      <c r="O1022">
        <v>0</v>
      </c>
      <c r="P1022" t="str">
        <f t="shared" si="31"/>
        <v>Non Chronic</v>
      </c>
      <c r="Q1022">
        <v>0</v>
      </c>
      <c r="R1022">
        <v>0</v>
      </c>
      <c r="S1022" t="s">
        <v>0</v>
      </c>
    </row>
    <row r="1023" spans="1:19" x14ac:dyDescent="0.3">
      <c r="A1023">
        <v>501022</v>
      </c>
      <c r="B1023">
        <v>82285</v>
      </c>
      <c r="C1023" t="s">
        <v>8</v>
      </c>
      <c r="D1023" t="s">
        <v>7</v>
      </c>
      <c r="E1023" s="1">
        <v>46088</v>
      </c>
      <c r="F1023" t="s">
        <v>49</v>
      </c>
      <c r="G1023" s="1">
        <v>46091</v>
      </c>
      <c r="H1023" s="1" t="str">
        <f t="shared" si="30"/>
        <v>Tuesday</v>
      </c>
      <c r="I1023">
        <v>26</v>
      </c>
      <c r="J1023" t="s">
        <v>10</v>
      </c>
      <c r="K1023">
        <v>1</v>
      </c>
      <c r="L1023">
        <v>0</v>
      </c>
      <c r="M1023">
        <v>0</v>
      </c>
      <c r="N1023">
        <v>0</v>
      </c>
      <c r="O1023">
        <v>0</v>
      </c>
      <c r="P1023" t="str">
        <f t="shared" si="31"/>
        <v>Non Chronic</v>
      </c>
      <c r="Q1023">
        <v>1</v>
      </c>
      <c r="R1023">
        <v>0</v>
      </c>
      <c r="S1023" t="s">
        <v>22</v>
      </c>
    </row>
    <row r="1024" spans="1:19" x14ac:dyDescent="0.3">
      <c r="A1024">
        <v>501023</v>
      </c>
      <c r="B1024">
        <v>46842</v>
      </c>
      <c r="C1024" t="s">
        <v>8</v>
      </c>
      <c r="D1024" t="s">
        <v>58</v>
      </c>
      <c r="E1024" s="1">
        <v>46040</v>
      </c>
      <c r="F1024" t="s">
        <v>433</v>
      </c>
      <c r="G1024" s="1">
        <v>46042</v>
      </c>
      <c r="H1024" s="1" t="str">
        <f t="shared" si="30"/>
        <v>Tuesday</v>
      </c>
      <c r="I1024">
        <v>37</v>
      </c>
      <c r="J1024" t="s">
        <v>1</v>
      </c>
      <c r="K1024">
        <v>1</v>
      </c>
      <c r="L1024">
        <v>0</v>
      </c>
      <c r="M1024">
        <v>0</v>
      </c>
      <c r="N1024">
        <v>0</v>
      </c>
      <c r="O1024">
        <v>0</v>
      </c>
      <c r="P1024" t="str">
        <f t="shared" si="31"/>
        <v>Non Chronic</v>
      </c>
      <c r="Q1024">
        <v>0</v>
      </c>
      <c r="R1024">
        <v>0</v>
      </c>
      <c r="S1024" t="s">
        <v>22</v>
      </c>
    </row>
    <row r="1025" spans="1:19" x14ac:dyDescent="0.3">
      <c r="A1025">
        <v>501024</v>
      </c>
      <c r="B1025">
        <v>68478</v>
      </c>
      <c r="C1025" t="s">
        <v>8</v>
      </c>
      <c r="D1025" t="s">
        <v>25</v>
      </c>
      <c r="E1025" s="1">
        <v>46008</v>
      </c>
      <c r="F1025" t="s">
        <v>432</v>
      </c>
      <c r="G1025" s="1">
        <v>46015</v>
      </c>
      <c r="H1025" s="1" t="str">
        <f t="shared" si="30"/>
        <v>Wednesday</v>
      </c>
      <c r="I1025">
        <v>80</v>
      </c>
      <c r="J1025" t="s">
        <v>20</v>
      </c>
      <c r="K1025">
        <v>0</v>
      </c>
      <c r="L1025">
        <v>0</v>
      </c>
      <c r="M1025">
        <v>0</v>
      </c>
      <c r="N1025">
        <v>0</v>
      </c>
      <c r="O1025">
        <v>0</v>
      </c>
      <c r="P1025" t="str">
        <f t="shared" si="31"/>
        <v>Non Chronic</v>
      </c>
      <c r="Q1025">
        <v>1</v>
      </c>
      <c r="R1025">
        <v>1</v>
      </c>
      <c r="S1025" t="s">
        <v>9</v>
      </c>
    </row>
    <row r="1026" spans="1:19" x14ac:dyDescent="0.3">
      <c r="A1026">
        <v>501025</v>
      </c>
      <c r="B1026">
        <v>14424</v>
      </c>
      <c r="C1026" t="s">
        <v>8</v>
      </c>
      <c r="D1026" t="s">
        <v>3</v>
      </c>
      <c r="E1026" s="1">
        <v>46150</v>
      </c>
      <c r="F1026" t="s">
        <v>431</v>
      </c>
      <c r="G1026" s="1">
        <v>46151</v>
      </c>
      <c r="H1026" s="1" t="str">
        <f t="shared" si="30"/>
        <v>Saturday</v>
      </c>
      <c r="I1026">
        <v>72</v>
      </c>
      <c r="J1026" t="s">
        <v>5</v>
      </c>
      <c r="K1026">
        <v>1</v>
      </c>
      <c r="L1026">
        <v>0</v>
      </c>
      <c r="M1026">
        <v>1</v>
      </c>
      <c r="N1026">
        <v>0</v>
      </c>
      <c r="O1026">
        <v>0</v>
      </c>
      <c r="P1026" t="str">
        <f t="shared" si="31"/>
        <v>Chronic</v>
      </c>
      <c r="Q1026">
        <v>1</v>
      </c>
      <c r="R1026">
        <v>0</v>
      </c>
      <c r="S1026" t="s">
        <v>9</v>
      </c>
    </row>
    <row r="1027" spans="1:19" x14ac:dyDescent="0.3">
      <c r="A1027">
        <v>501026</v>
      </c>
      <c r="B1027">
        <v>58714</v>
      </c>
      <c r="C1027" t="s">
        <v>8</v>
      </c>
      <c r="D1027" t="s">
        <v>28</v>
      </c>
      <c r="E1027" s="1">
        <v>46002</v>
      </c>
      <c r="F1027" t="s">
        <v>220</v>
      </c>
      <c r="G1027" s="1">
        <v>46004</v>
      </c>
      <c r="H1027" s="1" t="str">
        <f t="shared" ref="H1027:H1090" si="32">TEXT(G1027,"dddd")</f>
        <v>Saturday</v>
      </c>
      <c r="I1027">
        <v>46</v>
      </c>
      <c r="J1027" t="s">
        <v>20</v>
      </c>
      <c r="K1027">
        <v>0</v>
      </c>
      <c r="L1027">
        <v>1</v>
      </c>
      <c r="M1027">
        <v>0</v>
      </c>
      <c r="N1027">
        <v>0</v>
      </c>
      <c r="O1027">
        <v>0</v>
      </c>
      <c r="P1027" t="str">
        <f t="shared" ref="P1027:P1090" si="33">IF(OR(L1027=1,M1027=1),"Chronic","Non Chronic")</f>
        <v>Chronic</v>
      </c>
      <c r="Q1027">
        <v>1</v>
      </c>
      <c r="R1027">
        <v>0</v>
      </c>
      <c r="S1027" t="s">
        <v>0</v>
      </c>
    </row>
    <row r="1028" spans="1:19" x14ac:dyDescent="0.3">
      <c r="A1028">
        <v>501027</v>
      </c>
      <c r="B1028">
        <v>40493</v>
      </c>
      <c r="C1028" t="s">
        <v>4</v>
      </c>
      <c r="D1028" t="s">
        <v>3</v>
      </c>
      <c r="E1028" s="1">
        <v>46004</v>
      </c>
      <c r="F1028" t="s">
        <v>430</v>
      </c>
      <c r="G1028" s="1">
        <v>46005</v>
      </c>
      <c r="H1028" s="1" t="str">
        <f t="shared" si="32"/>
        <v>Sunday</v>
      </c>
      <c r="I1028">
        <v>38</v>
      </c>
      <c r="J1028" t="s">
        <v>5</v>
      </c>
      <c r="K1028">
        <v>0</v>
      </c>
      <c r="L1028">
        <v>0</v>
      </c>
      <c r="M1028">
        <v>0</v>
      </c>
      <c r="N1028">
        <v>0</v>
      </c>
      <c r="O1028">
        <v>0</v>
      </c>
      <c r="P1028" t="str">
        <f t="shared" si="33"/>
        <v>Non Chronic</v>
      </c>
      <c r="Q1028">
        <v>1</v>
      </c>
      <c r="R1028">
        <v>0</v>
      </c>
      <c r="S1028" t="s">
        <v>22</v>
      </c>
    </row>
    <row r="1029" spans="1:19" x14ac:dyDescent="0.3">
      <c r="A1029">
        <v>501028</v>
      </c>
      <c r="B1029">
        <v>97994</v>
      </c>
      <c r="C1029" t="s">
        <v>4</v>
      </c>
      <c r="D1029" t="s">
        <v>3</v>
      </c>
      <c r="E1029" s="1">
        <v>46061</v>
      </c>
      <c r="F1029" t="s">
        <v>429</v>
      </c>
      <c r="G1029" s="1">
        <v>46063</v>
      </c>
      <c r="H1029" s="1" t="str">
        <f t="shared" si="32"/>
        <v>Tuesday</v>
      </c>
      <c r="I1029">
        <v>40</v>
      </c>
      <c r="J1029" t="s">
        <v>23</v>
      </c>
      <c r="K1029">
        <v>1</v>
      </c>
      <c r="L1029">
        <v>0</v>
      </c>
      <c r="M1029">
        <v>0</v>
      </c>
      <c r="N1029">
        <v>0</v>
      </c>
      <c r="O1029">
        <v>0</v>
      </c>
      <c r="P1029" t="str">
        <f t="shared" si="33"/>
        <v>Non Chronic</v>
      </c>
      <c r="Q1029">
        <v>1</v>
      </c>
      <c r="R1029">
        <v>0</v>
      </c>
      <c r="S1029" t="s">
        <v>22</v>
      </c>
    </row>
    <row r="1030" spans="1:19" x14ac:dyDescent="0.3">
      <c r="A1030">
        <v>501029</v>
      </c>
      <c r="B1030">
        <v>16133</v>
      </c>
      <c r="C1030" t="s">
        <v>8</v>
      </c>
      <c r="D1030" t="s">
        <v>3</v>
      </c>
      <c r="E1030" s="1">
        <v>46135</v>
      </c>
      <c r="F1030" t="s">
        <v>428</v>
      </c>
      <c r="G1030" s="1">
        <v>46137</v>
      </c>
      <c r="H1030" s="1" t="str">
        <f t="shared" si="32"/>
        <v>Saturday</v>
      </c>
      <c r="I1030">
        <v>50</v>
      </c>
      <c r="J1030" t="s">
        <v>15</v>
      </c>
      <c r="K1030">
        <v>0</v>
      </c>
      <c r="L1030">
        <v>0</v>
      </c>
      <c r="M1030">
        <v>0</v>
      </c>
      <c r="N1030">
        <v>0</v>
      </c>
      <c r="O1030">
        <v>0</v>
      </c>
      <c r="P1030" t="str">
        <f t="shared" si="33"/>
        <v>Non Chronic</v>
      </c>
      <c r="Q1030">
        <v>1</v>
      </c>
      <c r="R1030">
        <v>1</v>
      </c>
      <c r="S1030" t="s">
        <v>0</v>
      </c>
    </row>
    <row r="1031" spans="1:19" x14ac:dyDescent="0.3">
      <c r="A1031">
        <v>501030</v>
      </c>
      <c r="B1031">
        <v>85465</v>
      </c>
      <c r="C1031" t="s">
        <v>4</v>
      </c>
      <c r="D1031" t="s">
        <v>7</v>
      </c>
      <c r="E1031" s="1">
        <v>46057</v>
      </c>
      <c r="F1031" t="s">
        <v>427</v>
      </c>
      <c r="G1031" s="1">
        <v>46058</v>
      </c>
      <c r="H1031" s="1" t="str">
        <f t="shared" si="32"/>
        <v>Thursday</v>
      </c>
      <c r="I1031">
        <v>17</v>
      </c>
      <c r="J1031" t="s">
        <v>5</v>
      </c>
      <c r="K1031">
        <v>0</v>
      </c>
      <c r="L1031">
        <v>0</v>
      </c>
      <c r="M1031">
        <v>0</v>
      </c>
      <c r="N1031">
        <v>0</v>
      </c>
      <c r="O1031">
        <v>0</v>
      </c>
      <c r="P1031" t="str">
        <f t="shared" si="33"/>
        <v>Non Chronic</v>
      </c>
      <c r="Q1031">
        <v>0</v>
      </c>
      <c r="R1031">
        <v>1</v>
      </c>
      <c r="S1031" t="s">
        <v>30</v>
      </c>
    </row>
    <row r="1032" spans="1:19" x14ac:dyDescent="0.3">
      <c r="A1032">
        <v>501031</v>
      </c>
      <c r="B1032">
        <v>79922</v>
      </c>
      <c r="C1032" t="s">
        <v>4</v>
      </c>
      <c r="D1032" t="s">
        <v>19</v>
      </c>
      <c r="E1032" s="1">
        <v>46086</v>
      </c>
      <c r="F1032" t="s">
        <v>426</v>
      </c>
      <c r="G1032" s="1">
        <v>46101</v>
      </c>
      <c r="H1032" s="1" t="str">
        <f t="shared" si="32"/>
        <v>Friday</v>
      </c>
      <c r="I1032">
        <v>32</v>
      </c>
      <c r="J1032" t="s">
        <v>17</v>
      </c>
      <c r="K1032">
        <v>0</v>
      </c>
      <c r="L1032">
        <v>0</v>
      </c>
      <c r="M1032">
        <v>0</v>
      </c>
      <c r="N1032">
        <v>0</v>
      </c>
      <c r="O1032">
        <v>0</v>
      </c>
      <c r="P1032" t="str">
        <f t="shared" si="33"/>
        <v>Non Chronic</v>
      </c>
      <c r="Q1032">
        <v>1</v>
      </c>
      <c r="R1032">
        <v>0</v>
      </c>
      <c r="S1032" t="s">
        <v>22</v>
      </c>
    </row>
    <row r="1033" spans="1:19" x14ac:dyDescent="0.3">
      <c r="A1033">
        <v>501032</v>
      </c>
      <c r="B1033">
        <v>51574</v>
      </c>
      <c r="C1033" t="s">
        <v>8</v>
      </c>
      <c r="D1033" t="s">
        <v>3</v>
      </c>
      <c r="E1033" s="1">
        <v>45987</v>
      </c>
      <c r="F1033" t="s">
        <v>425</v>
      </c>
      <c r="G1033" s="1">
        <v>45992</v>
      </c>
      <c r="H1033" s="1" t="str">
        <f t="shared" si="32"/>
        <v>Monday</v>
      </c>
      <c r="I1033">
        <v>4</v>
      </c>
      <c r="J1033" t="s">
        <v>15</v>
      </c>
      <c r="K1033">
        <v>0</v>
      </c>
      <c r="L1033">
        <v>0</v>
      </c>
      <c r="M1033">
        <v>0</v>
      </c>
      <c r="N1033">
        <v>0</v>
      </c>
      <c r="O1033">
        <v>0</v>
      </c>
      <c r="P1033" t="str">
        <f t="shared" si="33"/>
        <v>Non Chronic</v>
      </c>
      <c r="Q1033">
        <v>1</v>
      </c>
      <c r="R1033">
        <v>0</v>
      </c>
      <c r="S1033" t="s">
        <v>30</v>
      </c>
    </row>
    <row r="1034" spans="1:19" x14ac:dyDescent="0.3">
      <c r="A1034">
        <v>501033</v>
      </c>
      <c r="B1034">
        <v>61554</v>
      </c>
      <c r="C1034" t="s">
        <v>8</v>
      </c>
      <c r="D1034" t="s">
        <v>7</v>
      </c>
      <c r="E1034" s="1">
        <v>46144</v>
      </c>
      <c r="F1034" t="s">
        <v>424</v>
      </c>
      <c r="G1034" s="1">
        <v>46145</v>
      </c>
      <c r="H1034" s="1" t="str">
        <f t="shared" si="32"/>
        <v>Sunday</v>
      </c>
      <c r="I1034">
        <v>45</v>
      </c>
      <c r="J1034" t="s">
        <v>10</v>
      </c>
      <c r="K1034">
        <v>0</v>
      </c>
      <c r="L1034">
        <v>0</v>
      </c>
      <c r="M1034">
        <v>0</v>
      </c>
      <c r="N1034">
        <v>0</v>
      </c>
      <c r="O1034">
        <v>0</v>
      </c>
      <c r="P1034" t="str">
        <f t="shared" si="33"/>
        <v>Non Chronic</v>
      </c>
      <c r="Q1034">
        <v>1</v>
      </c>
      <c r="R1034">
        <v>0</v>
      </c>
      <c r="S1034" t="s">
        <v>0</v>
      </c>
    </row>
    <row r="1035" spans="1:19" x14ac:dyDescent="0.3">
      <c r="A1035">
        <v>501034</v>
      </c>
      <c r="B1035">
        <v>28184</v>
      </c>
      <c r="C1035" t="s">
        <v>4</v>
      </c>
      <c r="D1035" t="s">
        <v>19</v>
      </c>
      <c r="E1035" s="1">
        <v>46090</v>
      </c>
      <c r="F1035" t="s">
        <v>114</v>
      </c>
      <c r="G1035" s="1">
        <v>46093</v>
      </c>
      <c r="H1035" s="1" t="str">
        <f t="shared" si="32"/>
        <v>Thursday</v>
      </c>
      <c r="I1035">
        <v>50</v>
      </c>
      <c r="J1035" t="s">
        <v>23</v>
      </c>
      <c r="K1035">
        <v>0</v>
      </c>
      <c r="L1035">
        <v>1</v>
      </c>
      <c r="M1035">
        <v>1</v>
      </c>
      <c r="N1035">
        <v>0</v>
      </c>
      <c r="O1035">
        <v>0</v>
      </c>
      <c r="P1035" t="str">
        <f t="shared" si="33"/>
        <v>Chronic</v>
      </c>
      <c r="Q1035">
        <v>0</v>
      </c>
      <c r="R1035">
        <v>0</v>
      </c>
      <c r="S1035" t="s">
        <v>0</v>
      </c>
    </row>
    <row r="1036" spans="1:19" x14ac:dyDescent="0.3">
      <c r="A1036">
        <v>501035</v>
      </c>
      <c r="B1036">
        <v>16880</v>
      </c>
      <c r="C1036" t="s">
        <v>8</v>
      </c>
      <c r="D1036" t="s">
        <v>36</v>
      </c>
      <c r="E1036" s="1">
        <v>46065</v>
      </c>
      <c r="F1036" t="s">
        <v>423</v>
      </c>
      <c r="G1036" s="1">
        <v>46065</v>
      </c>
      <c r="H1036" s="1" t="str">
        <f t="shared" si="32"/>
        <v>Thursday</v>
      </c>
      <c r="I1036">
        <v>28</v>
      </c>
      <c r="J1036" t="s">
        <v>15</v>
      </c>
      <c r="K1036">
        <v>0</v>
      </c>
      <c r="L1036">
        <v>0</v>
      </c>
      <c r="M1036">
        <v>0</v>
      </c>
      <c r="N1036">
        <v>0</v>
      </c>
      <c r="O1036">
        <v>0</v>
      </c>
      <c r="P1036" t="str">
        <f t="shared" si="33"/>
        <v>Non Chronic</v>
      </c>
      <c r="Q1036">
        <v>1</v>
      </c>
      <c r="R1036">
        <v>0</v>
      </c>
      <c r="S1036" t="s">
        <v>22</v>
      </c>
    </row>
    <row r="1037" spans="1:19" x14ac:dyDescent="0.3">
      <c r="A1037">
        <v>501036</v>
      </c>
      <c r="B1037">
        <v>59749</v>
      </c>
      <c r="C1037" t="s">
        <v>8</v>
      </c>
      <c r="D1037" t="s">
        <v>28</v>
      </c>
      <c r="E1037" s="1">
        <v>46111</v>
      </c>
      <c r="F1037" t="s">
        <v>422</v>
      </c>
      <c r="G1037" s="1">
        <v>46126</v>
      </c>
      <c r="H1037" s="1" t="str">
        <f t="shared" si="32"/>
        <v>Tuesday</v>
      </c>
      <c r="I1037">
        <v>69</v>
      </c>
      <c r="J1037" t="s">
        <v>31</v>
      </c>
      <c r="K1037">
        <v>1</v>
      </c>
      <c r="L1037">
        <v>1</v>
      </c>
      <c r="M1037">
        <v>0</v>
      </c>
      <c r="N1037">
        <v>0</v>
      </c>
      <c r="O1037">
        <v>0</v>
      </c>
      <c r="P1037" t="str">
        <f t="shared" si="33"/>
        <v>Chronic</v>
      </c>
      <c r="Q1037">
        <v>0</v>
      </c>
      <c r="R1037">
        <v>0</v>
      </c>
      <c r="S1037" t="s">
        <v>9</v>
      </c>
    </row>
    <row r="1038" spans="1:19" x14ac:dyDescent="0.3">
      <c r="A1038">
        <v>501037</v>
      </c>
      <c r="B1038">
        <v>97586</v>
      </c>
      <c r="C1038" t="s">
        <v>4</v>
      </c>
      <c r="D1038" t="s">
        <v>14</v>
      </c>
      <c r="E1038" s="1">
        <v>46148</v>
      </c>
      <c r="F1038" t="s">
        <v>421</v>
      </c>
      <c r="G1038" s="1">
        <v>46153</v>
      </c>
      <c r="H1038" s="1" t="str">
        <f t="shared" si="32"/>
        <v>Monday</v>
      </c>
      <c r="I1038">
        <v>13</v>
      </c>
      <c r="J1038" t="s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 t="str">
        <f t="shared" si="33"/>
        <v>Non Chronic</v>
      </c>
      <c r="Q1038">
        <v>1</v>
      </c>
      <c r="R1038">
        <v>0</v>
      </c>
      <c r="S1038" t="s">
        <v>30</v>
      </c>
    </row>
    <row r="1039" spans="1:19" x14ac:dyDescent="0.3">
      <c r="A1039">
        <v>501038</v>
      </c>
      <c r="B1039">
        <v>73269</v>
      </c>
      <c r="C1039" t="s">
        <v>4</v>
      </c>
      <c r="D1039" t="s">
        <v>58</v>
      </c>
      <c r="E1039" s="1">
        <v>46078</v>
      </c>
      <c r="F1039" t="s">
        <v>420</v>
      </c>
      <c r="G1039" s="1">
        <v>46088</v>
      </c>
      <c r="H1039" s="1" t="str">
        <f t="shared" si="32"/>
        <v>Saturday</v>
      </c>
      <c r="I1039">
        <v>8</v>
      </c>
      <c r="J1039" t="s">
        <v>5</v>
      </c>
      <c r="K1039">
        <v>0</v>
      </c>
      <c r="L1039">
        <v>0</v>
      </c>
      <c r="M1039">
        <v>0</v>
      </c>
      <c r="N1039">
        <v>0</v>
      </c>
      <c r="O1039">
        <v>0</v>
      </c>
      <c r="P1039" t="str">
        <f t="shared" si="33"/>
        <v>Non Chronic</v>
      </c>
      <c r="Q1039">
        <v>1</v>
      </c>
      <c r="R1039">
        <v>0</v>
      </c>
      <c r="S1039" t="s">
        <v>30</v>
      </c>
    </row>
    <row r="1040" spans="1:19" x14ac:dyDescent="0.3">
      <c r="A1040">
        <v>501039</v>
      </c>
      <c r="B1040">
        <v>41768</v>
      </c>
      <c r="C1040" t="s">
        <v>4</v>
      </c>
      <c r="D1040" t="s">
        <v>58</v>
      </c>
      <c r="E1040" s="1">
        <v>46022</v>
      </c>
      <c r="F1040" t="s">
        <v>419</v>
      </c>
      <c r="G1040" s="1">
        <v>46024</v>
      </c>
      <c r="H1040" s="1" t="str">
        <f t="shared" si="32"/>
        <v>Friday</v>
      </c>
      <c r="I1040">
        <v>42</v>
      </c>
      <c r="J1040" t="s">
        <v>15</v>
      </c>
      <c r="K1040">
        <v>1</v>
      </c>
      <c r="L1040">
        <v>0</v>
      </c>
      <c r="M1040">
        <v>1</v>
      </c>
      <c r="N1040">
        <v>1</v>
      </c>
      <c r="O1040">
        <v>0</v>
      </c>
      <c r="P1040" t="str">
        <f t="shared" si="33"/>
        <v>Chronic</v>
      </c>
      <c r="Q1040">
        <v>0</v>
      </c>
      <c r="R1040">
        <v>1</v>
      </c>
      <c r="S1040" t="s">
        <v>0</v>
      </c>
    </row>
    <row r="1041" spans="1:19" x14ac:dyDescent="0.3">
      <c r="A1041">
        <v>501040</v>
      </c>
      <c r="B1041">
        <v>23701</v>
      </c>
      <c r="C1041" t="s">
        <v>8</v>
      </c>
      <c r="D1041" t="s">
        <v>14</v>
      </c>
      <c r="E1041" s="1">
        <v>46065</v>
      </c>
      <c r="F1041" t="s">
        <v>418</v>
      </c>
      <c r="G1041" s="1">
        <v>46070</v>
      </c>
      <c r="H1041" s="1" t="str">
        <f t="shared" si="32"/>
        <v>Tuesday</v>
      </c>
      <c r="I1041">
        <v>58</v>
      </c>
      <c r="J1041" t="s">
        <v>1</v>
      </c>
      <c r="K1041">
        <v>1</v>
      </c>
      <c r="L1041">
        <v>0</v>
      </c>
      <c r="M1041">
        <v>0</v>
      </c>
      <c r="N1041">
        <v>0</v>
      </c>
      <c r="O1041">
        <v>0</v>
      </c>
      <c r="P1041" t="str">
        <f t="shared" si="33"/>
        <v>Non Chronic</v>
      </c>
      <c r="Q1041">
        <v>0</v>
      </c>
      <c r="R1041">
        <v>1</v>
      </c>
      <c r="S1041" t="s">
        <v>0</v>
      </c>
    </row>
    <row r="1042" spans="1:19" x14ac:dyDescent="0.3">
      <c r="A1042">
        <v>501041</v>
      </c>
      <c r="B1042">
        <v>57663</v>
      </c>
      <c r="C1042" t="s">
        <v>8</v>
      </c>
      <c r="D1042" t="s">
        <v>7</v>
      </c>
      <c r="E1042" s="1">
        <v>46014</v>
      </c>
      <c r="F1042" t="s">
        <v>251</v>
      </c>
      <c r="G1042" s="1">
        <v>46016</v>
      </c>
      <c r="H1042" s="1" t="str">
        <f t="shared" si="32"/>
        <v>Thursday</v>
      </c>
      <c r="I1042">
        <v>71</v>
      </c>
      <c r="J1042" t="s">
        <v>1</v>
      </c>
      <c r="K1042">
        <v>0</v>
      </c>
      <c r="L1042">
        <v>0</v>
      </c>
      <c r="M1042">
        <v>1</v>
      </c>
      <c r="N1042">
        <v>0</v>
      </c>
      <c r="O1042">
        <v>0</v>
      </c>
      <c r="P1042" t="str">
        <f t="shared" si="33"/>
        <v>Chronic</v>
      </c>
      <c r="Q1042">
        <v>0</v>
      </c>
      <c r="R1042">
        <v>0</v>
      </c>
      <c r="S1042" t="s">
        <v>9</v>
      </c>
    </row>
    <row r="1043" spans="1:19" x14ac:dyDescent="0.3">
      <c r="A1043">
        <v>501042</v>
      </c>
      <c r="B1043">
        <v>29305</v>
      </c>
      <c r="C1043" t="s">
        <v>8</v>
      </c>
      <c r="D1043" t="s">
        <v>58</v>
      </c>
      <c r="E1043" s="1">
        <v>46107</v>
      </c>
      <c r="F1043" t="s">
        <v>235</v>
      </c>
      <c r="G1043" s="1">
        <v>46112</v>
      </c>
      <c r="H1043" s="1" t="str">
        <f t="shared" si="32"/>
        <v>Tuesday</v>
      </c>
      <c r="I1043">
        <v>28</v>
      </c>
      <c r="J1043" t="s">
        <v>15</v>
      </c>
      <c r="K1043">
        <v>0</v>
      </c>
      <c r="L1043">
        <v>0</v>
      </c>
      <c r="M1043">
        <v>0</v>
      </c>
      <c r="N1043">
        <v>1</v>
      </c>
      <c r="O1043">
        <v>0</v>
      </c>
      <c r="P1043" t="str">
        <f t="shared" si="33"/>
        <v>Non Chronic</v>
      </c>
      <c r="Q1043">
        <v>1</v>
      </c>
      <c r="R1043">
        <v>0</v>
      </c>
      <c r="S1043" t="s">
        <v>22</v>
      </c>
    </row>
    <row r="1044" spans="1:19" x14ac:dyDescent="0.3">
      <c r="A1044">
        <v>501043</v>
      </c>
      <c r="B1044">
        <v>79584</v>
      </c>
      <c r="C1044" t="s">
        <v>8</v>
      </c>
      <c r="D1044" t="s">
        <v>19</v>
      </c>
      <c r="E1044" s="1">
        <v>46098</v>
      </c>
      <c r="F1044" t="s">
        <v>417</v>
      </c>
      <c r="G1044" s="1">
        <v>46103</v>
      </c>
      <c r="H1044" s="1" t="str">
        <f t="shared" si="32"/>
        <v>Sunday</v>
      </c>
      <c r="I1044">
        <v>59</v>
      </c>
      <c r="J1044" t="s">
        <v>5</v>
      </c>
      <c r="K1044">
        <v>0</v>
      </c>
      <c r="L1044">
        <v>0</v>
      </c>
      <c r="M1044">
        <v>1</v>
      </c>
      <c r="N1044">
        <v>0</v>
      </c>
      <c r="O1044">
        <v>0</v>
      </c>
      <c r="P1044" t="str">
        <f t="shared" si="33"/>
        <v>Chronic</v>
      </c>
      <c r="Q1044">
        <v>1</v>
      </c>
      <c r="R1044">
        <v>1</v>
      </c>
      <c r="S1044" t="s">
        <v>0</v>
      </c>
    </row>
    <row r="1045" spans="1:19" x14ac:dyDescent="0.3">
      <c r="A1045">
        <v>501044</v>
      </c>
      <c r="B1045">
        <v>45728</v>
      </c>
      <c r="C1045" t="s">
        <v>8</v>
      </c>
      <c r="D1045" t="s">
        <v>58</v>
      </c>
      <c r="E1045" s="1">
        <v>46076</v>
      </c>
      <c r="F1045" t="s">
        <v>416</v>
      </c>
      <c r="G1045" s="1">
        <v>46079</v>
      </c>
      <c r="H1045" s="1" t="str">
        <f t="shared" si="32"/>
        <v>Thursday</v>
      </c>
      <c r="I1045">
        <v>37</v>
      </c>
      <c r="J1045" t="s">
        <v>17</v>
      </c>
      <c r="K1045">
        <v>1</v>
      </c>
      <c r="L1045">
        <v>0</v>
      </c>
      <c r="M1045">
        <v>0</v>
      </c>
      <c r="N1045">
        <v>0</v>
      </c>
      <c r="O1045">
        <v>0</v>
      </c>
      <c r="P1045" t="str">
        <f t="shared" si="33"/>
        <v>Non Chronic</v>
      </c>
      <c r="Q1045">
        <v>1</v>
      </c>
      <c r="R1045">
        <v>0</v>
      </c>
      <c r="S1045" t="s">
        <v>22</v>
      </c>
    </row>
    <row r="1046" spans="1:19" x14ac:dyDescent="0.3">
      <c r="A1046">
        <v>501045</v>
      </c>
      <c r="B1046">
        <v>87863</v>
      </c>
      <c r="C1046" t="s">
        <v>8</v>
      </c>
      <c r="D1046" t="s">
        <v>7</v>
      </c>
      <c r="E1046" s="1">
        <v>46085</v>
      </c>
      <c r="F1046" t="s">
        <v>415</v>
      </c>
      <c r="G1046" s="1">
        <v>46085</v>
      </c>
      <c r="H1046" s="1" t="str">
        <f t="shared" si="32"/>
        <v>Wednesday</v>
      </c>
      <c r="I1046">
        <v>34</v>
      </c>
      <c r="J1046" t="s">
        <v>12</v>
      </c>
      <c r="K1046">
        <v>1</v>
      </c>
      <c r="L1046">
        <v>0</v>
      </c>
      <c r="M1046">
        <v>0</v>
      </c>
      <c r="N1046">
        <v>0</v>
      </c>
      <c r="O1046">
        <v>0</v>
      </c>
      <c r="P1046" t="str">
        <f t="shared" si="33"/>
        <v>Non Chronic</v>
      </c>
      <c r="Q1046">
        <v>1</v>
      </c>
      <c r="R1046">
        <v>1</v>
      </c>
      <c r="S1046" t="s">
        <v>22</v>
      </c>
    </row>
    <row r="1047" spans="1:19" x14ac:dyDescent="0.3">
      <c r="A1047">
        <v>501046</v>
      </c>
      <c r="B1047">
        <v>25097</v>
      </c>
      <c r="C1047" t="s">
        <v>4</v>
      </c>
      <c r="D1047" t="s">
        <v>36</v>
      </c>
      <c r="E1047" s="1">
        <v>46156</v>
      </c>
      <c r="F1047" t="s">
        <v>414</v>
      </c>
      <c r="G1047" s="1">
        <v>46176</v>
      </c>
      <c r="H1047" s="1" t="str">
        <f t="shared" si="32"/>
        <v>Wednesday</v>
      </c>
      <c r="I1047">
        <v>55</v>
      </c>
      <c r="J1047" t="s">
        <v>1</v>
      </c>
      <c r="K1047">
        <v>1</v>
      </c>
      <c r="L1047">
        <v>1</v>
      </c>
      <c r="M1047">
        <v>0</v>
      </c>
      <c r="N1047">
        <v>0</v>
      </c>
      <c r="O1047">
        <v>0</v>
      </c>
      <c r="P1047" t="str">
        <f t="shared" si="33"/>
        <v>Chronic</v>
      </c>
      <c r="Q1047">
        <v>1</v>
      </c>
      <c r="R1047">
        <v>0</v>
      </c>
      <c r="S1047" t="s">
        <v>0</v>
      </c>
    </row>
    <row r="1048" spans="1:19" x14ac:dyDescent="0.3">
      <c r="A1048">
        <v>501047</v>
      </c>
      <c r="B1048">
        <v>61496</v>
      </c>
      <c r="C1048" t="s">
        <v>4</v>
      </c>
      <c r="D1048" t="s">
        <v>14</v>
      </c>
      <c r="E1048" s="1">
        <v>46135</v>
      </c>
      <c r="F1048" t="s">
        <v>413</v>
      </c>
      <c r="G1048" s="1">
        <v>46137</v>
      </c>
      <c r="H1048" s="1" t="str">
        <f t="shared" si="32"/>
        <v>Saturday</v>
      </c>
      <c r="I1048">
        <v>51</v>
      </c>
      <c r="J1048" t="s">
        <v>5</v>
      </c>
      <c r="K1048">
        <v>1</v>
      </c>
      <c r="L1048">
        <v>1</v>
      </c>
      <c r="M1048">
        <v>0</v>
      </c>
      <c r="N1048">
        <v>0</v>
      </c>
      <c r="O1048">
        <v>0</v>
      </c>
      <c r="P1048" t="str">
        <f t="shared" si="33"/>
        <v>Chronic</v>
      </c>
      <c r="Q1048">
        <v>1</v>
      </c>
      <c r="R1048">
        <v>0</v>
      </c>
      <c r="S1048" t="s">
        <v>0</v>
      </c>
    </row>
    <row r="1049" spans="1:19" x14ac:dyDescent="0.3">
      <c r="A1049">
        <v>501048</v>
      </c>
      <c r="B1049">
        <v>22352</v>
      </c>
      <c r="C1049" t="s">
        <v>4</v>
      </c>
      <c r="D1049" t="s">
        <v>7</v>
      </c>
      <c r="E1049" s="1">
        <v>46091</v>
      </c>
      <c r="F1049" t="s">
        <v>230</v>
      </c>
      <c r="G1049" s="1">
        <v>46106</v>
      </c>
      <c r="H1049" s="1" t="str">
        <f t="shared" si="32"/>
        <v>Wednesday</v>
      </c>
      <c r="I1049">
        <v>6</v>
      </c>
      <c r="J1049" t="s">
        <v>5</v>
      </c>
      <c r="K1049">
        <v>0</v>
      </c>
      <c r="L1049">
        <v>0</v>
      </c>
      <c r="M1049">
        <v>0</v>
      </c>
      <c r="N1049">
        <v>0</v>
      </c>
      <c r="O1049">
        <v>0</v>
      </c>
      <c r="P1049" t="str">
        <f t="shared" si="33"/>
        <v>Non Chronic</v>
      </c>
      <c r="Q1049">
        <v>1</v>
      </c>
      <c r="R1049">
        <v>1</v>
      </c>
      <c r="S1049" t="s">
        <v>30</v>
      </c>
    </row>
    <row r="1050" spans="1:19" x14ac:dyDescent="0.3">
      <c r="A1050">
        <v>501049</v>
      </c>
      <c r="B1050">
        <v>99318</v>
      </c>
      <c r="C1050" t="s">
        <v>4</v>
      </c>
      <c r="D1050" t="s">
        <v>28</v>
      </c>
      <c r="E1050" s="1">
        <v>46040</v>
      </c>
      <c r="F1050" t="s">
        <v>412</v>
      </c>
      <c r="G1050" s="1">
        <v>46043</v>
      </c>
      <c r="H1050" s="1" t="str">
        <f t="shared" si="32"/>
        <v>Wednesday</v>
      </c>
      <c r="I1050">
        <v>67</v>
      </c>
      <c r="J1050" t="s">
        <v>31</v>
      </c>
      <c r="K1050">
        <v>1</v>
      </c>
      <c r="L1050">
        <v>0</v>
      </c>
      <c r="M1050">
        <v>1</v>
      </c>
      <c r="N1050">
        <v>1</v>
      </c>
      <c r="O1050">
        <v>0</v>
      </c>
      <c r="P1050" t="str">
        <f t="shared" si="33"/>
        <v>Chronic</v>
      </c>
      <c r="Q1050">
        <v>1</v>
      </c>
      <c r="R1050">
        <v>1</v>
      </c>
      <c r="S1050" t="s">
        <v>9</v>
      </c>
    </row>
    <row r="1051" spans="1:19" x14ac:dyDescent="0.3">
      <c r="A1051">
        <v>501050</v>
      </c>
      <c r="B1051">
        <v>20089</v>
      </c>
      <c r="C1051" t="s">
        <v>4</v>
      </c>
      <c r="D1051" t="s">
        <v>36</v>
      </c>
      <c r="E1051" s="1">
        <v>46128</v>
      </c>
      <c r="F1051" t="s">
        <v>411</v>
      </c>
      <c r="G1051" s="1">
        <v>46129</v>
      </c>
      <c r="H1051" s="1" t="str">
        <f t="shared" si="32"/>
        <v>Friday</v>
      </c>
      <c r="I1051">
        <v>65</v>
      </c>
      <c r="J1051" t="s">
        <v>1</v>
      </c>
      <c r="K1051">
        <v>1</v>
      </c>
      <c r="L1051">
        <v>0</v>
      </c>
      <c r="M1051">
        <v>0</v>
      </c>
      <c r="N1051">
        <v>0</v>
      </c>
      <c r="O1051">
        <v>0</v>
      </c>
      <c r="P1051" t="str">
        <f t="shared" si="33"/>
        <v>Non Chronic</v>
      </c>
      <c r="Q1051">
        <v>0</v>
      </c>
      <c r="R1051">
        <v>0</v>
      </c>
      <c r="S1051" t="s">
        <v>9</v>
      </c>
    </row>
    <row r="1052" spans="1:19" x14ac:dyDescent="0.3">
      <c r="A1052">
        <v>501051</v>
      </c>
      <c r="B1052">
        <v>48097</v>
      </c>
      <c r="C1052" t="s">
        <v>4</v>
      </c>
      <c r="D1052" t="s">
        <v>28</v>
      </c>
      <c r="E1052" s="1">
        <v>46091</v>
      </c>
      <c r="F1052" t="s">
        <v>150</v>
      </c>
      <c r="G1052" s="1">
        <v>46106</v>
      </c>
      <c r="H1052" s="1" t="str">
        <f t="shared" si="32"/>
        <v>Wednesday</v>
      </c>
      <c r="I1052">
        <v>25</v>
      </c>
      <c r="J1052" t="s">
        <v>31</v>
      </c>
      <c r="K1052">
        <v>0</v>
      </c>
      <c r="L1052">
        <v>0</v>
      </c>
      <c r="M1052">
        <v>0</v>
      </c>
      <c r="N1052">
        <v>0</v>
      </c>
      <c r="O1052">
        <v>0</v>
      </c>
      <c r="P1052" t="str">
        <f t="shared" si="33"/>
        <v>Non Chronic</v>
      </c>
      <c r="Q1052">
        <v>1</v>
      </c>
      <c r="R1052">
        <v>0</v>
      </c>
      <c r="S1052" t="s">
        <v>22</v>
      </c>
    </row>
    <row r="1053" spans="1:19" x14ac:dyDescent="0.3">
      <c r="A1053">
        <v>501052</v>
      </c>
      <c r="B1053">
        <v>55977</v>
      </c>
      <c r="C1053" t="s">
        <v>8</v>
      </c>
      <c r="D1053" t="s">
        <v>7</v>
      </c>
      <c r="E1053" s="1">
        <v>46037</v>
      </c>
      <c r="F1053" t="s">
        <v>410</v>
      </c>
      <c r="G1053" s="1">
        <v>46039</v>
      </c>
      <c r="H1053" s="1" t="str">
        <f t="shared" si="32"/>
        <v>Saturday</v>
      </c>
      <c r="I1053">
        <v>45</v>
      </c>
      <c r="J1053" t="s">
        <v>5</v>
      </c>
      <c r="K1053">
        <v>1</v>
      </c>
      <c r="L1053">
        <v>0</v>
      </c>
      <c r="M1053">
        <v>0</v>
      </c>
      <c r="N1053">
        <v>0</v>
      </c>
      <c r="O1053">
        <v>0</v>
      </c>
      <c r="P1053" t="str">
        <f t="shared" si="33"/>
        <v>Non Chronic</v>
      </c>
      <c r="Q1053">
        <v>1</v>
      </c>
      <c r="R1053">
        <v>0</v>
      </c>
      <c r="S1053" t="s">
        <v>0</v>
      </c>
    </row>
    <row r="1054" spans="1:19" x14ac:dyDescent="0.3">
      <c r="A1054">
        <v>501053</v>
      </c>
      <c r="B1054">
        <v>97023</v>
      </c>
      <c r="C1054" t="s">
        <v>8</v>
      </c>
      <c r="D1054" t="s">
        <v>58</v>
      </c>
      <c r="E1054" s="1">
        <v>46031</v>
      </c>
      <c r="F1054" t="s">
        <v>409</v>
      </c>
      <c r="G1054" s="1">
        <v>46061</v>
      </c>
      <c r="H1054" s="1" t="str">
        <f t="shared" si="32"/>
        <v>Sunday</v>
      </c>
      <c r="I1054">
        <v>47</v>
      </c>
      <c r="J1054" t="s">
        <v>5</v>
      </c>
      <c r="K1054">
        <v>0</v>
      </c>
      <c r="L1054">
        <v>1</v>
      </c>
      <c r="M1054">
        <v>0</v>
      </c>
      <c r="N1054">
        <v>0</v>
      </c>
      <c r="O1054">
        <v>0</v>
      </c>
      <c r="P1054" t="str">
        <f t="shared" si="33"/>
        <v>Chronic</v>
      </c>
      <c r="Q1054">
        <v>1</v>
      </c>
      <c r="R1054">
        <v>1</v>
      </c>
      <c r="S1054" t="s">
        <v>0</v>
      </c>
    </row>
    <row r="1055" spans="1:19" x14ac:dyDescent="0.3">
      <c r="A1055">
        <v>501054</v>
      </c>
      <c r="B1055">
        <v>85705</v>
      </c>
      <c r="C1055" t="s">
        <v>8</v>
      </c>
      <c r="D1055" t="s">
        <v>19</v>
      </c>
      <c r="E1055" s="1">
        <v>46086</v>
      </c>
      <c r="F1055" t="s">
        <v>408</v>
      </c>
      <c r="G1055" s="1">
        <v>46093</v>
      </c>
      <c r="H1055" s="1" t="str">
        <f t="shared" si="32"/>
        <v>Thursday</v>
      </c>
      <c r="I1055">
        <v>43</v>
      </c>
      <c r="J1055" t="s">
        <v>45</v>
      </c>
      <c r="K1055">
        <v>0</v>
      </c>
      <c r="L1055">
        <v>0</v>
      </c>
      <c r="M1055">
        <v>1</v>
      </c>
      <c r="N1055">
        <v>0</v>
      </c>
      <c r="O1055">
        <v>0</v>
      </c>
      <c r="P1055" t="str">
        <f t="shared" si="33"/>
        <v>Chronic</v>
      </c>
      <c r="Q1055">
        <v>0</v>
      </c>
      <c r="R1055">
        <v>0</v>
      </c>
      <c r="S1055" t="s">
        <v>0</v>
      </c>
    </row>
    <row r="1056" spans="1:19" x14ac:dyDescent="0.3">
      <c r="A1056">
        <v>501055</v>
      </c>
      <c r="B1056">
        <v>98971</v>
      </c>
      <c r="C1056" t="s">
        <v>8</v>
      </c>
      <c r="D1056" t="s">
        <v>28</v>
      </c>
      <c r="E1056" s="1">
        <v>46028</v>
      </c>
      <c r="F1056" t="s">
        <v>407</v>
      </c>
      <c r="G1056" s="1">
        <v>46031</v>
      </c>
      <c r="H1056" s="1" t="str">
        <f t="shared" si="32"/>
        <v>Friday</v>
      </c>
      <c r="I1056">
        <v>26</v>
      </c>
      <c r="J1056" t="s">
        <v>5</v>
      </c>
      <c r="K1056">
        <v>1</v>
      </c>
      <c r="L1056">
        <v>0</v>
      </c>
      <c r="M1056">
        <v>0</v>
      </c>
      <c r="N1056">
        <v>0</v>
      </c>
      <c r="O1056">
        <v>0</v>
      </c>
      <c r="P1056" t="str">
        <f t="shared" si="33"/>
        <v>Non Chronic</v>
      </c>
      <c r="Q1056">
        <v>1</v>
      </c>
      <c r="R1056">
        <v>0</v>
      </c>
      <c r="S1056" t="s">
        <v>22</v>
      </c>
    </row>
    <row r="1057" spans="1:19" x14ac:dyDescent="0.3">
      <c r="A1057">
        <v>501056</v>
      </c>
      <c r="B1057">
        <v>50543</v>
      </c>
      <c r="C1057" t="s">
        <v>4</v>
      </c>
      <c r="D1057" t="s">
        <v>36</v>
      </c>
      <c r="E1057" s="1">
        <v>46059</v>
      </c>
      <c r="F1057" t="s">
        <v>406</v>
      </c>
      <c r="G1057" s="1">
        <v>46060</v>
      </c>
      <c r="H1057" s="1" t="str">
        <f t="shared" si="32"/>
        <v>Saturday</v>
      </c>
      <c r="I1057">
        <v>24</v>
      </c>
      <c r="J1057" t="s">
        <v>1</v>
      </c>
      <c r="K1057">
        <v>1</v>
      </c>
      <c r="L1057">
        <v>0</v>
      </c>
      <c r="M1057">
        <v>0</v>
      </c>
      <c r="N1057">
        <v>0</v>
      </c>
      <c r="O1057">
        <v>0</v>
      </c>
      <c r="P1057" t="str">
        <f t="shared" si="33"/>
        <v>Non Chronic</v>
      </c>
      <c r="Q1057">
        <v>0</v>
      </c>
      <c r="R1057">
        <v>0</v>
      </c>
      <c r="S1057" t="s">
        <v>22</v>
      </c>
    </row>
    <row r="1058" spans="1:19" x14ac:dyDescent="0.3">
      <c r="A1058">
        <v>501057</v>
      </c>
      <c r="B1058">
        <v>55481</v>
      </c>
      <c r="C1058" t="s">
        <v>8</v>
      </c>
      <c r="D1058" t="s">
        <v>58</v>
      </c>
      <c r="E1058" s="1">
        <v>46092</v>
      </c>
      <c r="F1058" t="s">
        <v>240</v>
      </c>
      <c r="G1058" s="1">
        <v>46093</v>
      </c>
      <c r="H1058" s="1" t="str">
        <f t="shared" si="32"/>
        <v>Thursday</v>
      </c>
      <c r="I1058">
        <v>37</v>
      </c>
      <c r="J1058" t="s">
        <v>17</v>
      </c>
      <c r="K1058">
        <v>1</v>
      </c>
      <c r="L1058">
        <v>0</v>
      </c>
      <c r="M1058">
        <v>0</v>
      </c>
      <c r="N1058">
        <v>0</v>
      </c>
      <c r="O1058">
        <v>0</v>
      </c>
      <c r="P1058" t="str">
        <f t="shared" si="33"/>
        <v>Non Chronic</v>
      </c>
      <c r="Q1058">
        <v>1</v>
      </c>
      <c r="R1058">
        <v>0</v>
      </c>
      <c r="S1058" t="s">
        <v>22</v>
      </c>
    </row>
    <row r="1059" spans="1:19" x14ac:dyDescent="0.3">
      <c r="A1059">
        <v>501058</v>
      </c>
      <c r="B1059">
        <v>47982</v>
      </c>
      <c r="C1059" t="s">
        <v>4</v>
      </c>
      <c r="D1059" t="s">
        <v>25</v>
      </c>
      <c r="E1059" s="1">
        <v>46110</v>
      </c>
      <c r="F1059" t="s">
        <v>405</v>
      </c>
      <c r="G1059" s="1">
        <v>46125</v>
      </c>
      <c r="H1059" s="1" t="str">
        <f t="shared" si="32"/>
        <v>Monday</v>
      </c>
      <c r="I1059">
        <v>61</v>
      </c>
      <c r="J1059" t="s">
        <v>10</v>
      </c>
      <c r="K1059">
        <v>1</v>
      </c>
      <c r="L1059">
        <v>1</v>
      </c>
      <c r="M1059">
        <v>0</v>
      </c>
      <c r="N1059">
        <v>0</v>
      </c>
      <c r="O1059">
        <v>0</v>
      </c>
      <c r="P1059" t="str">
        <f t="shared" si="33"/>
        <v>Chronic</v>
      </c>
      <c r="Q1059">
        <v>1</v>
      </c>
      <c r="R1059">
        <v>0</v>
      </c>
      <c r="S1059" t="s">
        <v>9</v>
      </c>
    </row>
    <row r="1060" spans="1:19" x14ac:dyDescent="0.3">
      <c r="A1060">
        <v>501059</v>
      </c>
      <c r="B1060">
        <v>10667</v>
      </c>
      <c r="C1060" t="s">
        <v>8</v>
      </c>
      <c r="D1060" t="s">
        <v>19</v>
      </c>
      <c r="E1060" s="1">
        <v>46085</v>
      </c>
      <c r="F1060" t="s">
        <v>404</v>
      </c>
      <c r="G1060" s="1">
        <v>46100</v>
      </c>
      <c r="H1060" s="1" t="str">
        <f t="shared" si="32"/>
        <v>Thursday</v>
      </c>
      <c r="I1060">
        <v>48</v>
      </c>
      <c r="J1060" t="s">
        <v>17</v>
      </c>
      <c r="K1060">
        <v>0</v>
      </c>
      <c r="L1060">
        <v>1</v>
      </c>
      <c r="M1060">
        <v>0</v>
      </c>
      <c r="N1060">
        <v>0</v>
      </c>
      <c r="O1060">
        <v>0</v>
      </c>
      <c r="P1060" t="str">
        <f t="shared" si="33"/>
        <v>Chronic</v>
      </c>
      <c r="Q1060">
        <v>1</v>
      </c>
      <c r="R1060">
        <v>0</v>
      </c>
      <c r="S1060" t="s">
        <v>0</v>
      </c>
    </row>
    <row r="1061" spans="1:19" x14ac:dyDescent="0.3">
      <c r="A1061">
        <v>501060</v>
      </c>
      <c r="B1061">
        <v>30321</v>
      </c>
      <c r="C1061" t="s">
        <v>4</v>
      </c>
      <c r="D1061" t="s">
        <v>25</v>
      </c>
      <c r="E1061" s="1">
        <v>46086</v>
      </c>
      <c r="F1061" t="s">
        <v>299</v>
      </c>
      <c r="G1061" s="1">
        <v>46106</v>
      </c>
      <c r="H1061" s="1" t="str">
        <f t="shared" si="32"/>
        <v>Wednesday</v>
      </c>
      <c r="I1061">
        <v>30</v>
      </c>
      <c r="J1061" t="s">
        <v>31</v>
      </c>
      <c r="K1061">
        <v>0</v>
      </c>
      <c r="L1061">
        <v>0</v>
      </c>
      <c r="M1061">
        <v>0</v>
      </c>
      <c r="N1061">
        <v>0</v>
      </c>
      <c r="O1061">
        <v>0</v>
      </c>
      <c r="P1061" t="str">
        <f t="shared" si="33"/>
        <v>Non Chronic</v>
      </c>
      <c r="Q1061">
        <v>1</v>
      </c>
      <c r="R1061">
        <v>1</v>
      </c>
      <c r="S1061" t="s">
        <v>22</v>
      </c>
    </row>
    <row r="1062" spans="1:19" x14ac:dyDescent="0.3">
      <c r="A1062">
        <v>501061</v>
      </c>
      <c r="B1062">
        <v>56482</v>
      </c>
      <c r="C1062" t="s">
        <v>4</v>
      </c>
      <c r="D1062" t="s">
        <v>3</v>
      </c>
      <c r="E1062" s="1">
        <v>45990</v>
      </c>
      <c r="F1062" t="s">
        <v>403</v>
      </c>
      <c r="G1062" s="1">
        <v>45992</v>
      </c>
      <c r="H1062" s="1" t="str">
        <f t="shared" si="32"/>
        <v>Monday</v>
      </c>
      <c r="I1062">
        <v>53</v>
      </c>
      <c r="J1062" t="s">
        <v>23</v>
      </c>
      <c r="K1062">
        <v>1</v>
      </c>
      <c r="L1062">
        <v>0</v>
      </c>
      <c r="M1062">
        <v>1</v>
      </c>
      <c r="N1062">
        <v>0</v>
      </c>
      <c r="O1062">
        <v>0</v>
      </c>
      <c r="P1062" t="str">
        <f t="shared" si="33"/>
        <v>Chronic</v>
      </c>
      <c r="Q1062">
        <v>1</v>
      </c>
      <c r="R1062">
        <v>0</v>
      </c>
      <c r="S1062" t="s">
        <v>0</v>
      </c>
    </row>
    <row r="1063" spans="1:19" x14ac:dyDescent="0.3">
      <c r="A1063">
        <v>501062</v>
      </c>
      <c r="B1063">
        <v>98987</v>
      </c>
      <c r="C1063" t="s">
        <v>8</v>
      </c>
      <c r="D1063" t="s">
        <v>28</v>
      </c>
      <c r="E1063" s="1">
        <v>46016</v>
      </c>
      <c r="F1063" t="s">
        <v>402</v>
      </c>
      <c r="G1063" s="1">
        <v>46018</v>
      </c>
      <c r="H1063" s="1" t="str">
        <f t="shared" si="32"/>
        <v>Saturday</v>
      </c>
      <c r="I1063">
        <v>0</v>
      </c>
      <c r="J1063" t="s">
        <v>45</v>
      </c>
      <c r="K1063">
        <v>0</v>
      </c>
      <c r="L1063">
        <v>0</v>
      </c>
      <c r="M1063">
        <v>0</v>
      </c>
      <c r="N1063">
        <v>0</v>
      </c>
      <c r="O1063">
        <v>0</v>
      </c>
      <c r="P1063" t="str">
        <f t="shared" si="33"/>
        <v>Non Chronic</v>
      </c>
      <c r="Q1063">
        <v>1</v>
      </c>
      <c r="R1063">
        <v>1</v>
      </c>
      <c r="S1063" t="s">
        <v>30</v>
      </c>
    </row>
    <row r="1064" spans="1:19" x14ac:dyDescent="0.3">
      <c r="A1064">
        <v>501063</v>
      </c>
      <c r="B1064">
        <v>49976</v>
      </c>
      <c r="C1064" t="s">
        <v>4</v>
      </c>
      <c r="D1064" t="s">
        <v>25</v>
      </c>
      <c r="E1064" s="1">
        <v>46051</v>
      </c>
      <c r="F1064" t="s">
        <v>401</v>
      </c>
      <c r="G1064" s="1">
        <v>46052</v>
      </c>
      <c r="H1064" s="1" t="str">
        <f t="shared" si="32"/>
        <v>Friday</v>
      </c>
      <c r="I1064">
        <v>60</v>
      </c>
      <c r="J1064" t="s">
        <v>1</v>
      </c>
      <c r="K1064">
        <v>1</v>
      </c>
      <c r="L1064">
        <v>0</v>
      </c>
      <c r="M1064">
        <v>0</v>
      </c>
      <c r="N1064">
        <v>0</v>
      </c>
      <c r="O1064">
        <v>0</v>
      </c>
      <c r="P1064" t="str">
        <f t="shared" si="33"/>
        <v>Non Chronic</v>
      </c>
      <c r="Q1064">
        <v>1</v>
      </c>
      <c r="R1064">
        <v>0</v>
      </c>
      <c r="S1064" t="s">
        <v>0</v>
      </c>
    </row>
    <row r="1065" spans="1:19" x14ac:dyDescent="0.3">
      <c r="A1065">
        <v>501064</v>
      </c>
      <c r="B1065">
        <v>99805</v>
      </c>
      <c r="C1065" t="s">
        <v>8</v>
      </c>
      <c r="D1065" t="s">
        <v>7</v>
      </c>
      <c r="E1065" s="1">
        <v>46041</v>
      </c>
      <c r="F1065" t="s">
        <v>185</v>
      </c>
      <c r="G1065" s="1">
        <v>46044</v>
      </c>
      <c r="H1065" s="1" t="str">
        <f t="shared" si="32"/>
        <v>Thursday</v>
      </c>
      <c r="I1065">
        <v>3</v>
      </c>
      <c r="J1065" t="s">
        <v>20</v>
      </c>
      <c r="K1065">
        <v>0</v>
      </c>
      <c r="L1065">
        <v>0</v>
      </c>
      <c r="M1065">
        <v>0</v>
      </c>
      <c r="N1065">
        <v>0</v>
      </c>
      <c r="O1065">
        <v>0</v>
      </c>
      <c r="P1065" t="str">
        <f t="shared" si="33"/>
        <v>Non Chronic</v>
      </c>
      <c r="Q1065">
        <v>1</v>
      </c>
      <c r="R1065">
        <v>0</v>
      </c>
      <c r="S1065" t="s">
        <v>30</v>
      </c>
    </row>
    <row r="1066" spans="1:19" x14ac:dyDescent="0.3">
      <c r="A1066">
        <v>501065</v>
      </c>
      <c r="B1066">
        <v>13627</v>
      </c>
      <c r="C1066" t="s">
        <v>4</v>
      </c>
      <c r="D1066" t="s">
        <v>3</v>
      </c>
      <c r="E1066" s="1">
        <v>46021</v>
      </c>
      <c r="F1066" t="s">
        <v>400</v>
      </c>
      <c r="G1066" s="1">
        <v>46023</v>
      </c>
      <c r="H1066" s="1" t="str">
        <f t="shared" si="32"/>
        <v>Thursday</v>
      </c>
      <c r="I1066">
        <v>30</v>
      </c>
      <c r="J1066" t="s">
        <v>15</v>
      </c>
      <c r="K1066">
        <v>0</v>
      </c>
      <c r="L1066">
        <v>0</v>
      </c>
      <c r="M1066">
        <v>0</v>
      </c>
      <c r="N1066">
        <v>0</v>
      </c>
      <c r="O1066">
        <v>0</v>
      </c>
      <c r="P1066" t="str">
        <f t="shared" si="33"/>
        <v>Non Chronic</v>
      </c>
      <c r="Q1066">
        <v>1</v>
      </c>
      <c r="R1066">
        <v>0</v>
      </c>
      <c r="S1066" t="s">
        <v>22</v>
      </c>
    </row>
    <row r="1067" spans="1:19" x14ac:dyDescent="0.3">
      <c r="A1067">
        <v>501066</v>
      </c>
      <c r="B1067">
        <v>26682</v>
      </c>
      <c r="C1067" t="s">
        <v>8</v>
      </c>
      <c r="D1067" t="s">
        <v>36</v>
      </c>
      <c r="E1067" s="1">
        <v>46163</v>
      </c>
      <c r="F1067" t="s">
        <v>399</v>
      </c>
      <c r="G1067" s="1">
        <v>46164</v>
      </c>
      <c r="H1067" s="1" t="str">
        <f t="shared" si="32"/>
        <v>Friday</v>
      </c>
      <c r="I1067">
        <v>15</v>
      </c>
      <c r="J1067" t="s">
        <v>23</v>
      </c>
      <c r="K1067">
        <v>0</v>
      </c>
      <c r="L1067">
        <v>0</v>
      </c>
      <c r="M1067">
        <v>0</v>
      </c>
      <c r="N1067">
        <v>0</v>
      </c>
      <c r="O1067">
        <v>0</v>
      </c>
      <c r="P1067" t="str">
        <f t="shared" si="33"/>
        <v>Non Chronic</v>
      </c>
      <c r="Q1067">
        <v>1</v>
      </c>
      <c r="R1067">
        <v>0</v>
      </c>
      <c r="S1067" t="s">
        <v>30</v>
      </c>
    </row>
    <row r="1068" spans="1:19" x14ac:dyDescent="0.3">
      <c r="A1068">
        <v>501067</v>
      </c>
      <c r="B1068">
        <v>77896</v>
      </c>
      <c r="C1068" t="s">
        <v>8</v>
      </c>
      <c r="D1068" t="s">
        <v>36</v>
      </c>
      <c r="E1068" s="1">
        <v>46144</v>
      </c>
      <c r="F1068" t="s">
        <v>398</v>
      </c>
      <c r="G1068" s="1">
        <v>46144</v>
      </c>
      <c r="H1068" s="1" t="str">
        <f t="shared" si="32"/>
        <v>Saturday</v>
      </c>
      <c r="I1068">
        <v>12</v>
      </c>
      <c r="J1068" t="s">
        <v>15</v>
      </c>
      <c r="K1068">
        <v>0</v>
      </c>
      <c r="L1068">
        <v>0</v>
      </c>
      <c r="M1068">
        <v>0</v>
      </c>
      <c r="N1068">
        <v>0</v>
      </c>
      <c r="O1068">
        <v>0</v>
      </c>
      <c r="P1068" t="str">
        <f t="shared" si="33"/>
        <v>Non Chronic</v>
      </c>
      <c r="Q1068">
        <v>0</v>
      </c>
      <c r="R1068">
        <v>0</v>
      </c>
      <c r="S1068" t="s">
        <v>30</v>
      </c>
    </row>
    <row r="1069" spans="1:19" x14ac:dyDescent="0.3">
      <c r="A1069">
        <v>501068</v>
      </c>
      <c r="B1069">
        <v>53710</v>
      </c>
      <c r="C1069" t="s">
        <v>4</v>
      </c>
      <c r="D1069" t="s">
        <v>25</v>
      </c>
      <c r="E1069" s="1">
        <v>46019</v>
      </c>
      <c r="F1069" t="s">
        <v>397</v>
      </c>
      <c r="G1069" s="1">
        <v>46024</v>
      </c>
      <c r="H1069" s="1" t="str">
        <f t="shared" si="32"/>
        <v>Friday</v>
      </c>
      <c r="I1069">
        <v>61</v>
      </c>
      <c r="J1069" t="s">
        <v>1</v>
      </c>
      <c r="K1069">
        <v>1</v>
      </c>
      <c r="L1069">
        <v>0</v>
      </c>
      <c r="M1069">
        <v>0</v>
      </c>
      <c r="N1069">
        <v>0</v>
      </c>
      <c r="O1069">
        <v>0</v>
      </c>
      <c r="P1069" t="str">
        <f t="shared" si="33"/>
        <v>Non Chronic</v>
      </c>
      <c r="Q1069">
        <v>1</v>
      </c>
      <c r="R1069">
        <v>0</v>
      </c>
      <c r="S1069" t="s">
        <v>9</v>
      </c>
    </row>
    <row r="1070" spans="1:19" x14ac:dyDescent="0.3">
      <c r="A1070">
        <v>501069</v>
      </c>
      <c r="B1070">
        <v>77667</v>
      </c>
      <c r="C1070" t="s">
        <v>4</v>
      </c>
      <c r="D1070" t="s">
        <v>7</v>
      </c>
      <c r="E1070" s="1">
        <v>46130</v>
      </c>
      <c r="F1070" t="s">
        <v>182</v>
      </c>
      <c r="G1070" s="1">
        <v>46137</v>
      </c>
      <c r="H1070" s="1" t="str">
        <f t="shared" si="32"/>
        <v>Saturday</v>
      </c>
      <c r="I1070">
        <v>28</v>
      </c>
      <c r="J1070" t="s">
        <v>31</v>
      </c>
      <c r="K1070">
        <v>0</v>
      </c>
      <c r="L1070">
        <v>0</v>
      </c>
      <c r="M1070">
        <v>0</v>
      </c>
      <c r="N1070">
        <v>0</v>
      </c>
      <c r="O1070">
        <v>0</v>
      </c>
      <c r="P1070" t="str">
        <f t="shared" si="33"/>
        <v>Non Chronic</v>
      </c>
      <c r="Q1070">
        <v>1</v>
      </c>
      <c r="R1070">
        <v>0</v>
      </c>
      <c r="S1070" t="s">
        <v>22</v>
      </c>
    </row>
    <row r="1071" spans="1:19" x14ac:dyDescent="0.3">
      <c r="A1071">
        <v>501070</v>
      </c>
      <c r="B1071">
        <v>10845</v>
      </c>
      <c r="C1071" t="s">
        <v>8</v>
      </c>
      <c r="D1071" t="s">
        <v>14</v>
      </c>
      <c r="E1071" s="1">
        <v>46040</v>
      </c>
      <c r="F1071" t="s">
        <v>223</v>
      </c>
      <c r="G1071" s="1">
        <v>46041</v>
      </c>
      <c r="H1071" s="1" t="str">
        <f t="shared" si="32"/>
        <v>Monday</v>
      </c>
      <c r="I1071">
        <v>44</v>
      </c>
      <c r="J1071" t="s">
        <v>15</v>
      </c>
      <c r="K1071">
        <v>0</v>
      </c>
      <c r="L1071">
        <v>0</v>
      </c>
      <c r="M1071">
        <v>1</v>
      </c>
      <c r="N1071">
        <v>0</v>
      </c>
      <c r="O1071">
        <v>0</v>
      </c>
      <c r="P1071" t="str">
        <f t="shared" si="33"/>
        <v>Chronic</v>
      </c>
      <c r="Q1071">
        <v>1</v>
      </c>
      <c r="R1071">
        <v>0</v>
      </c>
      <c r="S1071" t="s">
        <v>0</v>
      </c>
    </row>
    <row r="1072" spans="1:19" x14ac:dyDescent="0.3">
      <c r="A1072">
        <v>501071</v>
      </c>
      <c r="B1072">
        <v>72094</v>
      </c>
      <c r="C1072" t="s">
        <v>4</v>
      </c>
      <c r="D1072" t="s">
        <v>7</v>
      </c>
      <c r="E1072" s="1">
        <v>46069</v>
      </c>
      <c r="F1072" t="s">
        <v>396</v>
      </c>
      <c r="G1072" s="1">
        <v>46071</v>
      </c>
      <c r="H1072" s="1" t="str">
        <f t="shared" si="32"/>
        <v>Wednesday</v>
      </c>
      <c r="I1072">
        <v>37</v>
      </c>
      <c r="J1072" t="s">
        <v>23</v>
      </c>
      <c r="K1072">
        <v>0</v>
      </c>
      <c r="L1072">
        <v>0</v>
      </c>
      <c r="M1072">
        <v>0</v>
      </c>
      <c r="N1072">
        <v>0</v>
      </c>
      <c r="O1072">
        <v>0</v>
      </c>
      <c r="P1072" t="str">
        <f t="shared" si="33"/>
        <v>Non Chronic</v>
      </c>
      <c r="Q1072">
        <v>1</v>
      </c>
      <c r="R1072">
        <v>0</v>
      </c>
      <c r="S1072" t="s">
        <v>22</v>
      </c>
    </row>
    <row r="1073" spans="1:19" x14ac:dyDescent="0.3">
      <c r="A1073">
        <v>501072</v>
      </c>
      <c r="B1073">
        <v>40792</v>
      </c>
      <c r="C1073" t="s">
        <v>8</v>
      </c>
      <c r="D1073" t="s">
        <v>7</v>
      </c>
      <c r="E1073" s="1">
        <v>46084</v>
      </c>
      <c r="F1073" t="s">
        <v>395</v>
      </c>
      <c r="G1073" s="1">
        <v>46099</v>
      </c>
      <c r="H1073" s="1" t="str">
        <f t="shared" si="32"/>
        <v>Wednesday</v>
      </c>
      <c r="I1073">
        <v>47</v>
      </c>
      <c r="J1073" t="s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 t="str">
        <f t="shared" si="33"/>
        <v>Non Chronic</v>
      </c>
      <c r="Q1073">
        <v>1</v>
      </c>
      <c r="R1073">
        <v>1</v>
      </c>
      <c r="S1073" t="s">
        <v>0</v>
      </c>
    </row>
    <row r="1074" spans="1:19" x14ac:dyDescent="0.3">
      <c r="A1074">
        <v>501073</v>
      </c>
      <c r="B1074">
        <v>81654</v>
      </c>
      <c r="C1074" t="s">
        <v>4</v>
      </c>
      <c r="D1074" t="s">
        <v>7</v>
      </c>
      <c r="E1074" s="1">
        <v>46030</v>
      </c>
      <c r="F1074" t="s">
        <v>394</v>
      </c>
      <c r="G1074" s="1">
        <v>46031</v>
      </c>
      <c r="H1074" s="1" t="str">
        <f t="shared" si="32"/>
        <v>Friday</v>
      </c>
      <c r="I1074">
        <v>39</v>
      </c>
      <c r="J1074" t="s">
        <v>10</v>
      </c>
      <c r="K1074">
        <v>1</v>
      </c>
      <c r="L1074">
        <v>0</v>
      </c>
      <c r="M1074">
        <v>0</v>
      </c>
      <c r="N1074">
        <v>0</v>
      </c>
      <c r="O1074">
        <v>0</v>
      </c>
      <c r="P1074" t="str">
        <f t="shared" si="33"/>
        <v>Non Chronic</v>
      </c>
      <c r="Q1074">
        <v>1</v>
      </c>
      <c r="R1074">
        <v>0</v>
      </c>
      <c r="S1074" t="s">
        <v>22</v>
      </c>
    </row>
    <row r="1075" spans="1:19" x14ac:dyDescent="0.3">
      <c r="A1075">
        <v>501074</v>
      </c>
      <c r="B1075">
        <v>46068</v>
      </c>
      <c r="C1075" t="s">
        <v>8</v>
      </c>
      <c r="D1075" t="s">
        <v>3</v>
      </c>
      <c r="E1075" s="1">
        <v>46149</v>
      </c>
      <c r="F1075" t="s">
        <v>393</v>
      </c>
      <c r="G1075" s="1">
        <v>46154</v>
      </c>
      <c r="H1075" s="1" t="str">
        <f t="shared" si="32"/>
        <v>Tuesday</v>
      </c>
      <c r="I1075">
        <v>12</v>
      </c>
      <c r="J1075" t="s">
        <v>15</v>
      </c>
      <c r="K1075">
        <v>0</v>
      </c>
      <c r="L1075">
        <v>0</v>
      </c>
      <c r="M1075">
        <v>0</v>
      </c>
      <c r="N1075">
        <v>0</v>
      </c>
      <c r="O1075">
        <v>0</v>
      </c>
      <c r="P1075" t="str">
        <f t="shared" si="33"/>
        <v>Non Chronic</v>
      </c>
      <c r="Q1075">
        <v>0</v>
      </c>
      <c r="R1075">
        <v>1</v>
      </c>
      <c r="S1075" t="s">
        <v>30</v>
      </c>
    </row>
    <row r="1076" spans="1:19" x14ac:dyDescent="0.3">
      <c r="A1076">
        <v>501075</v>
      </c>
      <c r="B1076">
        <v>47148</v>
      </c>
      <c r="C1076" t="s">
        <v>8</v>
      </c>
      <c r="D1076" t="s">
        <v>58</v>
      </c>
      <c r="E1076" s="1">
        <v>46039</v>
      </c>
      <c r="F1076" t="s">
        <v>392</v>
      </c>
      <c r="G1076" s="1">
        <v>46046</v>
      </c>
      <c r="H1076" s="1" t="str">
        <f t="shared" si="32"/>
        <v>Saturday</v>
      </c>
      <c r="I1076">
        <v>57</v>
      </c>
      <c r="J1076" t="s">
        <v>1</v>
      </c>
      <c r="K1076">
        <v>1</v>
      </c>
      <c r="L1076">
        <v>1</v>
      </c>
      <c r="M1076">
        <v>0</v>
      </c>
      <c r="N1076">
        <v>0</v>
      </c>
      <c r="O1076">
        <v>0</v>
      </c>
      <c r="P1076" t="str">
        <f t="shared" si="33"/>
        <v>Chronic</v>
      </c>
      <c r="Q1076">
        <v>1</v>
      </c>
      <c r="R1076">
        <v>0</v>
      </c>
      <c r="S1076" t="s">
        <v>0</v>
      </c>
    </row>
    <row r="1077" spans="1:19" x14ac:dyDescent="0.3">
      <c r="A1077">
        <v>501076</v>
      </c>
      <c r="B1077">
        <v>28258</v>
      </c>
      <c r="C1077" t="s">
        <v>8</v>
      </c>
      <c r="D1077" t="s">
        <v>7</v>
      </c>
      <c r="E1077" s="1">
        <v>46081</v>
      </c>
      <c r="F1077" t="s">
        <v>391</v>
      </c>
      <c r="G1077" s="1">
        <v>46084</v>
      </c>
      <c r="H1077" s="1" t="str">
        <f t="shared" si="32"/>
        <v>Tuesday</v>
      </c>
      <c r="I1077">
        <v>28</v>
      </c>
      <c r="J1077" t="s">
        <v>5</v>
      </c>
      <c r="K1077">
        <v>0</v>
      </c>
      <c r="L1077">
        <v>0</v>
      </c>
      <c r="M1077">
        <v>0</v>
      </c>
      <c r="N1077">
        <v>0</v>
      </c>
      <c r="O1077">
        <v>0</v>
      </c>
      <c r="P1077" t="str">
        <f t="shared" si="33"/>
        <v>Non Chronic</v>
      </c>
      <c r="Q1077">
        <v>0</v>
      </c>
      <c r="R1077">
        <v>0</v>
      </c>
      <c r="S1077" t="s">
        <v>22</v>
      </c>
    </row>
    <row r="1078" spans="1:19" x14ac:dyDescent="0.3">
      <c r="A1078">
        <v>501077</v>
      </c>
      <c r="B1078">
        <v>55722</v>
      </c>
      <c r="C1078" t="s">
        <v>8</v>
      </c>
      <c r="D1078" t="s">
        <v>58</v>
      </c>
      <c r="E1078" s="1">
        <v>46110</v>
      </c>
      <c r="F1078" t="s">
        <v>390</v>
      </c>
      <c r="G1078" s="1">
        <v>46117</v>
      </c>
      <c r="H1078" s="1" t="str">
        <f t="shared" si="32"/>
        <v>Sunday</v>
      </c>
      <c r="I1078">
        <v>6</v>
      </c>
      <c r="J1078" t="s">
        <v>31</v>
      </c>
      <c r="K1078">
        <v>0</v>
      </c>
      <c r="L1078">
        <v>0</v>
      </c>
      <c r="M1078">
        <v>0</v>
      </c>
      <c r="N1078">
        <v>0</v>
      </c>
      <c r="O1078">
        <v>0</v>
      </c>
      <c r="P1078" t="str">
        <f t="shared" si="33"/>
        <v>Non Chronic</v>
      </c>
      <c r="Q1078">
        <v>1</v>
      </c>
      <c r="R1078">
        <v>0</v>
      </c>
      <c r="S1078" t="s">
        <v>30</v>
      </c>
    </row>
    <row r="1079" spans="1:19" x14ac:dyDescent="0.3">
      <c r="A1079">
        <v>501078</v>
      </c>
      <c r="B1079">
        <v>54471</v>
      </c>
      <c r="C1079" t="s">
        <v>8</v>
      </c>
      <c r="D1079" t="s">
        <v>28</v>
      </c>
      <c r="E1079" s="1">
        <v>46155</v>
      </c>
      <c r="F1079" t="s">
        <v>296</v>
      </c>
      <c r="G1079" s="1">
        <v>46155</v>
      </c>
      <c r="H1079" s="1" t="str">
        <f t="shared" si="32"/>
        <v>Wednesday</v>
      </c>
      <c r="I1079">
        <v>29</v>
      </c>
      <c r="J1079" t="s">
        <v>5</v>
      </c>
      <c r="K1079">
        <v>1</v>
      </c>
      <c r="L1079">
        <v>0</v>
      </c>
      <c r="M1079">
        <v>0</v>
      </c>
      <c r="N1079">
        <v>0</v>
      </c>
      <c r="O1079">
        <v>0</v>
      </c>
      <c r="P1079" t="str">
        <f t="shared" si="33"/>
        <v>Non Chronic</v>
      </c>
      <c r="Q1079">
        <v>0</v>
      </c>
      <c r="R1079">
        <v>0</v>
      </c>
      <c r="S1079" t="s">
        <v>22</v>
      </c>
    </row>
    <row r="1080" spans="1:19" x14ac:dyDescent="0.3">
      <c r="A1080">
        <v>501079</v>
      </c>
      <c r="B1080">
        <v>71833</v>
      </c>
      <c r="C1080" t="s">
        <v>4</v>
      </c>
      <c r="D1080" t="s">
        <v>25</v>
      </c>
      <c r="E1080" s="1">
        <v>46078</v>
      </c>
      <c r="F1080" t="s">
        <v>389</v>
      </c>
      <c r="G1080" s="1">
        <v>46078</v>
      </c>
      <c r="H1080" s="1" t="str">
        <f t="shared" si="32"/>
        <v>Wednesday</v>
      </c>
      <c r="I1080">
        <v>68</v>
      </c>
      <c r="J1080" t="s">
        <v>31</v>
      </c>
      <c r="K1080">
        <v>1</v>
      </c>
      <c r="L1080">
        <v>0</v>
      </c>
      <c r="M1080">
        <v>0</v>
      </c>
      <c r="N1080">
        <v>0</v>
      </c>
      <c r="O1080">
        <v>0</v>
      </c>
      <c r="P1080" t="str">
        <f t="shared" si="33"/>
        <v>Non Chronic</v>
      </c>
      <c r="Q1080">
        <v>1</v>
      </c>
      <c r="R1080">
        <v>0</v>
      </c>
      <c r="S1080" t="s">
        <v>9</v>
      </c>
    </row>
    <row r="1081" spans="1:19" x14ac:dyDescent="0.3">
      <c r="A1081">
        <v>501080</v>
      </c>
      <c r="B1081">
        <v>40369</v>
      </c>
      <c r="C1081" t="s">
        <v>4</v>
      </c>
      <c r="D1081" t="s">
        <v>58</v>
      </c>
      <c r="E1081" s="1">
        <v>46081</v>
      </c>
      <c r="F1081" t="s">
        <v>117</v>
      </c>
      <c r="G1081" s="1">
        <v>46101</v>
      </c>
      <c r="H1081" s="1" t="str">
        <f t="shared" si="32"/>
        <v>Friday</v>
      </c>
      <c r="I1081">
        <v>55</v>
      </c>
      <c r="J1081" t="s">
        <v>10</v>
      </c>
      <c r="K1081">
        <v>1</v>
      </c>
      <c r="L1081">
        <v>1</v>
      </c>
      <c r="M1081">
        <v>0</v>
      </c>
      <c r="N1081">
        <v>0</v>
      </c>
      <c r="O1081">
        <v>0</v>
      </c>
      <c r="P1081" t="str">
        <f t="shared" si="33"/>
        <v>Chronic</v>
      </c>
      <c r="Q1081">
        <v>0</v>
      </c>
      <c r="R1081">
        <v>1</v>
      </c>
      <c r="S1081" t="s">
        <v>0</v>
      </c>
    </row>
    <row r="1082" spans="1:19" x14ac:dyDescent="0.3">
      <c r="A1082">
        <v>501081</v>
      </c>
      <c r="B1082">
        <v>32806</v>
      </c>
      <c r="C1082" t="s">
        <v>8</v>
      </c>
      <c r="D1082" t="s">
        <v>3</v>
      </c>
      <c r="E1082" s="1">
        <v>46075</v>
      </c>
      <c r="F1082" t="s">
        <v>294</v>
      </c>
      <c r="G1082" s="1">
        <v>46076</v>
      </c>
      <c r="H1082" s="1" t="str">
        <f t="shared" si="32"/>
        <v>Monday</v>
      </c>
      <c r="I1082">
        <v>31</v>
      </c>
      <c r="J1082" t="s">
        <v>15</v>
      </c>
      <c r="K1082">
        <v>0</v>
      </c>
      <c r="L1082">
        <v>0</v>
      </c>
      <c r="M1082">
        <v>0</v>
      </c>
      <c r="N1082">
        <v>0</v>
      </c>
      <c r="O1082">
        <v>0</v>
      </c>
      <c r="P1082" t="str">
        <f t="shared" si="33"/>
        <v>Non Chronic</v>
      </c>
      <c r="Q1082">
        <v>0</v>
      </c>
      <c r="R1082">
        <v>1</v>
      </c>
      <c r="S1082" t="s">
        <v>22</v>
      </c>
    </row>
    <row r="1083" spans="1:19" x14ac:dyDescent="0.3">
      <c r="A1083">
        <v>501082</v>
      </c>
      <c r="B1083">
        <v>59063</v>
      </c>
      <c r="C1083" t="s">
        <v>4</v>
      </c>
      <c r="D1083" t="s">
        <v>28</v>
      </c>
      <c r="E1083" s="1">
        <v>46127</v>
      </c>
      <c r="F1083" t="s">
        <v>259</v>
      </c>
      <c r="G1083" s="1">
        <v>46130</v>
      </c>
      <c r="H1083" s="1" t="str">
        <f t="shared" si="32"/>
        <v>Saturday</v>
      </c>
      <c r="I1083">
        <v>31</v>
      </c>
      <c r="J1083" t="s">
        <v>20</v>
      </c>
      <c r="K1083">
        <v>0</v>
      </c>
      <c r="L1083">
        <v>0</v>
      </c>
      <c r="M1083">
        <v>0</v>
      </c>
      <c r="N1083">
        <v>0</v>
      </c>
      <c r="O1083">
        <v>0</v>
      </c>
      <c r="P1083" t="str">
        <f t="shared" si="33"/>
        <v>Non Chronic</v>
      </c>
      <c r="Q1083">
        <v>0</v>
      </c>
      <c r="R1083">
        <v>0</v>
      </c>
      <c r="S1083" t="s">
        <v>22</v>
      </c>
    </row>
    <row r="1084" spans="1:19" x14ac:dyDescent="0.3">
      <c r="A1084">
        <v>501083</v>
      </c>
      <c r="B1084">
        <v>36179</v>
      </c>
      <c r="C1084" t="s">
        <v>4</v>
      </c>
      <c r="D1084" t="s">
        <v>25</v>
      </c>
      <c r="E1084" s="1">
        <v>46008</v>
      </c>
      <c r="F1084" t="s">
        <v>242</v>
      </c>
      <c r="G1084" s="1">
        <v>46010</v>
      </c>
      <c r="H1084" s="1" t="str">
        <f t="shared" si="32"/>
        <v>Friday</v>
      </c>
      <c r="I1084">
        <v>31</v>
      </c>
      <c r="J1084" t="s">
        <v>10</v>
      </c>
      <c r="K1084">
        <v>1</v>
      </c>
      <c r="L1084">
        <v>0</v>
      </c>
      <c r="M1084">
        <v>0</v>
      </c>
      <c r="N1084">
        <v>0</v>
      </c>
      <c r="O1084">
        <v>0</v>
      </c>
      <c r="P1084" t="str">
        <f t="shared" si="33"/>
        <v>Non Chronic</v>
      </c>
      <c r="Q1084">
        <v>0</v>
      </c>
      <c r="R1084">
        <v>0</v>
      </c>
      <c r="S1084" t="s">
        <v>22</v>
      </c>
    </row>
    <row r="1085" spans="1:19" x14ac:dyDescent="0.3">
      <c r="A1085">
        <v>501084</v>
      </c>
      <c r="B1085">
        <v>79275</v>
      </c>
      <c r="C1085" t="s">
        <v>4</v>
      </c>
      <c r="D1085" t="s">
        <v>58</v>
      </c>
      <c r="E1085" s="1">
        <v>46018</v>
      </c>
      <c r="F1085" t="s">
        <v>388</v>
      </c>
      <c r="G1085" s="1">
        <v>46038</v>
      </c>
      <c r="H1085" s="1" t="str">
        <f t="shared" si="32"/>
        <v>Friday</v>
      </c>
      <c r="I1085">
        <v>79</v>
      </c>
      <c r="J1085" t="s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 t="str">
        <f t="shared" si="33"/>
        <v>Non Chronic</v>
      </c>
      <c r="Q1085">
        <v>1</v>
      </c>
      <c r="R1085">
        <v>0</v>
      </c>
      <c r="S1085" t="s">
        <v>9</v>
      </c>
    </row>
    <row r="1086" spans="1:19" x14ac:dyDescent="0.3">
      <c r="A1086">
        <v>501085</v>
      </c>
      <c r="B1086">
        <v>81641</v>
      </c>
      <c r="C1086" t="s">
        <v>4</v>
      </c>
      <c r="D1086" t="s">
        <v>19</v>
      </c>
      <c r="E1086" s="1">
        <v>46113</v>
      </c>
      <c r="F1086" t="s">
        <v>387</v>
      </c>
      <c r="G1086" s="1">
        <v>46128</v>
      </c>
      <c r="H1086" s="1" t="str">
        <f t="shared" si="32"/>
        <v>Thursday</v>
      </c>
      <c r="I1086">
        <v>45</v>
      </c>
      <c r="J1086" t="s">
        <v>31</v>
      </c>
      <c r="K1086">
        <v>1</v>
      </c>
      <c r="L1086">
        <v>0</v>
      </c>
      <c r="M1086">
        <v>1</v>
      </c>
      <c r="N1086">
        <v>0</v>
      </c>
      <c r="O1086">
        <v>0</v>
      </c>
      <c r="P1086" t="str">
        <f t="shared" si="33"/>
        <v>Chronic</v>
      </c>
      <c r="Q1086">
        <v>1</v>
      </c>
      <c r="R1086">
        <v>0</v>
      </c>
      <c r="S1086" t="s">
        <v>0</v>
      </c>
    </row>
    <row r="1087" spans="1:19" x14ac:dyDescent="0.3">
      <c r="A1087">
        <v>501086</v>
      </c>
      <c r="B1087">
        <v>83229</v>
      </c>
      <c r="C1087" t="s">
        <v>4</v>
      </c>
      <c r="D1087" t="s">
        <v>58</v>
      </c>
      <c r="E1087" s="1">
        <v>46158</v>
      </c>
      <c r="F1087" t="s">
        <v>386</v>
      </c>
      <c r="G1087" s="1">
        <v>46159</v>
      </c>
      <c r="H1087" s="1" t="str">
        <f t="shared" si="32"/>
        <v>Sunday</v>
      </c>
      <c r="I1087">
        <v>46</v>
      </c>
      <c r="J1087" t="s">
        <v>10</v>
      </c>
      <c r="K1087">
        <v>1</v>
      </c>
      <c r="L1087">
        <v>0</v>
      </c>
      <c r="M1087">
        <v>0</v>
      </c>
      <c r="N1087">
        <v>0</v>
      </c>
      <c r="O1087">
        <v>0</v>
      </c>
      <c r="P1087" t="str">
        <f t="shared" si="33"/>
        <v>Non Chronic</v>
      </c>
      <c r="Q1087">
        <v>1</v>
      </c>
      <c r="R1087">
        <v>1</v>
      </c>
      <c r="S1087" t="s">
        <v>0</v>
      </c>
    </row>
    <row r="1088" spans="1:19" x14ac:dyDescent="0.3">
      <c r="A1088">
        <v>501087</v>
      </c>
      <c r="B1088">
        <v>75367</v>
      </c>
      <c r="C1088" t="s">
        <v>4</v>
      </c>
      <c r="D1088" t="s">
        <v>36</v>
      </c>
      <c r="E1088" s="1">
        <v>46050</v>
      </c>
      <c r="F1088" t="s">
        <v>385</v>
      </c>
      <c r="G1088" s="1">
        <v>46053</v>
      </c>
      <c r="H1088" s="1" t="str">
        <f t="shared" si="32"/>
        <v>Saturday</v>
      </c>
      <c r="I1088">
        <v>58</v>
      </c>
      <c r="J1088" t="s">
        <v>1</v>
      </c>
      <c r="K1088">
        <v>1</v>
      </c>
      <c r="L1088">
        <v>1</v>
      </c>
      <c r="M1088">
        <v>0</v>
      </c>
      <c r="N1088">
        <v>0</v>
      </c>
      <c r="O1088">
        <v>0</v>
      </c>
      <c r="P1088" t="str">
        <f t="shared" si="33"/>
        <v>Chronic</v>
      </c>
      <c r="Q1088">
        <v>1</v>
      </c>
      <c r="R1088">
        <v>0</v>
      </c>
      <c r="S1088" t="s">
        <v>0</v>
      </c>
    </row>
    <row r="1089" spans="1:19" x14ac:dyDescent="0.3">
      <c r="A1089">
        <v>501088</v>
      </c>
      <c r="B1089">
        <v>30691</v>
      </c>
      <c r="C1089" t="s">
        <v>8</v>
      </c>
      <c r="D1089" t="s">
        <v>58</v>
      </c>
      <c r="E1089" s="1">
        <v>46138</v>
      </c>
      <c r="F1089" t="s">
        <v>384</v>
      </c>
      <c r="G1089" s="1">
        <v>46143</v>
      </c>
      <c r="H1089" s="1" t="str">
        <f t="shared" si="32"/>
        <v>Friday</v>
      </c>
      <c r="I1089">
        <v>42</v>
      </c>
      <c r="J1089" t="s">
        <v>12</v>
      </c>
      <c r="K1089">
        <v>0</v>
      </c>
      <c r="L1089">
        <v>0</v>
      </c>
      <c r="M1089">
        <v>0</v>
      </c>
      <c r="N1089">
        <v>0</v>
      </c>
      <c r="O1089">
        <v>0</v>
      </c>
      <c r="P1089" t="str">
        <f t="shared" si="33"/>
        <v>Non Chronic</v>
      </c>
      <c r="Q1089">
        <v>1</v>
      </c>
      <c r="R1089">
        <v>1</v>
      </c>
      <c r="S1089" t="s">
        <v>0</v>
      </c>
    </row>
    <row r="1090" spans="1:19" x14ac:dyDescent="0.3">
      <c r="A1090">
        <v>501089</v>
      </c>
      <c r="B1090">
        <v>24532</v>
      </c>
      <c r="C1090" t="s">
        <v>8</v>
      </c>
      <c r="D1090" t="s">
        <v>25</v>
      </c>
      <c r="E1090" s="1">
        <v>46037</v>
      </c>
      <c r="F1090" t="s">
        <v>383</v>
      </c>
      <c r="G1090" s="1">
        <v>46039</v>
      </c>
      <c r="H1090" s="1" t="str">
        <f t="shared" si="32"/>
        <v>Saturday</v>
      </c>
      <c r="I1090">
        <v>32</v>
      </c>
      <c r="J1090" t="s">
        <v>17</v>
      </c>
      <c r="K1090">
        <v>0</v>
      </c>
      <c r="L1090">
        <v>0</v>
      </c>
      <c r="M1090">
        <v>0</v>
      </c>
      <c r="N1090">
        <v>0</v>
      </c>
      <c r="O1090">
        <v>0</v>
      </c>
      <c r="P1090" t="str">
        <f t="shared" si="33"/>
        <v>Non Chronic</v>
      </c>
      <c r="Q1090">
        <v>1</v>
      </c>
      <c r="R1090">
        <v>0</v>
      </c>
      <c r="S1090" t="s">
        <v>22</v>
      </c>
    </row>
    <row r="1091" spans="1:19" x14ac:dyDescent="0.3">
      <c r="A1091">
        <v>501090</v>
      </c>
      <c r="B1091">
        <v>28256</v>
      </c>
      <c r="C1091" t="s">
        <v>4</v>
      </c>
      <c r="D1091" t="s">
        <v>19</v>
      </c>
      <c r="E1091" s="1">
        <v>46086</v>
      </c>
      <c r="F1091" t="s">
        <v>175</v>
      </c>
      <c r="G1091" s="1">
        <v>46101</v>
      </c>
      <c r="H1091" s="1" t="str">
        <f t="shared" ref="H1091:H1154" si="34">TEXT(G1091,"dddd")</f>
        <v>Friday</v>
      </c>
      <c r="I1091">
        <v>34</v>
      </c>
      <c r="J1091" t="s">
        <v>17</v>
      </c>
      <c r="K1091">
        <v>0</v>
      </c>
      <c r="L1091">
        <v>0</v>
      </c>
      <c r="M1091">
        <v>0</v>
      </c>
      <c r="N1091">
        <v>0</v>
      </c>
      <c r="O1091">
        <v>0</v>
      </c>
      <c r="P1091" t="str">
        <f t="shared" ref="P1091:P1154" si="35">IF(OR(L1091=1,M1091=1),"Chronic","Non Chronic")</f>
        <v>Non Chronic</v>
      </c>
      <c r="Q1091">
        <v>1</v>
      </c>
      <c r="R1091">
        <v>0</v>
      </c>
      <c r="S1091" t="s">
        <v>22</v>
      </c>
    </row>
    <row r="1092" spans="1:19" x14ac:dyDescent="0.3">
      <c r="A1092">
        <v>501091</v>
      </c>
      <c r="B1092">
        <v>14634</v>
      </c>
      <c r="C1092" t="s">
        <v>8</v>
      </c>
      <c r="D1092" t="s">
        <v>58</v>
      </c>
      <c r="E1092" s="1">
        <v>46070</v>
      </c>
      <c r="F1092" t="s">
        <v>380</v>
      </c>
      <c r="G1092" s="1">
        <v>46075</v>
      </c>
      <c r="H1092" s="1" t="str">
        <f t="shared" si="34"/>
        <v>Sunday</v>
      </c>
      <c r="I1092">
        <v>36</v>
      </c>
      <c r="J1092" t="s">
        <v>23</v>
      </c>
      <c r="K1092">
        <v>0</v>
      </c>
      <c r="L1092">
        <v>0</v>
      </c>
      <c r="M1092">
        <v>0</v>
      </c>
      <c r="N1092">
        <v>0</v>
      </c>
      <c r="O1092">
        <v>0</v>
      </c>
      <c r="P1092" t="str">
        <f t="shared" si="35"/>
        <v>Non Chronic</v>
      </c>
      <c r="Q1092">
        <v>1</v>
      </c>
      <c r="R1092">
        <v>0</v>
      </c>
      <c r="S1092" t="s">
        <v>22</v>
      </c>
    </row>
    <row r="1093" spans="1:19" x14ac:dyDescent="0.3">
      <c r="A1093">
        <v>501092</v>
      </c>
      <c r="B1093">
        <v>23639</v>
      </c>
      <c r="C1093" t="s">
        <v>4</v>
      </c>
      <c r="D1093" t="s">
        <v>7</v>
      </c>
      <c r="E1093" s="1">
        <v>46121</v>
      </c>
      <c r="F1093" t="s">
        <v>265</v>
      </c>
      <c r="G1093" s="1">
        <v>46124</v>
      </c>
      <c r="H1093" s="1" t="str">
        <f t="shared" si="34"/>
        <v>Sunday</v>
      </c>
      <c r="I1093">
        <v>37</v>
      </c>
      <c r="J1093" t="s">
        <v>12</v>
      </c>
      <c r="K1093">
        <v>0</v>
      </c>
      <c r="L1093">
        <v>0</v>
      </c>
      <c r="M1093">
        <v>0</v>
      </c>
      <c r="N1093">
        <v>0</v>
      </c>
      <c r="O1093">
        <v>0</v>
      </c>
      <c r="P1093" t="str">
        <f t="shared" si="35"/>
        <v>Non Chronic</v>
      </c>
      <c r="Q1093">
        <v>1</v>
      </c>
      <c r="R1093">
        <v>0</v>
      </c>
      <c r="S1093" t="s">
        <v>22</v>
      </c>
    </row>
    <row r="1094" spans="1:19" x14ac:dyDescent="0.3">
      <c r="A1094">
        <v>501093</v>
      </c>
      <c r="B1094">
        <v>39852</v>
      </c>
      <c r="C1094" t="s">
        <v>4</v>
      </c>
      <c r="D1094" t="s">
        <v>36</v>
      </c>
      <c r="E1094" s="1">
        <v>46113</v>
      </c>
      <c r="F1094" t="s">
        <v>382</v>
      </c>
      <c r="G1094" s="1">
        <v>46123</v>
      </c>
      <c r="H1094" s="1" t="str">
        <f t="shared" si="34"/>
        <v>Saturday</v>
      </c>
      <c r="I1094">
        <v>52</v>
      </c>
      <c r="J1094" t="s">
        <v>17</v>
      </c>
      <c r="K1094">
        <v>0</v>
      </c>
      <c r="L1094">
        <v>0</v>
      </c>
      <c r="M1094">
        <v>0</v>
      </c>
      <c r="N1094">
        <v>0</v>
      </c>
      <c r="O1094">
        <v>0</v>
      </c>
      <c r="P1094" t="str">
        <f t="shared" si="35"/>
        <v>Non Chronic</v>
      </c>
      <c r="Q1094">
        <v>1</v>
      </c>
      <c r="R1094">
        <v>1</v>
      </c>
      <c r="S1094" t="s">
        <v>0</v>
      </c>
    </row>
    <row r="1095" spans="1:19" x14ac:dyDescent="0.3">
      <c r="A1095">
        <v>501094</v>
      </c>
      <c r="B1095">
        <v>59444</v>
      </c>
      <c r="C1095" t="s">
        <v>4</v>
      </c>
      <c r="D1095" t="s">
        <v>3</v>
      </c>
      <c r="E1095" s="1">
        <v>46059</v>
      </c>
      <c r="F1095" t="s">
        <v>381</v>
      </c>
      <c r="G1095" s="1">
        <v>46060</v>
      </c>
      <c r="H1095" s="1" t="str">
        <f t="shared" si="34"/>
        <v>Saturday</v>
      </c>
      <c r="I1095">
        <v>39</v>
      </c>
      <c r="J1095" t="s">
        <v>23</v>
      </c>
      <c r="K1095">
        <v>0</v>
      </c>
      <c r="L1095">
        <v>0</v>
      </c>
      <c r="M1095">
        <v>0</v>
      </c>
      <c r="N1095">
        <v>0</v>
      </c>
      <c r="O1095">
        <v>0</v>
      </c>
      <c r="P1095" t="str">
        <f t="shared" si="35"/>
        <v>Non Chronic</v>
      </c>
      <c r="Q1095">
        <v>1</v>
      </c>
      <c r="R1095">
        <v>0</v>
      </c>
      <c r="S1095" t="s">
        <v>22</v>
      </c>
    </row>
    <row r="1096" spans="1:19" x14ac:dyDescent="0.3">
      <c r="A1096">
        <v>501095</v>
      </c>
      <c r="B1096">
        <v>56109</v>
      </c>
      <c r="C1096" t="s">
        <v>4</v>
      </c>
      <c r="D1096" t="s">
        <v>19</v>
      </c>
      <c r="E1096" s="1">
        <v>46028</v>
      </c>
      <c r="F1096" t="s">
        <v>378</v>
      </c>
      <c r="G1096" s="1">
        <v>46031</v>
      </c>
      <c r="H1096" s="1" t="str">
        <f t="shared" si="34"/>
        <v>Friday</v>
      </c>
      <c r="I1096">
        <v>52</v>
      </c>
      <c r="J1096" t="s">
        <v>23</v>
      </c>
      <c r="K1096">
        <v>0</v>
      </c>
      <c r="L1096">
        <v>1</v>
      </c>
      <c r="M1096">
        <v>1</v>
      </c>
      <c r="N1096">
        <v>1</v>
      </c>
      <c r="O1096">
        <v>0</v>
      </c>
      <c r="P1096" t="str">
        <f t="shared" si="35"/>
        <v>Chronic</v>
      </c>
      <c r="Q1096">
        <v>0</v>
      </c>
      <c r="R1096">
        <v>0</v>
      </c>
      <c r="S1096" t="s">
        <v>0</v>
      </c>
    </row>
    <row r="1097" spans="1:19" x14ac:dyDescent="0.3">
      <c r="A1097">
        <v>501096</v>
      </c>
      <c r="B1097">
        <v>80283</v>
      </c>
      <c r="C1097" t="s">
        <v>4</v>
      </c>
      <c r="D1097" t="s">
        <v>36</v>
      </c>
      <c r="E1097" s="1">
        <v>46091</v>
      </c>
      <c r="F1097" t="s">
        <v>380</v>
      </c>
      <c r="G1097" s="1">
        <v>46092</v>
      </c>
      <c r="H1097" s="1" t="str">
        <f t="shared" si="34"/>
        <v>Wednesday</v>
      </c>
      <c r="I1097">
        <v>36</v>
      </c>
      <c r="J1097" t="s">
        <v>45</v>
      </c>
      <c r="K1097">
        <v>0</v>
      </c>
      <c r="L1097">
        <v>0</v>
      </c>
      <c r="M1097">
        <v>0</v>
      </c>
      <c r="N1097">
        <v>1</v>
      </c>
      <c r="O1097">
        <v>0</v>
      </c>
      <c r="P1097" t="str">
        <f t="shared" si="35"/>
        <v>Non Chronic</v>
      </c>
      <c r="Q1097">
        <v>1</v>
      </c>
      <c r="R1097">
        <v>1</v>
      </c>
      <c r="S1097" t="s">
        <v>22</v>
      </c>
    </row>
    <row r="1098" spans="1:19" x14ac:dyDescent="0.3">
      <c r="A1098">
        <v>501097</v>
      </c>
      <c r="B1098">
        <v>55831</v>
      </c>
      <c r="C1098" t="s">
        <v>4</v>
      </c>
      <c r="D1098" t="s">
        <v>25</v>
      </c>
      <c r="E1098" s="1">
        <v>46110</v>
      </c>
      <c r="F1098" t="s">
        <v>379</v>
      </c>
      <c r="G1098" s="1">
        <v>46111</v>
      </c>
      <c r="H1098" s="1" t="str">
        <f t="shared" si="34"/>
        <v>Monday</v>
      </c>
      <c r="I1098">
        <v>39</v>
      </c>
      <c r="J1098" t="s">
        <v>31</v>
      </c>
      <c r="K1098">
        <v>1</v>
      </c>
      <c r="L1098">
        <v>0</v>
      </c>
      <c r="M1098">
        <v>0</v>
      </c>
      <c r="N1098">
        <v>0</v>
      </c>
      <c r="O1098">
        <v>0</v>
      </c>
      <c r="P1098" t="str">
        <f t="shared" si="35"/>
        <v>Non Chronic</v>
      </c>
      <c r="Q1098">
        <v>1</v>
      </c>
      <c r="R1098">
        <v>0</v>
      </c>
      <c r="S1098" t="s">
        <v>22</v>
      </c>
    </row>
    <row r="1099" spans="1:19" x14ac:dyDescent="0.3">
      <c r="A1099">
        <v>501098</v>
      </c>
      <c r="B1099">
        <v>81256</v>
      </c>
      <c r="C1099" t="s">
        <v>4</v>
      </c>
      <c r="D1099" t="s">
        <v>7</v>
      </c>
      <c r="E1099" s="1">
        <v>46054</v>
      </c>
      <c r="F1099" t="s">
        <v>378</v>
      </c>
      <c r="G1099" s="1">
        <v>46074</v>
      </c>
      <c r="H1099" s="1" t="str">
        <f t="shared" si="34"/>
        <v>Saturday</v>
      </c>
      <c r="I1099">
        <v>0</v>
      </c>
      <c r="J1099" t="s">
        <v>20</v>
      </c>
      <c r="K1099">
        <v>0</v>
      </c>
      <c r="L1099">
        <v>0</v>
      </c>
      <c r="M1099">
        <v>0</v>
      </c>
      <c r="N1099">
        <v>0</v>
      </c>
      <c r="O1099">
        <v>0</v>
      </c>
      <c r="P1099" t="str">
        <f t="shared" si="35"/>
        <v>Non Chronic</v>
      </c>
      <c r="Q1099">
        <v>0</v>
      </c>
      <c r="R1099">
        <v>1</v>
      </c>
      <c r="S1099" t="s">
        <v>30</v>
      </c>
    </row>
    <row r="1100" spans="1:19" x14ac:dyDescent="0.3">
      <c r="A1100">
        <v>501099</v>
      </c>
      <c r="B1100">
        <v>49677</v>
      </c>
      <c r="C1100" t="s">
        <v>8</v>
      </c>
      <c r="D1100" t="s">
        <v>25</v>
      </c>
      <c r="E1100" s="1">
        <v>46155</v>
      </c>
      <c r="F1100" t="s">
        <v>377</v>
      </c>
      <c r="G1100" s="1">
        <v>46158</v>
      </c>
      <c r="H1100" s="1" t="str">
        <f t="shared" si="34"/>
        <v>Saturday</v>
      </c>
      <c r="I1100">
        <v>56</v>
      </c>
      <c r="J1100" t="s">
        <v>45</v>
      </c>
      <c r="K1100">
        <v>1</v>
      </c>
      <c r="L1100">
        <v>1</v>
      </c>
      <c r="M1100">
        <v>0</v>
      </c>
      <c r="N1100">
        <v>0</v>
      </c>
      <c r="O1100">
        <v>0</v>
      </c>
      <c r="P1100" t="str">
        <f t="shared" si="35"/>
        <v>Chronic</v>
      </c>
      <c r="Q1100">
        <v>0</v>
      </c>
      <c r="R1100">
        <v>0</v>
      </c>
      <c r="S1100" t="s">
        <v>0</v>
      </c>
    </row>
    <row r="1101" spans="1:19" x14ac:dyDescent="0.3">
      <c r="A1101">
        <v>501100</v>
      </c>
      <c r="B1101">
        <v>20282</v>
      </c>
      <c r="C1101" t="s">
        <v>4</v>
      </c>
      <c r="D1101" t="s">
        <v>28</v>
      </c>
      <c r="E1101" s="1">
        <v>46013</v>
      </c>
      <c r="F1101" t="s">
        <v>376</v>
      </c>
      <c r="G1101" s="1">
        <v>46014</v>
      </c>
      <c r="H1101" s="1" t="str">
        <f t="shared" si="34"/>
        <v>Tuesday</v>
      </c>
      <c r="I1101">
        <v>44</v>
      </c>
      <c r="J1101" t="s">
        <v>12</v>
      </c>
      <c r="K1101">
        <v>0</v>
      </c>
      <c r="L1101">
        <v>0</v>
      </c>
      <c r="M1101">
        <v>0</v>
      </c>
      <c r="N1101">
        <v>0</v>
      </c>
      <c r="O1101">
        <v>0</v>
      </c>
      <c r="P1101" t="str">
        <f t="shared" si="35"/>
        <v>Non Chronic</v>
      </c>
      <c r="Q1101">
        <v>0</v>
      </c>
      <c r="R1101">
        <v>0</v>
      </c>
      <c r="S1101" t="s">
        <v>0</v>
      </c>
    </row>
    <row r="1102" spans="1:19" x14ac:dyDescent="0.3">
      <c r="A1102">
        <v>501101</v>
      </c>
      <c r="B1102">
        <v>14701</v>
      </c>
      <c r="C1102" t="s">
        <v>4</v>
      </c>
      <c r="D1102" t="s">
        <v>7</v>
      </c>
      <c r="E1102" s="1">
        <v>46103</v>
      </c>
      <c r="F1102" t="s">
        <v>375</v>
      </c>
      <c r="G1102" s="1">
        <v>46105</v>
      </c>
      <c r="H1102" s="1" t="str">
        <f t="shared" si="34"/>
        <v>Tuesday</v>
      </c>
      <c r="I1102">
        <v>57</v>
      </c>
      <c r="J1102" t="s">
        <v>10</v>
      </c>
      <c r="K1102">
        <v>0</v>
      </c>
      <c r="L1102">
        <v>1</v>
      </c>
      <c r="M1102">
        <v>0</v>
      </c>
      <c r="N1102">
        <v>0</v>
      </c>
      <c r="O1102">
        <v>0</v>
      </c>
      <c r="P1102" t="str">
        <f t="shared" si="35"/>
        <v>Chronic</v>
      </c>
      <c r="Q1102">
        <v>0</v>
      </c>
      <c r="R1102">
        <v>1</v>
      </c>
      <c r="S1102" t="s">
        <v>0</v>
      </c>
    </row>
    <row r="1103" spans="1:19" x14ac:dyDescent="0.3">
      <c r="A1103">
        <v>501102</v>
      </c>
      <c r="B1103">
        <v>89920</v>
      </c>
      <c r="C1103" t="s">
        <v>8</v>
      </c>
      <c r="D1103" t="s">
        <v>7</v>
      </c>
      <c r="E1103" s="1">
        <v>45999</v>
      </c>
      <c r="F1103" t="s">
        <v>374</v>
      </c>
      <c r="G1103" s="1">
        <v>46014</v>
      </c>
      <c r="H1103" s="1" t="str">
        <f t="shared" si="34"/>
        <v>Tuesday</v>
      </c>
      <c r="I1103">
        <v>0</v>
      </c>
      <c r="J1103" t="s">
        <v>17</v>
      </c>
      <c r="K1103">
        <v>0</v>
      </c>
      <c r="L1103">
        <v>0</v>
      </c>
      <c r="M1103">
        <v>0</v>
      </c>
      <c r="N1103">
        <v>0</v>
      </c>
      <c r="O1103">
        <v>0</v>
      </c>
      <c r="P1103" t="str">
        <f t="shared" si="35"/>
        <v>Non Chronic</v>
      </c>
      <c r="Q1103">
        <v>1</v>
      </c>
      <c r="R1103">
        <v>1</v>
      </c>
      <c r="S1103" t="s">
        <v>30</v>
      </c>
    </row>
    <row r="1104" spans="1:19" x14ac:dyDescent="0.3">
      <c r="A1104">
        <v>501103</v>
      </c>
      <c r="B1104">
        <v>36965</v>
      </c>
      <c r="C1104" t="s">
        <v>8</v>
      </c>
      <c r="D1104" t="s">
        <v>28</v>
      </c>
      <c r="E1104" s="1">
        <v>46153</v>
      </c>
      <c r="F1104" t="s">
        <v>373</v>
      </c>
      <c r="G1104" s="1">
        <v>46173</v>
      </c>
      <c r="H1104" s="1" t="str">
        <f t="shared" si="34"/>
        <v>Sunday</v>
      </c>
      <c r="I1104">
        <v>79</v>
      </c>
      <c r="J1104" t="s">
        <v>23</v>
      </c>
      <c r="K1104">
        <v>0</v>
      </c>
      <c r="L1104">
        <v>0</v>
      </c>
      <c r="M1104">
        <v>1</v>
      </c>
      <c r="N1104">
        <v>0</v>
      </c>
      <c r="O1104">
        <v>0</v>
      </c>
      <c r="P1104" t="str">
        <f t="shared" si="35"/>
        <v>Chronic</v>
      </c>
      <c r="Q1104">
        <v>0</v>
      </c>
      <c r="R1104">
        <v>1</v>
      </c>
      <c r="S1104" t="s">
        <v>9</v>
      </c>
    </row>
    <row r="1105" spans="1:19" x14ac:dyDescent="0.3">
      <c r="A1105">
        <v>501104</v>
      </c>
      <c r="B1105">
        <v>44410</v>
      </c>
      <c r="C1105" t="s">
        <v>4</v>
      </c>
      <c r="D1105" t="s">
        <v>36</v>
      </c>
      <c r="E1105" s="1">
        <v>46034</v>
      </c>
      <c r="F1105" t="s">
        <v>372</v>
      </c>
      <c r="G1105" s="1">
        <v>46049</v>
      </c>
      <c r="H1105" s="1" t="str">
        <f t="shared" si="34"/>
        <v>Tuesday</v>
      </c>
      <c r="I1105">
        <v>35</v>
      </c>
      <c r="J1105" t="s">
        <v>20</v>
      </c>
      <c r="K1105">
        <v>1</v>
      </c>
      <c r="L1105">
        <v>0</v>
      </c>
      <c r="M1105">
        <v>0</v>
      </c>
      <c r="N1105">
        <v>0</v>
      </c>
      <c r="O1105">
        <v>0</v>
      </c>
      <c r="P1105" t="str">
        <f t="shared" si="35"/>
        <v>Non Chronic</v>
      </c>
      <c r="Q1105">
        <v>0</v>
      </c>
      <c r="R1105">
        <v>0</v>
      </c>
      <c r="S1105" t="s">
        <v>22</v>
      </c>
    </row>
    <row r="1106" spans="1:19" x14ac:dyDescent="0.3">
      <c r="A1106">
        <v>501105</v>
      </c>
      <c r="B1106">
        <v>24314</v>
      </c>
      <c r="C1106" t="s">
        <v>8</v>
      </c>
      <c r="D1106" t="s">
        <v>25</v>
      </c>
      <c r="E1106" s="1">
        <v>46078</v>
      </c>
      <c r="F1106" t="s">
        <v>371</v>
      </c>
      <c r="G1106" s="1">
        <v>46108</v>
      </c>
      <c r="H1106" s="1" t="str">
        <f t="shared" si="34"/>
        <v>Friday</v>
      </c>
      <c r="I1106">
        <v>60</v>
      </c>
      <c r="J1106" t="s">
        <v>12</v>
      </c>
      <c r="K1106">
        <v>1</v>
      </c>
      <c r="L1106">
        <v>0</v>
      </c>
      <c r="M1106">
        <v>0</v>
      </c>
      <c r="N1106">
        <v>0</v>
      </c>
      <c r="O1106">
        <v>0</v>
      </c>
      <c r="P1106" t="str">
        <f t="shared" si="35"/>
        <v>Non Chronic</v>
      </c>
      <c r="Q1106">
        <v>1</v>
      </c>
      <c r="R1106">
        <v>0</v>
      </c>
      <c r="S1106" t="s">
        <v>0</v>
      </c>
    </row>
    <row r="1107" spans="1:19" x14ac:dyDescent="0.3">
      <c r="A1107">
        <v>501106</v>
      </c>
      <c r="B1107">
        <v>41224</v>
      </c>
      <c r="C1107" t="s">
        <v>4</v>
      </c>
      <c r="D1107" t="s">
        <v>36</v>
      </c>
      <c r="E1107" s="1">
        <v>46137</v>
      </c>
      <c r="F1107" t="s">
        <v>60</v>
      </c>
      <c r="G1107" s="1">
        <v>46152</v>
      </c>
      <c r="H1107" s="1" t="str">
        <f t="shared" si="34"/>
        <v>Sunday</v>
      </c>
      <c r="I1107">
        <v>17</v>
      </c>
      <c r="J1107" t="s">
        <v>5</v>
      </c>
      <c r="K1107">
        <v>0</v>
      </c>
      <c r="L1107">
        <v>0</v>
      </c>
      <c r="M1107">
        <v>0</v>
      </c>
      <c r="N1107">
        <v>0</v>
      </c>
      <c r="O1107">
        <v>0</v>
      </c>
      <c r="P1107" t="str">
        <f t="shared" si="35"/>
        <v>Non Chronic</v>
      </c>
      <c r="Q1107">
        <v>0</v>
      </c>
      <c r="R1107">
        <v>1</v>
      </c>
      <c r="S1107" t="s">
        <v>30</v>
      </c>
    </row>
    <row r="1108" spans="1:19" x14ac:dyDescent="0.3">
      <c r="A1108">
        <v>501107</v>
      </c>
      <c r="B1108">
        <v>42759</v>
      </c>
      <c r="C1108" t="s">
        <v>8</v>
      </c>
      <c r="D1108" t="s">
        <v>19</v>
      </c>
      <c r="E1108" s="1">
        <v>46047</v>
      </c>
      <c r="F1108" t="s">
        <v>322</v>
      </c>
      <c r="G1108" s="1">
        <v>46049</v>
      </c>
      <c r="H1108" s="1" t="str">
        <f t="shared" si="34"/>
        <v>Tuesday</v>
      </c>
      <c r="I1108">
        <v>50</v>
      </c>
      <c r="J1108" t="s">
        <v>1</v>
      </c>
      <c r="K1108">
        <v>1</v>
      </c>
      <c r="L1108">
        <v>1</v>
      </c>
      <c r="M1108">
        <v>0</v>
      </c>
      <c r="N1108">
        <v>0</v>
      </c>
      <c r="O1108">
        <v>0</v>
      </c>
      <c r="P1108" t="str">
        <f t="shared" si="35"/>
        <v>Chronic</v>
      </c>
      <c r="Q1108">
        <v>1</v>
      </c>
      <c r="R1108">
        <v>0</v>
      </c>
      <c r="S1108" t="s">
        <v>0</v>
      </c>
    </row>
    <row r="1109" spans="1:19" x14ac:dyDescent="0.3">
      <c r="A1109">
        <v>501108</v>
      </c>
      <c r="B1109">
        <v>11617</v>
      </c>
      <c r="C1109" t="s">
        <v>4</v>
      </c>
      <c r="D1109" t="s">
        <v>25</v>
      </c>
      <c r="E1109" s="1">
        <v>46068</v>
      </c>
      <c r="F1109" t="s">
        <v>370</v>
      </c>
      <c r="G1109" s="1">
        <v>46075</v>
      </c>
      <c r="H1109" s="1" t="str">
        <f t="shared" si="34"/>
        <v>Sunday</v>
      </c>
      <c r="I1109">
        <v>16</v>
      </c>
      <c r="J1109" t="s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 t="str">
        <f t="shared" si="35"/>
        <v>Non Chronic</v>
      </c>
      <c r="Q1109">
        <v>0</v>
      </c>
      <c r="R1109">
        <v>0</v>
      </c>
      <c r="S1109" t="s">
        <v>30</v>
      </c>
    </row>
    <row r="1110" spans="1:19" x14ac:dyDescent="0.3">
      <c r="A1110">
        <v>501109</v>
      </c>
      <c r="B1110">
        <v>68170</v>
      </c>
      <c r="C1110" t="s">
        <v>8</v>
      </c>
      <c r="D1110" t="s">
        <v>36</v>
      </c>
      <c r="E1110" s="1">
        <v>45990</v>
      </c>
      <c r="F1110" t="s">
        <v>369</v>
      </c>
      <c r="G1110" s="1">
        <v>46020</v>
      </c>
      <c r="H1110" s="1" t="str">
        <f t="shared" si="34"/>
        <v>Monday</v>
      </c>
      <c r="I1110">
        <v>25</v>
      </c>
      <c r="J1110" t="s">
        <v>10</v>
      </c>
      <c r="K1110">
        <v>0</v>
      </c>
      <c r="L1110">
        <v>0</v>
      </c>
      <c r="M1110">
        <v>0</v>
      </c>
      <c r="N1110">
        <v>0</v>
      </c>
      <c r="O1110">
        <v>0</v>
      </c>
      <c r="P1110" t="str">
        <f t="shared" si="35"/>
        <v>Non Chronic</v>
      </c>
      <c r="Q1110">
        <v>1</v>
      </c>
      <c r="R1110">
        <v>0</v>
      </c>
      <c r="S1110" t="s">
        <v>22</v>
      </c>
    </row>
    <row r="1111" spans="1:19" x14ac:dyDescent="0.3">
      <c r="A1111">
        <v>501110</v>
      </c>
      <c r="B1111">
        <v>38553</v>
      </c>
      <c r="C1111" t="s">
        <v>8</v>
      </c>
      <c r="D1111" t="s">
        <v>36</v>
      </c>
      <c r="E1111" s="1">
        <v>46144</v>
      </c>
      <c r="F1111" t="s">
        <v>368</v>
      </c>
      <c r="G1111" s="1">
        <v>46145</v>
      </c>
      <c r="H1111" s="1" t="str">
        <f t="shared" si="34"/>
        <v>Sunday</v>
      </c>
      <c r="I1111">
        <v>76</v>
      </c>
      <c r="J1111" t="s">
        <v>1</v>
      </c>
      <c r="K1111">
        <v>0</v>
      </c>
      <c r="L1111">
        <v>1</v>
      </c>
      <c r="M1111">
        <v>0</v>
      </c>
      <c r="N1111">
        <v>0</v>
      </c>
      <c r="O1111">
        <v>0</v>
      </c>
      <c r="P1111" t="str">
        <f t="shared" si="35"/>
        <v>Chronic</v>
      </c>
      <c r="Q1111">
        <v>0</v>
      </c>
      <c r="R1111">
        <v>0</v>
      </c>
      <c r="S1111" t="s">
        <v>9</v>
      </c>
    </row>
    <row r="1112" spans="1:19" x14ac:dyDescent="0.3">
      <c r="A1112">
        <v>501111</v>
      </c>
      <c r="B1112">
        <v>74871</v>
      </c>
      <c r="C1112" t="s">
        <v>4</v>
      </c>
      <c r="D1112" t="s">
        <v>14</v>
      </c>
      <c r="E1112" s="1">
        <v>46143</v>
      </c>
      <c r="F1112" t="s">
        <v>119</v>
      </c>
      <c r="G1112" s="1">
        <v>46150</v>
      </c>
      <c r="H1112" s="1" t="str">
        <f t="shared" si="34"/>
        <v>Friday</v>
      </c>
      <c r="I1112">
        <v>34</v>
      </c>
      <c r="J1112" t="s">
        <v>31</v>
      </c>
      <c r="K1112">
        <v>0</v>
      </c>
      <c r="L1112">
        <v>0</v>
      </c>
      <c r="M1112">
        <v>0</v>
      </c>
      <c r="N1112">
        <v>0</v>
      </c>
      <c r="O1112">
        <v>0</v>
      </c>
      <c r="P1112" t="str">
        <f t="shared" si="35"/>
        <v>Non Chronic</v>
      </c>
      <c r="Q1112">
        <v>1</v>
      </c>
      <c r="R1112">
        <v>0</v>
      </c>
      <c r="S1112" t="s">
        <v>22</v>
      </c>
    </row>
    <row r="1113" spans="1:19" x14ac:dyDescent="0.3">
      <c r="A1113">
        <v>501112</v>
      </c>
      <c r="B1113">
        <v>34150</v>
      </c>
      <c r="C1113" t="s">
        <v>8</v>
      </c>
      <c r="D1113" t="s">
        <v>19</v>
      </c>
      <c r="E1113" s="1">
        <v>46032</v>
      </c>
      <c r="F1113" t="s">
        <v>367</v>
      </c>
      <c r="G1113" s="1">
        <v>46034</v>
      </c>
      <c r="H1113" s="1" t="str">
        <f t="shared" si="34"/>
        <v>Monday</v>
      </c>
      <c r="I1113">
        <v>42</v>
      </c>
      <c r="J1113" t="s">
        <v>17</v>
      </c>
      <c r="K1113">
        <v>0</v>
      </c>
      <c r="L1113">
        <v>0</v>
      </c>
      <c r="M1113">
        <v>1</v>
      </c>
      <c r="N1113">
        <v>0</v>
      </c>
      <c r="O1113">
        <v>0</v>
      </c>
      <c r="P1113" t="str">
        <f t="shared" si="35"/>
        <v>Chronic</v>
      </c>
      <c r="Q1113">
        <v>1</v>
      </c>
      <c r="R1113">
        <v>0</v>
      </c>
      <c r="S1113" t="s">
        <v>0</v>
      </c>
    </row>
    <row r="1114" spans="1:19" x14ac:dyDescent="0.3">
      <c r="A1114">
        <v>501113</v>
      </c>
      <c r="B1114">
        <v>56312</v>
      </c>
      <c r="C1114" t="s">
        <v>4</v>
      </c>
      <c r="D1114" t="s">
        <v>14</v>
      </c>
      <c r="E1114" s="1">
        <v>46104</v>
      </c>
      <c r="F1114" t="s">
        <v>71</v>
      </c>
      <c r="G1114" s="1">
        <v>46106</v>
      </c>
      <c r="H1114" s="1" t="str">
        <f t="shared" si="34"/>
        <v>Wednesday</v>
      </c>
      <c r="I1114">
        <v>55</v>
      </c>
      <c r="J1114" t="s">
        <v>20</v>
      </c>
      <c r="K1114">
        <v>0</v>
      </c>
      <c r="L1114">
        <v>1</v>
      </c>
      <c r="M1114">
        <v>0</v>
      </c>
      <c r="N1114">
        <v>0</v>
      </c>
      <c r="O1114">
        <v>0</v>
      </c>
      <c r="P1114" t="str">
        <f t="shared" si="35"/>
        <v>Chronic</v>
      </c>
      <c r="Q1114">
        <v>1</v>
      </c>
      <c r="R1114">
        <v>0</v>
      </c>
      <c r="S1114" t="s">
        <v>0</v>
      </c>
    </row>
    <row r="1115" spans="1:19" x14ac:dyDescent="0.3">
      <c r="A1115">
        <v>501114</v>
      </c>
      <c r="B1115">
        <v>99262</v>
      </c>
      <c r="C1115" t="s">
        <v>8</v>
      </c>
      <c r="D1115" t="s">
        <v>58</v>
      </c>
      <c r="E1115" s="1">
        <v>46007</v>
      </c>
      <c r="F1115" t="s">
        <v>366</v>
      </c>
      <c r="G1115" s="1">
        <v>46010</v>
      </c>
      <c r="H1115" s="1" t="str">
        <f t="shared" si="34"/>
        <v>Friday</v>
      </c>
      <c r="I1115">
        <v>47</v>
      </c>
      <c r="J1115" t="s">
        <v>23</v>
      </c>
      <c r="K1115">
        <v>1</v>
      </c>
      <c r="L1115">
        <v>1</v>
      </c>
      <c r="M1115">
        <v>0</v>
      </c>
      <c r="N1115">
        <v>0</v>
      </c>
      <c r="O1115">
        <v>0</v>
      </c>
      <c r="P1115" t="str">
        <f t="shared" si="35"/>
        <v>Chronic</v>
      </c>
      <c r="Q1115">
        <v>1</v>
      </c>
      <c r="R1115">
        <v>0</v>
      </c>
      <c r="S1115" t="s">
        <v>0</v>
      </c>
    </row>
    <row r="1116" spans="1:19" x14ac:dyDescent="0.3">
      <c r="A1116">
        <v>501115</v>
      </c>
      <c r="B1116">
        <v>71693</v>
      </c>
      <c r="C1116" t="s">
        <v>8</v>
      </c>
      <c r="D1116" t="s">
        <v>36</v>
      </c>
      <c r="E1116" s="1">
        <v>46095</v>
      </c>
      <c r="F1116" t="s">
        <v>365</v>
      </c>
      <c r="G1116" s="1">
        <v>46115</v>
      </c>
      <c r="H1116" s="1" t="str">
        <f t="shared" si="34"/>
        <v>Friday</v>
      </c>
      <c r="I1116">
        <v>41</v>
      </c>
      <c r="J1116" t="s">
        <v>31</v>
      </c>
      <c r="K1116">
        <v>1</v>
      </c>
      <c r="L1116">
        <v>0</v>
      </c>
      <c r="M1116">
        <v>1</v>
      </c>
      <c r="N1116">
        <v>0</v>
      </c>
      <c r="O1116">
        <v>0</v>
      </c>
      <c r="P1116" t="str">
        <f t="shared" si="35"/>
        <v>Chronic</v>
      </c>
      <c r="Q1116">
        <v>1</v>
      </c>
      <c r="R1116">
        <v>0</v>
      </c>
      <c r="S1116" t="s">
        <v>0</v>
      </c>
    </row>
    <row r="1117" spans="1:19" x14ac:dyDescent="0.3">
      <c r="A1117">
        <v>501116</v>
      </c>
      <c r="B1117">
        <v>51039</v>
      </c>
      <c r="C1117" t="s">
        <v>8</v>
      </c>
      <c r="D1117" t="s">
        <v>14</v>
      </c>
      <c r="E1117" s="1">
        <v>46087</v>
      </c>
      <c r="F1117" t="s">
        <v>364</v>
      </c>
      <c r="G1117" s="1">
        <v>46097</v>
      </c>
      <c r="H1117" s="1" t="str">
        <f t="shared" si="34"/>
        <v>Monday</v>
      </c>
      <c r="I1117">
        <v>45</v>
      </c>
      <c r="J1117" t="s">
        <v>23</v>
      </c>
      <c r="K1117">
        <v>0</v>
      </c>
      <c r="L1117">
        <v>0</v>
      </c>
      <c r="M1117">
        <v>0</v>
      </c>
      <c r="N1117">
        <v>0</v>
      </c>
      <c r="O1117">
        <v>0</v>
      </c>
      <c r="P1117" t="str">
        <f t="shared" si="35"/>
        <v>Non Chronic</v>
      </c>
      <c r="Q1117">
        <v>1</v>
      </c>
      <c r="R1117">
        <v>0</v>
      </c>
      <c r="S1117" t="s">
        <v>0</v>
      </c>
    </row>
    <row r="1118" spans="1:19" x14ac:dyDescent="0.3">
      <c r="A1118">
        <v>501117</v>
      </c>
      <c r="B1118">
        <v>39436</v>
      </c>
      <c r="C1118" t="s">
        <v>8</v>
      </c>
      <c r="D1118" t="s">
        <v>58</v>
      </c>
      <c r="E1118" s="1">
        <v>46150</v>
      </c>
      <c r="F1118" t="s">
        <v>363</v>
      </c>
      <c r="G1118" s="1">
        <v>46152</v>
      </c>
      <c r="H1118" s="1" t="str">
        <f t="shared" si="34"/>
        <v>Sunday</v>
      </c>
      <c r="I1118">
        <v>86</v>
      </c>
      <c r="J1118" t="s">
        <v>12</v>
      </c>
      <c r="K1118">
        <v>0</v>
      </c>
      <c r="L1118">
        <v>0</v>
      </c>
      <c r="M1118">
        <v>0</v>
      </c>
      <c r="N1118">
        <v>0</v>
      </c>
      <c r="O1118">
        <v>0</v>
      </c>
      <c r="P1118" t="str">
        <f t="shared" si="35"/>
        <v>Non Chronic</v>
      </c>
      <c r="Q1118">
        <v>1</v>
      </c>
      <c r="R1118">
        <v>0</v>
      </c>
      <c r="S1118" t="s">
        <v>9</v>
      </c>
    </row>
    <row r="1119" spans="1:19" x14ac:dyDescent="0.3">
      <c r="A1119">
        <v>501118</v>
      </c>
      <c r="B1119">
        <v>53081</v>
      </c>
      <c r="C1119" t="s">
        <v>4</v>
      </c>
      <c r="D1119" t="s">
        <v>19</v>
      </c>
      <c r="E1119" s="1">
        <v>46138</v>
      </c>
      <c r="F1119" t="s">
        <v>362</v>
      </c>
      <c r="G1119" s="1">
        <v>46168</v>
      </c>
      <c r="H1119" s="1" t="str">
        <f t="shared" si="34"/>
        <v>Tuesday</v>
      </c>
      <c r="I1119">
        <v>36</v>
      </c>
      <c r="J1119" t="s">
        <v>45</v>
      </c>
      <c r="K1119">
        <v>1</v>
      </c>
      <c r="L1119">
        <v>0</v>
      </c>
      <c r="M1119">
        <v>0</v>
      </c>
      <c r="N1119">
        <v>0</v>
      </c>
      <c r="O1119">
        <v>0</v>
      </c>
      <c r="P1119" t="str">
        <f t="shared" si="35"/>
        <v>Non Chronic</v>
      </c>
      <c r="Q1119">
        <v>1</v>
      </c>
      <c r="R1119">
        <v>0</v>
      </c>
      <c r="S1119" t="s">
        <v>22</v>
      </c>
    </row>
    <row r="1120" spans="1:19" x14ac:dyDescent="0.3">
      <c r="A1120">
        <v>501119</v>
      </c>
      <c r="B1120">
        <v>63729</v>
      </c>
      <c r="C1120" t="s">
        <v>8</v>
      </c>
      <c r="D1120" t="s">
        <v>58</v>
      </c>
      <c r="E1120" s="1">
        <v>45998</v>
      </c>
      <c r="F1120" t="s">
        <v>361</v>
      </c>
      <c r="G1120" s="1">
        <v>46005</v>
      </c>
      <c r="H1120" s="1" t="str">
        <f t="shared" si="34"/>
        <v>Sunday</v>
      </c>
      <c r="I1120">
        <v>42</v>
      </c>
      <c r="J1120" t="s">
        <v>20</v>
      </c>
      <c r="K1120">
        <v>0</v>
      </c>
      <c r="L1120">
        <v>0</v>
      </c>
      <c r="M1120">
        <v>0</v>
      </c>
      <c r="N1120">
        <v>0</v>
      </c>
      <c r="O1120">
        <v>0</v>
      </c>
      <c r="P1120" t="str">
        <f t="shared" si="35"/>
        <v>Non Chronic</v>
      </c>
      <c r="Q1120">
        <v>1</v>
      </c>
      <c r="R1120">
        <v>0</v>
      </c>
      <c r="S1120" t="s">
        <v>0</v>
      </c>
    </row>
    <row r="1121" spans="1:19" x14ac:dyDescent="0.3">
      <c r="A1121">
        <v>501120</v>
      </c>
      <c r="B1121">
        <v>84624</v>
      </c>
      <c r="C1121" t="s">
        <v>4</v>
      </c>
      <c r="D1121" t="s">
        <v>14</v>
      </c>
      <c r="E1121" s="1">
        <v>46026</v>
      </c>
      <c r="F1121" t="s">
        <v>360</v>
      </c>
      <c r="G1121" s="1">
        <v>46029</v>
      </c>
      <c r="H1121" s="1" t="str">
        <f t="shared" si="34"/>
        <v>Wednesday</v>
      </c>
      <c r="I1121">
        <v>59</v>
      </c>
      <c r="J1121" t="s">
        <v>23</v>
      </c>
      <c r="K1121">
        <v>0</v>
      </c>
      <c r="L1121">
        <v>0</v>
      </c>
      <c r="M1121">
        <v>0</v>
      </c>
      <c r="N1121">
        <v>0</v>
      </c>
      <c r="O1121">
        <v>0</v>
      </c>
      <c r="P1121" t="str">
        <f t="shared" si="35"/>
        <v>Non Chronic</v>
      </c>
      <c r="Q1121">
        <v>1</v>
      </c>
      <c r="R1121">
        <v>0</v>
      </c>
      <c r="S1121" t="s">
        <v>0</v>
      </c>
    </row>
    <row r="1122" spans="1:19" x14ac:dyDescent="0.3">
      <c r="A1122">
        <v>501121</v>
      </c>
      <c r="B1122">
        <v>74775</v>
      </c>
      <c r="C1122" t="s">
        <v>4</v>
      </c>
      <c r="D1122" t="s">
        <v>28</v>
      </c>
      <c r="E1122" s="1">
        <v>45986</v>
      </c>
      <c r="F1122" t="s">
        <v>359</v>
      </c>
      <c r="G1122" s="1">
        <v>45991</v>
      </c>
      <c r="H1122" s="1" t="str">
        <f t="shared" si="34"/>
        <v>Sunday</v>
      </c>
      <c r="I1122">
        <v>60</v>
      </c>
      <c r="J1122" t="s">
        <v>10</v>
      </c>
      <c r="K1122">
        <v>0</v>
      </c>
      <c r="L1122">
        <v>1</v>
      </c>
      <c r="M1122">
        <v>0</v>
      </c>
      <c r="N1122">
        <v>0</v>
      </c>
      <c r="O1122">
        <v>0</v>
      </c>
      <c r="P1122" t="str">
        <f t="shared" si="35"/>
        <v>Chronic</v>
      </c>
      <c r="Q1122">
        <v>1</v>
      </c>
      <c r="R1122">
        <v>0</v>
      </c>
      <c r="S1122" t="s">
        <v>0</v>
      </c>
    </row>
    <row r="1123" spans="1:19" x14ac:dyDescent="0.3">
      <c r="A1123">
        <v>501122</v>
      </c>
      <c r="B1123">
        <v>66547</v>
      </c>
      <c r="C1123" t="s">
        <v>4</v>
      </c>
      <c r="D1123" t="s">
        <v>28</v>
      </c>
      <c r="E1123" s="1">
        <v>46131</v>
      </c>
      <c r="F1123" t="s">
        <v>358</v>
      </c>
      <c r="G1123" s="1">
        <v>46132</v>
      </c>
      <c r="H1123" s="1" t="str">
        <f t="shared" si="34"/>
        <v>Monday</v>
      </c>
      <c r="I1123">
        <v>61</v>
      </c>
      <c r="J1123" t="s">
        <v>15</v>
      </c>
      <c r="K1123">
        <v>0</v>
      </c>
      <c r="L1123">
        <v>0</v>
      </c>
      <c r="M1123">
        <v>0</v>
      </c>
      <c r="N1123">
        <v>0</v>
      </c>
      <c r="O1123">
        <v>0</v>
      </c>
      <c r="P1123" t="str">
        <f t="shared" si="35"/>
        <v>Non Chronic</v>
      </c>
      <c r="Q1123">
        <v>1</v>
      </c>
      <c r="R1123">
        <v>0</v>
      </c>
      <c r="S1123" t="s">
        <v>9</v>
      </c>
    </row>
    <row r="1124" spans="1:19" x14ac:dyDescent="0.3">
      <c r="A1124">
        <v>501123</v>
      </c>
      <c r="B1124">
        <v>48455</v>
      </c>
      <c r="C1124" t="s">
        <v>4</v>
      </c>
      <c r="D1124" t="s">
        <v>19</v>
      </c>
      <c r="E1124" s="1">
        <v>46143</v>
      </c>
      <c r="F1124" t="s">
        <v>357</v>
      </c>
      <c r="G1124" s="1">
        <v>46146</v>
      </c>
      <c r="H1124" s="1" t="str">
        <f t="shared" si="34"/>
        <v>Monday</v>
      </c>
      <c r="I1124">
        <v>50</v>
      </c>
      <c r="J1124" t="s">
        <v>20</v>
      </c>
      <c r="K1124">
        <v>0</v>
      </c>
      <c r="L1124">
        <v>0</v>
      </c>
      <c r="M1124">
        <v>1</v>
      </c>
      <c r="N1124">
        <v>0</v>
      </c>
      <c r="O1124">
        <v>0</v>
      </c>
      <c r="P1124" t="str">
        <f t="shared" si="35"/>
        <v>Chronic</v>
      </c>
      <c r="Q1124">
        <v>1</v>
      </c>
      <c r="R1124">
        <v>0</v>
      </c>
      <c r="S1124" t="s">
        <v>0</v>
      </c>
    </row>
    <row r="1125" spans="1:19" x14ac:dyDescent="0.3">
      <c r="A1125">
        <v>501124</v>
      </c>
      <c r="B1125">
        <v>68950</v>
      </c>
      <c r="C1125" t="s">
        <v>8</v>
      </c>
      <c r="D1125" t="s">
        <v>25</v>
      </c>
      <c r="E1125" s="1">
        <v>46065</v>
      </c>
      <c r="F1125" t="s">
        <v>356</v>
      </c>
      <c r="G1125" s="1">
        <v>46075</v>
      </c>
      <c r="H1125" s="1" t="str">
        <f t="shared" si="34"/>
        <v>Sunday</v>
      </c>
      <c r="I1125">
        <v>15</v>
      </c>
      <c r="J1125" t="s">
        <v>10</v>
      </c>
      <c r="K1125">
        <v>0</v>
      </c>
      <c r="L1125">
        <v>0</v>
      </c>
      <c r="M1125">
        <v>0</v>
      </c>
      <c r="N1125">
        <v>0</v>
      </c>
      <c r="O1125">
        <v>0</v>
      </c>
      <c r="P1125" t="str">
        <f t="shared" si="35"/>
        <v>Non Chronic</v>
      </c>
      <c r="Q1125">
        <v>0</v>
      </c>
      <c r="R1125">
        <v>0</v>
      </c>
      <c r="S1125" t="s">
        <v>30</v>
      </c>
    </row>
    <row r="1126" spans="1:19" x14ac:dyDescent="0.3">
      <c r="A1126">
        <v>501125</v>
      </c>
      <c r="B1126">
        <v>87274</v>
      </c>
      <c r="C1126" t="s">
        <v>4</v>
      </c>
      <c r="D1126" t="s">
        <v>28</v>
      </c>
      <c r="E1126" s="1">
        <v>46007</v>
      </c>
      <c r="F1126" t="s">
        <v>355</v>
      </c>
      <c r="G1126" s="1">
        <v>46017</v>
      </c>
      <c r="H1126" s="1" t="str">
        <f t="shared" si="34"/>
        <v>Friday</v>
      </c>
      <c r="I1126">
        <v>70</v>
      </c>
      <c r="J1126" t="s">
        <v>17</v>
      </c>
      <c r="K1126">
        <v>1</v>
      </c>
      <c r="L1126">
        <v>0</v>
      </c>
      <c r="M1126">
        <v>0</v>
      </c>
      <c r="N1126">
        <v>0</v>
      </c>
      <c r="O1126">
        <v>0</v>
      </c>
      <c r="P1126" t="str">
        <f t="shared" si="35"/>
        <v>Non Chronic</v>
      </c>
      <c r="Q1126">
        <v>1</v>
      </c>
      <c r="R1126">
        <v>0</v>
      </c>
      <c r="S1126" t="s">
        <v>9</v>
      </c>
    </row>
    <row r="1127" spans="1:19" x14ac:dyDescent="0.3">
      <c r="A1127">
        <v>501126</v>
      </c>
      <c r="B1127">
        <v>40443</v>
      </c>
      <c r="C1127" t="s">
        <v>8</v>
      </c>
      <c r="D1127" t="s">
        <v>7</v>
      </c>
      <c r="E1127" s="1">
        <v>46020</v>
      </c>
      <c r="F1127" t="s">
        <v>354</v>
      </c>
      <c r="G1127" s="1">
        <v>46020</v>
      </c>
      <c r="H1127" s="1" t="str">
        <f t="shared" si="34"/>
        <v>Monday</v>
      </c>
      <c r="I1127">
        <v>15</v>
      </c>
      <c r="J1127" t="s">
        <v>20</v>
      </c>
      <c r="K1127">
        <v>0</v>
      </c>
      <c r="L1127">
        <v>0</v>
      </c>
      <c r="M1127">
        <v>0</v>
      </c>
      <c r="N1127">
        <v>0</v>
      </c>
      <c r="O1127">
        <v>0</v>
      </c>
      <c r="P1127" t="str">
        <f t="shared" si="35"/>
        <v>Non Chronic</v>
      </c>
      <c r="Q1127">
        <v>1</v>
      </c>
      <c r="R1127">
        <v>0</v>
      </c>
      <c r="S1127" t="s">
        <v>30</v>
      </c>
    </row>
    <row r="1128" spans="1:19" x14ac:dyDescent="0.3">
      <c r="A1128">
        <v>501127</v>
      </c>
      <c r="B1128">
        <v>76614</v>
      </c>
      <c r="C1128" t="s">
        <v>8</v>
      </c>
      <c r="D1128" t="s">
        <v>25</v>
      </c>
      <c r="E1128" s="1">
        <v>46005</v>
      </c>
      <c r="F1128" t="s">
        <v>141</v>
      </c>
      <c r="G1128" s="1">
        <v>46006</v>
      </c>
      <c r="H1128" s="1" t="str">
        <f t="shared" si="34"/>
        <v>Monday</v>
      </c>
      <c r="I1128">
        <v>44</v>
      </c>
      <c r="J1128" t="s">
        <v>20</v>
      </c>
      <c r="K1128">
        <v>1</v>
      </c>
      <c r="L1128">
        <v>0</v>
      </c>
      <c r="M1128">
        <v>0</v>
      </c>
      <c r="N1128">
        <v>0</v>
      </c>
      <c r="O1128">
        <v>0</v>
      </c>
      <c r="P1128" t="str">
        <f t="shared" si="35"/>
        <v>Non Chronic</v>
      </c>
      <c r="Q1128">
        <v>0</v>
      </c>
      <c r="R1128">
        <v>0</v>
      </c>
      <c r="S1128" t="s">
        <v>0</v>
      </c>
    </row>
    <row r="1129" spans="1:19" x14ac:dyDescent="0.3">
      <c r="A1129">
        <v>501128</v>
      </c>
      <c r="B1129">
        <v>37614</v>
      </c>
      <c r="C1129" t="s">
        <v>8</v>
      </c>
      <c r="D1129" t="s">
        <v>25</v>
      </c>
      <c r="E1129" s="1">
        <v>46081</v>
      </c>
      <c r="F1129" t="s">
        <v>353</v>
      </c>
      <c r="G1129" s="1">
        <v>46083</v>
      </c>
      <c r="H1129" s="1" t="str">
        <f t="shared" si="34"/>
        <v>Monday</v>
      </c>
      <c r="I1129">
        <v>22</v>
      </c>
      <c r="J1129" t="s">
        <v>1</v>
      </c>
      <c r="K1129">
        <v>1</v>
      </c>
      <c r="L1129">
        <v>0</v>
      </c>
      <c r="M1129">
        <v>0</v>
      </c>
      <c r="N1129">
        <v>0</v>
      </c>
      <c r="O1129">
        <v>0</v>
      </c>
      <c r="P1129" t="str">
        <f t="shared" si="35"/>
        <v>Non Chronic</v>
      </c>
      <c r="Q1129">
        <v>1</v>
      </c>
      <c r="R1129">
        <v>0</v>
      </c>
      <c r="S1129" t="s">
        <v>22</v>
      </c>
    </row>
    <row r="1130" spans="1:19" x14ac:dyDescent="0.3">
      <c r="A1130">
        <v>501129</v>
      </c>
      <c r="B1130">
        <v>67529</v>
      </c>
      <c r="C1130" t="s">
        <v>4</v>
      </c>
      <c r="D1130" t="s">
        <v>28</v>
      </c>
      <c r="E1130" s="1">
        <v>46130</v>
      </c>
      <c r="F1130" t="s">
        <v>352</v>
      </c>
      <c r="G1130" s="1">
        <v>46140</v>
      </c>
      <c r="H1130" s="1" t="str">
        <f t="shared" si="34"/>
        <v>Tuesday</v>
      </c>
      <c r="I1130">
        <v>36</v>
      </c>
      <c r="J1130" t="s">
        <v>5</v>
      </c>
      <c r="K1130">
        <v>1</v>
      </c>
      <c r="L1130">
        <v>0</v>
      </c>
      <c r="M1130">
        <v>0</v>
      </c>
      <c r="N1130">
        <v>0</v>
      </c>
      <c r="O1130">
        <v>0</v>
      </c>
      <c r="P1130" t="str">
        <f t="shared" si="35"/>
        <v>Non Chronic</v>
      </c>
      <c r="Q1130">
        <v>0</v>
      </c>
      <c r="R1130">
        <v>0</v>
      </c>
      <c r="S1130" t="s">
        <v>22</v>
      </c>
    </row>
    <row r="1131" spans="1:19" x14ac:dyDescent="0.3">
      <c r="A1131">
        <v>501130</v>
      </c>
      <c r="B1131">
        <v>28481</v>
      </c>
      <c r="C1131" t="s">
        <v>4</v>
      </c>
      <c r="D1131" t="s">
        <v>14</v>
      </c>
      <c r="E1131" s="1">
        <v>46141</v>
      </c>
      <c r="F1131" t="s">
        <v>351</v>
      </c>
      <c r="G1131" s="1">
        <v>46171</v>
      </c>
      <c r="H1131" s="1" t="str">
        <f t="shared" si="34"/>
        <v>Friday</v>
      </c>
      <c r="I1131">
        <v>44</v>
      </c>
      <c r="J1131" t="s">
        <v>12</v>
      </c>
      <c r="K1131">
        <v>0</v>
      </c>
      <c r="L1131">
        <v>0</v>
      </c>
      <c r="M1131">
        <v>1</v>
      </c>
      <c r="N1131">
        <v>0</v>
      </c>
      <c r="O1131">
        <v>0</v>
      </c>
      <c r="P1131" t="str">
        <f t="shared" si="35"/>
        <v>Chronic</v>
      </c>
      <c r="Q1131">
        <v>1</v>
      </c>
      <c r="R1131">
        <v>0</v>
      </c>
      <c r="S1131" t="s">
        <v>0</v>
      </c>
    </row>
    <row r="1132" spans="1:19" x14ac:dyDescent="0.3">
      <c r="A1132">
        <v>501131</v>
      </c>
      <c r="B1132">
        <v>10873</v>
      </c>
      <c r="C1132" t="s">
        <v>8</v>
      </c>
      <c r="D1132" t="s">
        <v>36</v>
      </c>
      <c r="E1132" s="1">
        <v>45993</v>
      </c>
      <c r="F1132" t="s">
        <v>350</v>
      </c>
      <c r="G1132" s="1">
        <v>45996</v>
      </c>
      <c r="H1132" s="1" t="str">
        <f t="shared" si="34"/>
        <v>Friday</v>
      </c>
      <c r="I1132">
        <v>44</v>
      </c>
      <c r="J1132" t="s">
        <v>20</v>
      </c>
      <c r="K1132">
        <v>0</v>
      </c>
      <c r="L1132">
        <v>0</v>
      </c>
      <c r="M1132">
        <v>0</v>
      </c>
      <c r="N1132">
        <v>0</v>
      </c>
      <c r="O1132">
        <v>0</v>
      </c>
      <c r="P1132" t="str">
        <f t="shared" si="35"/>
        <v>Non Chronic</v>
      </c>
      <c r="Q1132">
        <v>1</v>
      </c>
      <c r="R1132">
        <v>1</v>
      </c>
      <c r="S1132" t="s">
        <v>0</v>
      </c>
    </row>
    <row r="1133" spans="1:19" x14ac:dyDescent="0.3">
      <c r="A1133">
        <v>501132</v>
      </c>
      <c r="B1133">
        <v>69486</v>
      </c>
      <c r="C1133" t="s">
        <v>8</v>
      </c>
      <c r="D1133" t="s">
        <v>58</v>
      </c>
      <c r="E1133" s="1">
        <v>46104</v>
      </c>
      <c r="F1133" t="s">
        <v>349</v>
      </c>
      <c r="G1133" s="1">
        <v>46105</v>
      </c>
      <c r="H1133" s="1" t="str">
        <f t="shared" si="34"/>
        <v>Tuesday</v>
      </c>
      <c r="I1133">
        <v>46</v>
      </c>
      <c r="J1133" t="s">
        <v>15</v>
      </c>
      <c r="K1133">
        <v>1</v>
      </c>
      <c r="L1133">
        <v>0</v>
      </c>
      <c r="M1133">
        <v>0</v>
      </c>
      <c r="N1133">
        <v>0</v>
      </c>
      <c r="O1133">
        <v>0</v>
      </c>
      <c r="P1133" t="str">
        <f t="shared" si="35"/>
        <v>Non Chronic</v>
      </c>
      <c r="Q1133">
        <v>1</v>
      </c>
      <c r="R1133">
        <v>0</v>
      </c>
      <c r="S1133" t="s">
        <v>0</v>
      </c>
    </row>
    <row r="1134" spans="1:19" x14ac:dyDescent="0.3">
      <c r="A1134">
        <v>501133</v>
      </c>
      <c r="B1134">
        <v>56362</v>
      </c>
      <c r="C1134" t="s">
        <v>4</v>
      </c>
      <c r="D1134" t="s">
        <v>14</v>
      </c>
      <c r="E1134" s="1">
        <v>46022</v>
      </c>
      <c r="F1134" t="s">
        <v>113</v>
      </c>
      <c r="G1134" s="1">
        <v>46032</v>
      </c>
      <c r="H1134" s="1" t="str">
        <f t="shared" si="34"/>
        <v>Saturday</v>
      </c>
      <c r="I1134">
        <v>70</v>
      </c>
      <c r="J1134" t="s">
        <v>15</v>
      </c>
      <c r="K1134">
        <v>1</v>
      </c>
      <c r="L1134">
        <v>1</v>
      </c>
      <c r="M1134">
        <v>0</v>
      </c>
      <c r="N1134">
        <v>0</v>
      </c>
      <c r="O1134">
        <v>0</v>
      </c>
      <c r="P1134" t="str">
        <f t="shared" si="35"/>
        <v>Chronic</v>
      </c>
      <c r="Q1134">
        <v>1</v>
      </c>
      <c r="R1134">
        <v>0</v>
      </c>
      <c r="S1134" t="s">
        <v>9</v>
      </c>
    </row>
    <row r="1135" spans="1:19" x14ac:dyDescent="0.3">
      <c r="A1135">
        <v>501134</v>
      </c>
      <c r="B1135">
        <v>15027</v>
      </c>
      <c r="C1135" t="s">
        <v>8</v>
      </c>
      <c r="D1135" t="s">
        <v>58</v>
      </c>
      <c r="E1135" s="1">
        <v>46049</v>
      </c>
      <c r="F1135" t="s">
        <v>152</v>
      </c>
      <c r="G1135" s="1">
        <v>46056</v>
      </c>
      <c r="H1135" s="1" t="str">
        <f t="shared" si="34"/>
        <v>Tuesday</v>
      </c>
      <c r="I1135">
        <v>47</v>
      </c>
      <c r="J1135" t="s">
        <v>12</v>
      </c>
      <c r="K1135">
        <v>1</v>
      </c>
      <c r="L1135">
        <v>1</v>
      </c>
      <c r="M1135">
        <v>0</v>
      </c>
      <c r="N1135">
        <v>0</v>
      </c>
      <c r="O1135">
        <v>0</v>
      </c>
      <c r="P1135" t="str">
        <f t="shared" si="35"/>
        <v>Chronic</v>
      </c>
      <c r="Q1135">
        <v>0</v>
      </c>
      <c r="R1135">
        <v>0</v>
      </c>
      <c r="S1135" t="s">
        <v>0</v>
      </c>
    </row>
    <row r="1136" spans="1:19" x14ac:dyDescent="0.3">
      <c r="A1136">
        <v>501135</v>
      </c>
      <c r="B1136">
        <v>42232</v>
      </c>
      <c r="C1136" t="s">
        <v>4</v>
      </c>
      <c r="D1136" t="s">
        <v>3</v>
      </c>
      <c r="E1136" s="1">
        <v>46008</v>
      </c>
      <c r="F1136" t="s">
        <v>348</v>
      </c>
      <c r="G1136" s="1">
        <v>46009</v>
      </c>
      <c r="H1136" s="1" t="str">
        <f t="shared" si="34"/>
        <v>Thursday</v>
      </c>
      <c r="I1136">
        <v>33</v>
      </c>
      <c r="J1136" t="s">
        <v>45</v>
      </c>
      <c r="K1136">
        <v>0</v>
      </c>
      <c r="L1136">
        <v>0</v>
      </c>
      <c r="M1136">
        <v>0</v>
      </c>
      <c r="N1136">
        <v>0</v>
      </c>
      <c r="O1136">
        <v>0</v>
      </c>
      <c r="P1136" t="str">
        <f t="shared" si="35"/>
        <v>Non Chronic</v>
      </c>
      <c r="Q1136">
        <v>0</v>
      </c>
      <c r="R1136">
        <v>0</v>
      </c>
      <c r="S1136" t="s">
        <v>22</v>
      </c>
    </row>
    <row r="1137" spans="1:19" x14ac:dyDescent="0.3">
      <c r="A1137">
        <v>501136</v>
      </c>
      <c r="B1137">
        <v>47040</v>
      </c>
      <c r="C1137" t="s">
        <v>4</v>
      </c>
      <c r="D1137" t="s">
        <v>14</v>
      </c>
      <c r="E1137" s="1">
        <v>46032</v>
      </c>
      <c r="F1137" t="s">
        <v>347</v>
      </c>
      <c r="G1137" s="1">
        <v>46033</v>
      </c>
      <c r="H1137" s="1" t="str">
        <f t="shared" si="34"/>
        <v>Sunday</v>
      </c>
      <c r="I1137">
        <v>57</v>
      </c>
      <c r="J1137" t="s">
        <v>15</v>
      </c>
      <c r="K1137">
        <v>0</v>
      </c>
      <c r="L1137">
        <v>1</v>
      </c>
      <c r="M1137">
        <v>1</v>
      </c>
      <c r="N1137">
        <v>0</v>
      </c>
      <c r="O1137">
        <v>0</v>
      </c>
      <c r="P1137" t="str">
        <f t="shared" si="35"/>
        <v>Chronic</v>
      </c>
      <c r="Q1137">
        <v>1</v>
      </c>
      <c r="R1137">
        <v>0</v>
      </c>
      <c r="S1137" t="s">
        <v>0</v>
      </c>
    </row>
    <row r="1138" spans="1:19" x14ac:dyDescent="0.3">
      <c r="A1138">
        <v>501137</v>
      </c>
      <c r="B1138">
        <v>59845</v>
      </c>
      <c r="C1138" t="s">
        <v>4</v>
      </c>
      <c r="D1138" t="s">
        <v>19</v>
      </c>
      <c r="E1138" s="1">
        <v>46121</v>
      </c>
      <c r="F1138" t="s">
        <v>188</v>
      </c>
      <c r="G1138" s="1">
        <v>46126</v>
      </c>
      <c r="H1138" s="1" t="str">
        <f t="shared" si="34"/>
        <v>Tuesday</v>
      </c>
      <c r="I1138">
        <v>61</v>
      </c>
      <c r="J1138" t="s">
        <v>10</v>
      </c>
      <c r="K1138">
        <v>0</v>
      </c>
      <c r="L1138">
        <v>0</v>
      </c>
      <c r="M1138">
        <v>0</v>
      </c>
      <c r="N1138">
        <v>0</v>
      </c>
      <c r="O1138">
        <v>0</v>
      </c>
      <c r="P1138" t="str">
        <f t="shared" si="35"/>
        <v>Non Chronic</v>
      </c>
      <c r="Q1138">
        <v>1</v>
      </c>
      <c r="R1138">
        <v>0</v>
      </c>
      <c r="S1138" t="s">
        <v>9</v>
      </c>
    </row>
    <row r="1139" spans="1:19" x14ac:dyDescent="0.3">
      <c r="A1139">
        <v>501138</v>
      </c>
      <c r="B1139">
        <v>81226</v>
      </c>
      <c r="C1139" t="s">
        <v>8</v>
      </c>
      <c r="D1139" t="s">
        <v>25</v>
      </c>
      <c r="E1139" s="1">
        <v>46055</v>
      </c>
      <c r="F1139" t="s">
        <v>346</v>
      </c>
      <c r="G1139" s="1">
        <v>46057</v>
      </c>
      <c r="H1139" s="1" t="str">
        <f t="shared" si="34"/>
        <v>Wednesday</v>
      </c>
      <c r="I1139">
        <v>13</v>
      </c>
      <c r="J1139" t="s">
        <v>15</v>
      </c>
      <c r="K1139">
        <v>0</v>
      </c>
      <c r="L1139">
        <v>0</v>
      </c>
      <c r="M1139">
        <v>0</v>
      </c>
      <c r="N1139">
        <v>0</v>
      </c>
      <c r="O1139">
        <v>0</v>
      </c>
      <c r="P1139" t="str">
        <f t="shared" si="35"/>
        <v>Non Chronic</v>
      </c>
      <c r="Q1139">
        <v>0</v>
      </c>
      <c r="R1139">
        <v>0</v>
      </c>
      <c r="S1139" t="s">
        <v>30</v>
      </c>
    </row>
    <row r="1140" spans="1:19" x14ac:dyDescent="0.3">
      <c r="A1140">
        <v>501139</v>
      </c>
      <c r="B1140">
        <v>47653</v>
      </c>
      <c r="C1140" t="s">
        <v>8</v>
      </c>
      <c r="D1140" t="s">
        <v>7</v>
      </c>
      <c r="E1140" s="1">
        <v>46099</v>
      </c>
      <c r="F1140" t="s">
        <v>345</v>
      </c>
      <c r="G1140" s="1">
        <v>46102</v>
      </c>
      <c r="H1140" s="1" t="str">
        <f t="shared" si="34"/>
        <v>Saturday</v>
      </c>
      <c r="I1140">
        <v>49</v>
      </c>
      <c r="J1140" t="s">
        <v>20</v>
      </c>
      <c r="K1140">
        <v>0</v>
      </c>
      <c r="L1140">
        <v>0</v>
      </c>
      <c r="M1140">
        <v>1</v>
      </c>
      <c r="N1140">
        <v>0</v>
      </c>
      <c r="O1140">
        <v>0</v>
      </c>
      <c r="P1140" t="str">
        <f t="shared" si="35"/>
        <v>Chronic</v>
      </c>
      <c r="Q1140">
        <v>1</v>
      </c>
      <c r="R1140">
        <v>0</v>
      </c>
      <c r="S1140" t="s">
        <v>0</v>
      </c>
    </row>
    <row r="1141" spans="1:19" x14ac:dyDescent="0.3">
      <c r="A1141">
        <v>501140</v>
      </c>
      <c r="B1141">
        <v>26784</v>
      </c>
      <c r="C1141" t="s">
        <v>8</v>
      </c>
      <c r="D1141" t="s">
        <v>7</v>
      </c>
      <c r="E1141" s="1">
        <v>46103</v>
      </c>
      <c r="F1141" t="s">
        <v>344</v>
      </c>
      <c r="G1141" s="1">
        <v>46105</v>
      </c>
      <c r="H1141" s="1" t="str">
        <f t="shared" si="34"/>
        <v>Tuesday</v>
      </c>
      <c r="I1141">
        <v>52</v>
      </c>
      <c r="J1141" t="s">
        <v>1</v>
      </c>
      <c r="K1141">
        <v>1</v>
      </c>
      <c r="L1141">
        <v>0</v>
      </c>
      <c r="M1141">
        <v>1</v>
      </c>
      <c r="N1141">
        <v>0</v>
      </c>
      <c r="O1141">
        <v>0</v>
      </c>
      <c r="P1141" t="str">
        <f t="shared" si="35"/>
        <v>Chronic</v>
      </c>
      <c r="Q1141">
        <v>0</v>
      </c>
      <c r="R1141">
        <v>0</v>
      </c>
      <c r="S1141" t="s">
        <v>0</v>
      </c>
    </row>
    <row r="1142" spans="1:19" x14ac:dyDescent="0.3">
      <c r="A1142">
        <v>501141</v>
      </c>
      <c r="B1142">
        <v>83696</v>
      </c>
      <c r="C1142" t="s">
        <v>8</v>
      </c>
      <c r="D1142" t="s">
        <v>25</v>
      </c>
      <c r="E1142" s="1">
        <v>46024</v>
      </c>
      <c r="F1142" t="s">
        <v>343</v>
      </c>
      <c r="G1142" s="1">
        <v>46027</v>
      </c>
      <c r="H1142" s="1" t="str">
        <f t="shared" si="34"/>
        <v>Monday</v>
      </c>
      <c r="I1142">
        <v>32</v>
      </c>
      <c r="J1142" t="s">
        <v>20</v>
      </c>
      <c r="K1142">
        <v>1</v>
      </c>
      <c r="L1142">
        <v>0</v>
      </c>
      <c r="M1142">
        <v>0</v>
      </c>
      <c r="N1142">
        <v>0</v>
      </c>
      <c r="O1142">
        <v>0</v>
      </c>
      <c r="P1142" t="str">
        <f t="shared" si="35"/>
        <v>Non Chronic</v>
      </c>
      <c r="Q1142">
        <v>1</v>
      </c>
      <c r="R1142">
        <v>0</v>
      </c>
      <c r="S1142" t="s">
        <v>22</v>
      </c>
    </row>
    <row r="1143" spans="1:19" x14ac:dyDescent="0.3">
      <c r="A1143">
        <v>501142</v>
      </c>
      <c r="B1143">
        <v>45168</v>
      </c>
      <c r="C1143" t="s">
        <v>8</v>
      </c>
      <c r="D1143" t="s">
        <v>14</v>
      </c>
      <c r="E1143" s="1">
        <v>46071</v>
      </c>
      <c r="F1143" t="s">
        <v>342</v>
      </c>
      <c r="G1143" s="1">
        <v>46073</v>
      </c>
      <c r="H1143" s="1" t="str">
        <f t="shared" si="34"/>
        <v>Friday</v>
      </c>
      <c r="I1143">
        <v>65</v>
      </c>
      <c r="J1143" t="s">
        <v>20</v>
      </c>
      <c r="K1143">
        <v>0</v>
      </c>
      <c r="L1143">
        <v>1</v>
      </c>
      <c r="M1143">
        <v>0</v>
      </c>
      <c r="N1143">
        <v>0</v>
      </c>
      <c r="O1143">
        <v>0</v>
      </c>
      <c r="P1143" t="str">
        <f t="shared" si="35"/>
        <v>Chronic</v>
      </c>
      <c r="Q1143">
        <v>1</v>
      </c>
      <c r="R1143">
        <v>0</v>
      </c>
      <c r="S1143" t="s">
        <v>9</v>
      </c>
    </row>
    <row r="1144" spans="1:19" x14ac:dyDescent="0.3">
      <c r="A1144">
        <v>501143</v>
      </c>
      <c r="B1144">
        <v>90386</v>
      </c>
      <c r="C1144" t="s">
        <v>8</v>
      </c>
      <c r="D1144" t="s">
        <v>28</v>
      </c>
      <c r="E1144" s="1">
        <v>46061</v>
      </c>
      <c r="F1144" t="s">
        <v>104</v>
      </c>
      <c r="G1144" s="1">
        <v>46061</v>
      </c>
      <c r="H1144" s="1" t="str">
        <f t="shared" si="34"/>
        <v>Sunday</v>
      </c>
      <c r="I1144">
        <v>34</v>
      </c>
      <c r="J1144" t="s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 t="str">
        <f t="shared" si="35"/>
        <v>Non Chronic</v>
      </c>
      <c r="Q1144">
        <v>1</v>
      </c>
      <c r="R1144">
        <v>0</v>
      </c>
      <c r="S1144" t="s">
        <v>22</v>
      </c>
    </row>
    <row r="1145" spans="1:19" x14ac:dyDescent="0.3">
      <c r="A1145">
        <v>501144</v>
      </c>
      <c r="B1145">
        <v>53684</v>
      </c>
      <c r="C1145" t="s">
        <v>8</v>
      </c>
      <c r="D1145" t="s">
        <v>58</v>
      </c>
      <c r="E1145" s="1">
        <v>46042</v>
      </c>
      <c r="F1145" t="s">
        <v>341</v>
      </c>
      <c r="G1145" s="1">
        <v>46044</v>
      </c>
      <c r="H1145" s="1" t="str">
        <f t="shared" si="34"/>
        <v>Thursday</v>
      </c>
      <c r="I1145">
        <v>40</v>
      </c>
      <c r="J1145" t="s">
        <v>17</v>
      </c>
      <c r="K1145">
        <v>0</v>
      </c>
      <c r="L1145">
        <v>0</v>
      </c>
      <c r="M1145">
        <v>0</v>
      </c>
      <c r="N1145">
        <v>0</v>
      </c>
      <c r="O1145">
        <v>0</v>
      </c>
      <c r="P1145" t="str">
        <f t="shared" si="35"/>
        <v>Non Chronic</v>
      </c>
      <c r="Q1145">
        <v>1</v>
      </c>
      <c r="R1145">
        <v>0</v>
      </c>
      <c r="S1145" t="s">
        <v>22</v>
      </c>
    </row>
    <row r="1146" spans="1:19" x14ac:dyDescent="0.3">
      <c r="A1146">
        <v>501145</v>
      </c>
      <c r="B1146">
        <v>40059</v>
      </c>
      <c r="C1146" t="s">
        <v>8</v>
      </c>
      <c r="D1146" t="s">
        <v>28</v>
      </c>
      <c r="E1146" s="1">
        <v>46045</v>
      </c>
      <c r="F1146" t="s">
        <v>340</v>
      </c>
      <c r="G1146" s="1">
        <v>46050</v>
      </c>
      <c r="H1146" s="1" t="str">
        <f t="shared" si="34"/>
        <v>Wednesday</v>
      </c>
      <c r="I1146">
        <v>34</v>
      </c>
      <c r="J1146" t="s">
        <v>20</v>
      </c>
      <c r="K1146">
        <v>1</v>
      </c>
      <c r="L1146">
        <v>0</v>
      </c>
      <c r="M1146">
        <v>0</v>
      </c>
      <c r="N1146">
        <v>0</v>
      </c>
      <c r="O1146">
        <v>0</v>
      </c>
      <c r="P1146" t="str">
        <f t="shared" si="35"/>
        <v>Non Chronic</v>
      </c>
      <c r="Q1146">
        <v>1</v>
      </c>
      <c r="R1146">
        <v>1</v>
      </c>
      <c r="S1146" t="s">
        <v>22</v>
      </c>
    </row>
    <row r="1147" spans="1:19" x14ac:dyDescent="0.3">
      <c r="A1147">
        <v>501146</v>
      </c>
      <c r="B1147">
        <v>12625</v>
      </c>
      <c r="C1147" t="s">
        <v>4</v>
      </c>
      <c r="D1147" t="s">
        <v>3</v>
      </c>
      <c r="E1147" s="1">
        <v>46007</v>
      </c>
      <c r="F1147" t="s">
        <v>339</v>
      </c>
      <c r="G1147" s="1">
        <v>46009</v>
      </c>
      <c r="H1147" s="1" t="str">
        <f t="shared" si="34"/>
        <v>Thursday</v>
      </c>
      <c r="I1147">
        <v>38</v>
      </c>
      <c r="J1147" t="s">
        <v>10</v>
      </c>
      <c r="K1147">
        <v>0</v>
      </c>
      <c r="L1147">
        <v>0</v>
      </c>
      <c r="M1147">
        <v>0</v>
      </c>
      <c r="N1147">
        <v>0</v>
      </c>
      <c r="O1147">
        <v>0</v>
      </c>
      <c r="P1147" t="str">
        <f t="shared" si="35"/>
        <v>Non Chronic</v>
      </c>
      <c r="Q1147">
        <v>1</v>
      </c>
      <c r="R1147">
        <v>0</v>
      </c>
      <c r="S1147" t="s">
        <v>22</v>
      </c>
    </row>
    <row r="1148" spans="1:19" x14ac:dyDescent="0.3">
      <c r="A1148">
        <v>501147</v>
      </c>
      <c r="B1148">
        <v>42415</v>
      </c>
      <c r="C1148" t="s">
        <v>4</v>
      </c>
      <c r="D1148" t="s">
        <v>25</v>
      </c>
      <c r="E1148" s="1">
        <v>45998</v>
      </c>
      <c r="F1148" t="s">
        <v>338</v>
      </c>
      <c r="G1148" s="1">
        <v>46013</v>
      </c>
      <c r="H1148" s="1" t="str">
        <f t="shared" si="34"/>
        <v>Monday</v>
      </c>
      <c r="I1148">
        <v>16</v>
      </c>
      <c r="J1148" t="s">
        <v>15</v>
      </c>
      <c r="K1148">
        <v>0</v>
      </c>
      <c r="L1148">
        <v>0</v>
      </c>
      <c r="M1148">
        <v>0</v>
      </c>
      <c r="N1148">
        <v>0</v>
      </c>
      <c r="O1148">
        <v>0</v>
      </c>
      <c r="P1148" t="str">
        <f t="shared" si="35"/>
        <v>Non Chronic</v>
      </c>
      <c r="Q1148">
        <v>1</v>
      </c>
      <c r="R1148">
        <v>0</v>
      </c>
      <c r="S1148" t="s">
        <v>30</v>
      </c>
    </row>
    <row r="1149" spans="1:19" x14ac:dyDescent="0.3">
      <c r="A1149">
        <v>501148</v>
      </c>
      <c r="B1149">
        <v>45389</v>
      </c>
      <c r="C1149" t="s">
        <v>4</v>
      </c>
      <c r="D1149" t="s">
        <v>58</v>
      </c>
      <c r="E1149" s="1">
        <v>46064</v>
      </c>
      <c r="F1149" t="s">
        <v>337</v>
      </c>
      <c r="G1149" s="1">
        <v>46069</v>
      </c>
      <c r="H1149" s="1" t="str">
        <f t="shared" si="34"/>
        <v>Monday</v>
      </c>
      <c r="I1149">
        <v>9</v>
      </c>
      <c r="J1149" t="s">
        <v>15</v>
      </c>
      <c r="K1149">
        <v>0</v>
      </c>
      <c r="L1149">
        <v>0</v>
      </c>
      <c r="M1149">
        <v>0</v>
      </c>
      <c r="N1149">
        <v>0</v>
      </c>
      <c r="O1149">
        <v>0</v>
      </c>
      <c r="P1149" t="str">
        <f t="shared" si="35"/>
        <v>Non Chronic</v>
      </c>
      <c r="Q1149">
        <v>1</v>
      </c>
      <c r="R1149">
        <v>0</v>
      </c>
      <c r="S1149" t="s">
        <v>30</v>
      </c>
    </row>
    <row r="1150" spans="1:19" x14ac:dyDescent="0.3">
      <c r="A1150">
        <v>501149</v>
      </c>
      <c r="B1150">
        <v>12641</v>
      </c>
      <c r="C1150" t="s">
        <v>4</v>
      </c>
      <c r="D1150" t="s">
        <v>28</v>
      </c>
      <c r="E1150" s="1">
        <v>46144</v>
      </c>
      <c r="F1150" t="s">
        <v>336</v>
      </c>
      <c r="G1150" s="1">
        <v>46149</v>
      </c>
      <c r="H1150" s="1" t="str">
        <f t="shared" si="34"/>
        <v>Thursday</v>
      </c>
      <c r="I1150">
        <v>69</v>
      </c>
      <c r="J1150" t="s">
        <v>15</v>
      </c>
      <c r="K1150">
        <v>1</v>
      </c>
      <c r="L1150">
        <v>1</v>
      </c>
      <c r="M1150">
        <v>0</v>
      </c>
      <c r="N1150">
        <v>0</v>
      </c>
      <c r="O1150">
        <v>0</v>
      </c>
      <c r="P1150" t="str">
        <f t="shared" si="35"/>
        <v>Chronic</v>
      </c>
      <c r="Q1150">
        <v>1</v>
      </c>
      <c r="R1150">
        <v>0</v>
      </c>
      <c r="S1150" t="s">
        <v>9</v>
      </c>
    </row>
    <row r="1151" spans="1:19" x14ac:dyDescent="0.3">
      <c r="A1151">
        <v>501150</v>
      </c>
      <c r="B1151">
        <v>36563</v>
      </c>
      <c r="C1151" t="s">
        <v>4</v>
      </c>
      <c r="D1151" t="s">
        <v>25</v>
      </c>
      <c r="E1151" s="1">
        <v>46151</v>
      </c>
      <c r="F1151" t="s">
        <v>335</v>
      </c>
      <c r="G1151" s="1">
        <v>46154</v>
      </c>
      <c r="H1151" s="1" t="str">
        <f t="shared" si="34"/>
        <v>Tuesday</v>
      </c>
      <c r="I1151">
        <v>21</v>
      </c>
      <c r="J1151" t="s">
        <v>1</v>
      </c>
      <c r="K1151">
        <v>1</v>
      </c>
      <c r="L1151">
        <v>0</v>
      </c>
      <c r="M1151">
        <v>0</v>
      </c>
      <c r="N1151">
        <v>0</v>
      </c>
      <c r="O1151">
        <v>0</v>
      </c>
      <c r="P1151" t="str">
        <f t="shared" si="35"/>
        <v>Non Chronic</v>
      </c>
      <c r="Q1151">
        <v>1</v>
      </c>
      <c r="R1151">
        <v>0</v>
      </c>
      <c r="S1151" t="s">
        <v>22</v>
      </c>
    </row>
    <row r="1152" spans="1:19" x14ac:dyDescent="0.3">
      <c r="A1152">
        <v>501151</v>
      </c>
      <c r="B1152">
        <v>46511</v>
      </c>
      <c r="C1152" t="s">
        <v>8</v>
      </c>
      <c r="D1152" t="s">
        <v>25</v>
      </c>
      <c r="E1152" s="1">
        <v>46002</v>
      </c>
      <c r="F1152" t="s">
        <v>334</v>
      </c>
      <c r="G1152" s="1">
        <v>46007</v>
      </c>
      <c r="H1152" s="1" t="str">
        <f t="shared" si="34"/>
        <v>Tuesday</v>
      </c>
      <c r="I1152">
        <v>18</v>
      </c>
      <c r="J1152" t="s">
        <v>12</v>
      </c>
      <c r="K1152">
        <v>0</v>
      </c>
      <c r="L1152">
        <v>0</v>
      </c>
      <c r="M1152">
        <v>0</v>
      </c>
      <c r="N1152">
        <v>0</v>
      </c>
      <c r="O1152">
        <v>0</v>
      </c>
      <c r="P1152" t="str">
        <f t="shared" si="35"/>
        <v>Non Chronic</v>
      </c>
      <c r="Q1152">
        <v>1</v>
      </c>
      <c r="R1152">
        <v>0</v>
      </c>
      <c r="S1152" t="s">
        <v>30</v>
      </c>
    </row>
    <row r="1153" spans="1:19" x14ac:dyDescent="0.3">
      <c r="A1153">
        <v>501152</v>
      </c>
      <c r="B1153">
        <v>61595</v>
      </c>
      <c r="C1153" t="s">
        <v>8</v>
      </c>
      <c r="D1153" t="s">
        <v>58</v>
      </c>
      <c r="E1153" s="1">
        <v>46131</v>
      </c>
      <c r="F1153" t="s">
        <v>333</v>
      </c>
      <c r="G1153" s="1">
        <v>46133</v>
      </c>
      <c r="H1153" s="1" t="str">
        <f t="shared" si="34"/>
        <v>Tuesday</v>
      </c>
      <c r="I1153">
        <v>0</v>
      </c>
      <c r="J1153" t="s">
        <v>10</v>
      </c>
      <c r="K1153">
        <v>0</v>
      </c>
      <c r="L1153">
        <v>0</v>
      </c>
      <c r="M1153">
        <v>0</v>
      </c>
      <c r="N1153">
        <v>0</v>
      </c>
      <c r="O1153">
        <v>0</v>
      </c>
      <c r="P1153" t="str">
        <f t="shared" si="35"/>
        <v>Non Chronic</v>
      </c>
      <c r="Q1153">
        <v>0</v>
      </c>
      <c r="R1153">
        <v>0</v>
      </c>
      <c r="S1153" t="s">
        <v>30</v>
      </c>
    </row>
    <row r="1154" spans="1:19" x14ac:dyDescent="0.3">
      <c r="A1154">
        <v>501153</v>
      </c>
      <c r="B1154">
        <v>40423</v>
      </c>
      <c r="C1154" t="s">
        <v>8</v>
      </c>
      <c r="D1154" t="s">
        <v>19</v>
      </c>
      <c r="E1154" s="1">
        <v>46082</v>
      </c>
      <c r="F1154" t="s">
        <v>332</v>
      </c>
      <c r="G1154" s="1">
        <v>46085</v>
      </c>
      <c r="H1154" s="1" t="str">
        <f t="shared" si="34"/>
        <v>Wednesday</v>
      </c>
      <c r="I1154">
        <v>25</v>
      </c>
      <c r="J1154" t="s">
        <v>10</v>
      </c>
      <c r="K1154">
        <v>0</v>
      </c>
      <c r="L1154">
        <v>0</v>
      </c>
      <c r="M1154">
        <v>0</v>
      </c>
      <c r="N1154">
        <v>0</v>
      </c>
      <c r="O1154">
        <v>0</v>
      </c>
      <c r="P1154" t="str">
        <f t="shared" si="35"/>
        <v>Non Chronic</v>
      </c>
      <c r="Q1154">
        <v>0</v>
      </c>
      <c r="R1154">
        <v>0</v>
      </c>
      <c r="S1154" t="s">
        <v>22</v>
      </c>
    </row>
    <row r="1155" spans="1:19" x14ac:dyDescent="0.3">
      <c r="A1155">
        <v>501154</v>
      </c>
      <c r="B1155">
        <v>22502</v>
      </c>
      <c r="C1155" t="s">
        <v>4</v>
      </c>
      <c r="D1155" t="s">
        <v>14</v>
      </c>
      <c r="E1155" s="1">
        <v>46023</v>
      </c>
      <c r="F1155" t="s">
        <v>201</v>
      </c>
      <c r="G1155" s="1">
        <v>46030</v>
      </c>
      <c r="H1155" s="1" t="str">
        <f t="shared" ref="H1155:H1218" si="36">TEXT(G1155,"dddd")</f>
        <v>Thursday</v>
      </c>
      <c r="I1155">
        <v>11</v>
      </c>
      <c r="J1155" t="s">
        <v>10</v>
      </c>
      <c r="K1155">
        <v>0</v>
      </c>
      <c r="L1155">
        <v>0</v>
      </c>
      <c r="M1155">
        <v>0</v>
      </c>
      <c r="N1155">
        <v>0</v>
      </c>
      <c r="O1155">
        <v>0</v>
      </c>
      <c r="P1155" t="str">
        <f t="shared" ref="P1155:P1218" si="37">IF(OR(L1155=1,M1155=1),"Chronic","Non Chronic")</f>
        <v>Non Chronic</v>
      </c>
      <c r="Q1155">
        <v>1</v>
      </c>
      <c r="R1155">
        <v>0</v>
      </c>
      <c r="S1155" t="s">
        <v>30</v>
      </c>
    </row>
    <row r="1156" spans="1:19" x14ac:dyDescent="0.3">
      <c r="A1156">
        <v>501155</v>
      </c>
      <c r="B1156">
        <v>72064</v>
      </c>
      <c r="C1156" t="s">
        <v>4</v>
      </c>
      <c r="D1156" t="s">
        <v>36</v>
      </c>
      <c r="E1156" s="1">
        <v>46025</v>
      </c>
      <c r="F1156" t="s">
        <v>331</v>
      </c>
      <c r="G1156" s="1">
        <v>46035</v>
      </c>
      <c r="H1156" s="1" t="str">
        <f t="shared" si="36"/>
        <v>Tuesday</v>
      </c>
      <c r="I1156">
        <v>70</v>
      </c>
      <c r="J1156" t="s">
        <v>10</v>
      </c>
      <c r="K1156">
        <v>1</v>
      </c>
      <c r="L1156">
        <v>0</v>
      </c>
      <c r="M1156">
        <v>0</v>
      </c>
      <c r="N1156">
        <v>0</v>
      </c>
      <c r="O1156">
        <v>1</v>
      </c>
      <c r="P1156" t="str">
        <f t="shared" si="37"/>
        <v>Non Chronic</v>
      </c>
      <c r="Q1156">
        <v>1</v>
      </c>
      <c r="R1156">
        <v>0</v>
      </c>
      <c r="S1156" t="s">
        <v>9</v>
      </c>
    </row>
    <row r="1157" spans="1:19" x14ac:dyDescent="0.3">
      <c r="A1157">
        <v>501156</v>
      </c>
      <c r="B1157">
        <v>45146</v>
      </c>
      <c r="C1157" t="s">
        <v>4</v>
      </c>
      <c r="D1157" t="s">
        <v>7</v>
      </c>
      <c r="E1157" s="1">
        <v>45997</v>
      </c>
      <c r="F1157" t="s">
        <v>330</v>
      </c>
      <c r="G1157" s="1">
        <v>46002</v>
      </c>
      <c r="H1157" s="1" t="str">
        <f t="shared" si="36"/>
        <v>Thursday</v>
      </c>
      <c r="I1157">
        <v>58</v>
      </c>
      <c r="J1157" t="s">
        <v>12</v>
      </c>
      <c r="K1157">
        <v>1</v>
      </c>
      <c r="L1157">
        <v>1</v>
      </c>
      <c r="M1157">
        <v>0</v>
      </c>
      <c r="N1157">
        <v>0</v>
      </c>
      <c r="O1157">
        <v>0</v>
      </c>
      <c r="P1157" t="str">
        <f t="shared" si="37"/>
        <v>Chronic</v>
      </c>
      <c r="Q1157">
        <v>0</v>
      </c>
      <c r="R1157">
        <v>0</v>
      </c>
      <c r="S1157" t="s">
        <v>0</v>
      </c>
    </row>
    <row r="1158" spans="1:19" x14ac:dyDescent="0.3">
      <c r="A1158">
        <v>501157</v>
      </c>
      <c r="B1158">
        <v>20673</v>
      </c>
      <c r="C1158" t="s">
        <v>4</v>
      </c>
      <c r="D1158" t="s">
        <v>3</v>
      </c>
      <c r="E1158" s="1">
        <v>46154</v>
      </c>
      <c r="F1158" t="s">
        <v>329</v>
      </c>
      <c r="G1158" s="1">
        <v>46154</v>
      </c>
      <c r="H1158" s="1" t="str">
        <f t="shared" si="36"/>
        <v>Tuesday</v>
      </c>
      <c r="I1158">
        <v>24</v>
      </c>
      <c r="J1158" t="s">
        <v>15</v>
      </c>
      <c r="K1158">
        <v>1</v>
      </c>
      <c r="L1158">
        <v>0</v>
      </c>
      <c r="M1158">
        <v>0</v>
      </c>
      <c r="N1158">
        <v>0</v>
      </c>
      <c r="O1158">
        <v>0</v>
      </c>
      <c r="P1158" t="str">
        <f t="shared" si="37"/>
        <v>Non Chronic</v>
      </c>
      <c r="Q1158">
        <v>1</v>
      </c>
      <c r="R1158">
        <v>1</v>
      </c>
      <c r="S1158" t="s">
        <v>22</v>
      </c>
    </row>
    <row r="1159" spans="1:19" x14ac:dyDescent="0.3">
      <c r="A1159">
        <v>501158</v>
      </c>
      <c r="B1159">
        <v>35869</v>
      </c>
      <c r="C1159" t="s">
        <v>8</v>
      </c>
      <c r="D1159" t="s">
        <v>58</v>
      </c>
      <c r="E1159" s="1">
        <v>46058</v>
      </c>
      <c r="F1159" t="s">
        <v>328</v>
      </c>
      <c r="G1159" s="1">
        <v>46078</v>
      </c>
      <c r="H1159" s="1" t="str">
        <f t="shared" si="36"/>
        <v>Wednesday</v>
      </c>
      <c r="I1159">
        <v>83</v>
      </c>
      <c r="J1159" t="s">
        <v>17</v>
      </c>
      <c r="K1159">
        <v>1</v>
      </c>
      <c r="L1159">
        <v>0</v>
      </c>
      <c r="M1159">
        <v>0</v>
      </c>
      <c r="N1159">
        <v>0</v>
      </c>
      <c r="O1159">
        <v>0</v>
      </c>
      <c r="P1159" t="str">
        <f t="shared" si="37"/>
        <v>Non Chronic</v>
      </c>
      <c r="Q1159">
        <v>1</v>
      </c>
      <c r="R1159">
        <v>1</v>
      </c>
      <c r="S1159" t="s">
        <v>9</v>
      </c>
    </row>
    <row r="1160" spans="1:19" x14ac:dyDescent="0.3">
      <c r="A1160">
        <v>501159</v>
      </c>
      <c r="B1160">
        <v>25411</v>
      </c>
      <c r="C1160" t="s">
        <v>8</v>
      </c>
      <c r="D1160" t="s">
        <v>25</v>
      </c>
      <c r="E1160" s="1">
        <v>46040</v>
      </c>
      <c r="F1160" t="s">
        <v>327</v>
      </c>
      <c r="G1160" s="1">
        <v>46045</v>
      </c>
      <c r="H1160" s="1" t="str">
        <f t="shared" si="36"/>
        <v>Friday</v>
      </c>
      <c r="I1160">
        <v>57</v>
      </c>
      <c r="J1160" t="s">
        <v>5</v>
      </c>
      <c r="K1160">
        <v>1</v>
      </c>
      <c r="L1160">
        <v>0</v>
      </c>
      <c r="M1160">
        <v>0</v>
      </c>
      <c r="N1160">
        <v>0</v>
      </c>
      <c r="O1160">
        <v>0</v>
      </c>
      <c r="P1160" t="str">
        <f t="shared" si="37"/>
        <v>Non Chronic</v>
      </c>
      <c r="Q1160">
        <v>1</v>
      </c>
      <c r="R1160">
        <v>0</v>
      </c>
      <c r="S1160" t="s">
        <v>0</v>
      </c>
    </row>
    <row r="1161" spans="1:19" x14ac:dyDescent="0.3">
      <c r="A1161">
        <v>501160</v>
      </c>
      <c r="B1161">
        <v>58660</v>
      </c>
      <c r="C1161" t="s">
        <v>8</v>
      </c>
      <c r="D1161" t="s">
        <v>7</v>
      </c>
      <c r="E1161" s="1">
        <v>46162</v>
      </c>
      <c r="F1161" t="s">
        <v>326</v>
      </c>
      <c r="G1161" s="1">
        <v>46182</v>
      </c>
      <c r="H1161" s="1" t="str">
        <f t="shared" si="36"/>
        <v>Tuesday</v>
      </c>
      <c r="I1161">
        <v>31</v>
      </c>
      <c r="J1161" t="s">
        <v>10</v>
      </c>
      <c r="K1161">
        <v>0</v>
      </c>
      <c r="L1161">
        <v>0</v>
      </c>
      <c r="M1161">
        <v>0</v>
      </c>
      <c r="N1161">
        <v>0</v>
      </c>
      <c r="O1161">
        <v>0</v>
      </c>
      <c r="P1161" t="str">
        <f t="shared" si="37"/>
        <v>Non Chronic</v>
      </c>
      <c r="Q1161">
        <v>0</v>
      </c>
      <c r="R1161">
        <v>0</v>
      </c>
      <c r="S1161" t="s">
        <v>22</v>
      </c>
    </row>
    <row r="1162" spans="1:19" x14ac:dyDescent="0.3">
      <c r="A1162">
        <v>501161</v>
      </c>
      <c r="B1162">
        <v>27739</v>
      </c>
      <c r="C1162" t="s">
        <v>4</v>
      </c>
      <c r="D1162" t="s">
        <v>7</v>
      </c>
      <c r="E1162" s="1">
        <v>46091</v>
      </c>
      <c r="F1162" t="s">
        <v>137</v>
      </c>
      <c r="G1162" s="1">
        <v>46094</v>
      </c>
      <c r="H1162" s="1" t="str">
        <f t="shared" si="36"/>
        <v>Friday</v>
      </c>
      <c r="I1162">
        <v>0</v>
      </c>
      <c r="J1162" t="s">
        <v>17</v>
      </c>
      <c r="K1162">
        <v>0</v>
      </c>
      <c r="L1162">
        <v>0</v>
      </c>
      <c r="M1162">
        <v>0</v>
      </c>
      <c r="N1162">
        <v>0</v>
      </c>
      <c r="O1162">
        <v>0</v>
      </c>
      <c r="P1162" t="str">
        <f t="shared" si="37"/>
        <v>Non Chronic</v>
      </c>
      <c r="Q1162">
        <v>1</v>
      </c>
      <c r="R1162">
        <v>0</v>
      </c>
      <c r="S1162" t="s">
        <v>30</v>
      </c>
    </row>
    <row r="1163" spans="1:19" x14ac:dyDescent="0.3">
      <c r="A1163">
        <v>501162</v>
      </c>
      <c r="B1163">
        <v>10734</v>
      </c>
      <c r="C1163" t="s">
        <v>8</v>
      </c>
      <c r="D1163" t="s">
        <v>14</v>
      </c>
      <c r="E1163" s="1">
        <v>46155</v>
      </c>
      <c r="F1163" t="s">
        <v>258</v>
      </c>
      <c r="G1163" s="1">
        <v>46156</v>
      </c>
      <c r="H1163" s="1" t="str">
        <f t="shared" si="36"/>
        <v>Thursday</v>
      </c>
      <c r="I1163">
        <v>83</v>
      </c>
      <c r="J1163" t="s">
        <v>45</v>
      </c>
      <c r="K1163">
        <v>0</v>
      </c>
      <c r="L1163">
        <v>0</v>
      </c>
      <c r="M1163">
        <v>0</v>
      </c>
      <c r="N1163">
        <v>1</v>
      </c>
      <c r="O1163">
        <v>0</v>
      </c>
      <c r="P1163" t="str">
        <f t="shared" si="37"/>
        <v>Non Chronic</v>
      </c>
      <c r="Q1163">
        <v>1</v>
      </c>
      <c r="R1163">
        <v>0</v>
      </c>
      <c r="S1163" t="s">
        <v>9</v>
      </c>
    </row>
    <row r="1164" spans="1:19" x14ac:dyDescent="0.3">
      <c r="A1164">
        <v>501163</v>
      </c>
      <c r="B1164">
        <v>39626</v>
      </c>
      <c r="C1164" t="s">
        <v>8</v>
      </c>
      <c r="D1164" t="s">
        <v>36</v>
      </c>
      <c r="E1164" s="1">
        <v>46021</v>
      </c>
      <c r="F1164" t="s">
        <v>325</v>
      </c>
      <c r="G1164" s="1">
        <v>46023</v>
      </c>
      <c r="H1164" s="1" t="str">
        <f t="shared" si="36"/>
        <v>Thursday</v>
      </c>
      <c r="I1164">
        <v>10</v>
      </c>
      <c r="J1164" t="s">
        <v>45</v>
      </c>
      <c r="K1164">
        <v>0</v>
      </c>
      <c r="L1164">
        <v>0</v>
      </c>
      <c r="M1164">
        <v>0</v>
      </c>
      <c r="N1164">
        <v>0</v>
      </c>
      <c r="O1164">
        <v>0</v>
      </c>
      <c r="P1164" t="str">
        <f t="shared" si="37"/>
        <v>Non Chronic</v>
      </c>
      <c r="Q1164">
        <v>0</v>
      </c>
      <c r="R1164">
        <v>0</v>
      </c>
      <c r="S1164" t="s">
        <v>30</v>
      </c>
    </row>
    <row r="1165" spans="1:19" x14ac:dyDescent="0.3">
      <c r="A1165">
        <v>501164</v>
      </c>
      <c r="B1165">
        <v>86607</v>
      </c>
      <c r="C1165" t="s">
        <v>8</v>
      </c>
      <c r="D1165" t="s">
        <v>19</v>
      </c>
      <c r="E1165" s="1">
        <v>46001</v>
      </c>
      <c r="F1165" t="s">
        <v>324</v>
      </c>
      <c r="G1165" s="1">
        <v>46011</v>
      </c>
      <c r="H1165" s="1" t="str">
        <f t="shared" si="36"/>
        <v>Saturday</v>
      </c>
      <c r="I1165">
        <v>5</v>
      </c>
      <c r="J1165" t="s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 t="str">
        <f t="shared" si="37"/>
        <v>Non Chronic</v>
      </c>
      <c r="Q1165">
        <v>0</v>
      </c>
      <c r="R1165">
        <v>0</v>
      </c>
      <c r="S1165" t="s">
        <v>30</v>
      </c>
    </row>
    <row r="1166" spans="1:19" x14ac:dyDescent="0.3">
      <c r="A1166">
        <v>501165</v>
      </c>
      <c r="B1166">
        <v>94095</v>
      </c>
      <c r="C1166" t="s">
        <v>4</v>
      </c>
      <c r="D1166" t="s">
        <v>58</v>
      </c>
      <c r="E1166" s="1">
        <v>46067</v>
      </c>
      <c r="F1166" t="s">
        <v>323</v>
      </c>
      <c r="G1166" s="1">
        <v>46068</v>
      </c>
      <c r="H1166" s="1" t="str">
        <f t="shared" si="36"/>
        <v>Sunday</v>
      </c>
      <c r="I1166">
        <v>58</v>
      </c>
      <c r="J1166" t="s">
        <v>1</v>
      </c>
      <c r="K1166">
        <v>0</v>
      </c>
      <c r="L1166">
        <v>1</v>
      </c>
      <c r="M1166">
        <v>1</v>
      </c>
      <c r="N1166">
        <v>0</v>
      </c>
      <c r="O1166">
        <v>0</v>
      </c>
      <c r="P1166" t="str">
        <f t="shared" si="37"/>
        <v>Chronic</v>
      </c>
      <c r="Q1166">
        <v>1</v>
      </c>
      <c r="R1166">
        <v>0</v>
      </c>
      <c r="S1166" t="s">
        <v>0</v>
      </c>
    </row>
    <row r="1167" spans="1:19" x14ac:dyDescent="0.3">
      <c r="A1167">
        <v>501166</v>
      </c>
      <c r="B1167">
        <v>60193</v>
      </c>
      <c r="C1167" t="s">
        <v>8</v>
      </c>
      <c r="D1167" t="s">
        <v>25</v>
      </c>
      <c r="E1167" s="1">
        <v>46072</v>
      </c>
      <c r="F1167" t="s">
        <v>251</v>
      </c>
      <c r="G1167" s="1">
        <v>46092</v>
      </c>
      <c r="H1167" s="1" t="str">
        <f t="shared" si="36"/>
        <v>Wednesday</v>
      </c>
      <c r="I1167">
        <v>86</v>
      </c>
      <c r="J1167" t="s">
        <v>1</v>
      </c>
      <c r="K1167">
        <v>1</v>
      </c>
      <c r="L1167">
        <v>1</v>
      </c>
      <c r="M1167">
        <v>1</v>
      </c>
      <c r="N1167">
        <v>0</v>
      </c>
      <c r="O1167">
        <v>0</v>
      </c>
      <c r="P1167" t="str">
        <f t="shared" si="37"/>
        <v>Chronic</v>
      </c>
      <c r="Q1167">
        <v>1</v>
      </c>
      <c r="R1167">
        <v>1</v>
      </c>
      <c r="S1167" t="s">
        <v>9</v>
      </c>
    </row>
    <row r="1168" spans="1:19" x14ac:dyDescent="0.3">
      <c r="A1168">
        <v>501167</v>
      </c>
      <c r="B1168">
        <v>72320</v>
      </c>
      <c r="C1168" t="s">
        <v>4</v>
      </c>
      <c r="D1168" t="s">
        <v>19</v>
      </c>
      <c r="E1168" s="1">
        <v>46039</v>
      </c>
      <c r="F1168" t="s">
        <v>322</v>
      </c>
      <c r="G1168" s="1">
        <v>46041</v>
      </c>
      <c r="H1168" s="1" t="str">
        <f t="shared" si="36"/>
        <v>Monday</v>
      </c>
      <c r="I1168">
        <v>65</v>
      </c>
      <c r="J1168" t="s">
        <v>15</v>
      </c>
      <c r="K1168">
        <v>0</v>
      </c>
      <c r="L1168">
        <v>1</v>
      </c>
      <c r="M1168">
        <v>0</v>
      </c>
      <c r="N1168">
        <v>0</v>
      </c>
      <c r="O1168">
        <v>0</v>
      </c>
      <c r="P1168" t="str">
        <f t="shared" si="37"/>
        <v>Chronic</v>
      </c>
      <c r="Q1168">
        <v>0</v>
      </c>
      <c r="R1168">
        <v>0</v>
      </c>
      <c r="S1168" t="s">
        <v>9</v>
      </c>
    </row>
    <row r="1169" spans="1:19" x14ac:dyDescent="0.3">
      <c r="A1169">
        <v>501168</v>
      </c>
      <c r="B1169">
        <v>61543</v>
      </c>
      <c r="C1169" t="s">
        <v>8</v>
      </c>
      <c r="D1169" t="s">
        <v>3</v>
      </c>
      <c r="E1169" s="1">
        <v>46008</v>
      </c>
      <c r="F1169" t="s">
        <v>321</v>
      </c>
      <c r="G1169" s="1">
        <v>46028</v>
      </c>
      <c r="H1169" s="1" t="str">
        <f t="shared" si="36"/>
        <v>Tuesday</v>
      </c>
      <c r="I1169">
        <v>49</v>
      </c>
      <c r="J1169" t="s">
        <v>10</v>
      </c>
      <c r="K1169">
        <v>1</v>
      </c>
      <c r="L1169">
        <v>1</v>
      </c>
      <c r="M1169">
        <v>0</v>
      </c>
      <c r="N1169">
        <v>0</v>
      </c>
      <c r="O1169">
        <v>0</v>
      </c>
      <c r="P1169" t="str">
        <f t="shared" si="37"/>
        <v>Chronic</v>
      </c>
      <c r="Q1169">
        <v>0</v>
      </c>
      <c r="R1169">
        <v>0</v>
      </c>
      <c r="S1169" t="s">
        <v>0</v>
      </c>
    </row>
    <row r="1170" spans="1:19" x14ac:dyDescent="0.3">
      <c r="A1170">
        <v>501169</v>
      </c>
      <c r="B1170">
        <v>93069</v>
      </c>
      <c r="C1170" t="s">
        <v>8</v>
      </c>
      <c r="D1170" t="s">
        <v>28</v>
      </c>
      <c r="E1170" s="1">
        <v>46052</v>
      </c>
      <c r="F1170" t="s">
        <v>320</v>
      </c>
      <c r="G1170" s="1">
        <v>46059</v>
      </c>
      <c r="H1170" s="1" t="str">
        <f t="shared" si="36"/>
        <v>Friday</v>
      </c>
      <c r="I1170">
        <v>49</v>
      </c>
      <c r="J1170" t="s">
        <v>23</v>
      </c>
      <c r="K1170">
        <v>1</v>
      </c>
      <c r="L1170">
        <v>0</v>
      </c>
      <c r="M1170">
        <v>0</v>
      </c>
      <c r="N1170">
        <v>0</v>
      </c>
      <c r="O1170">
        <v>0</v>
      </c>
      <c r="P1170" t="str">
        <f t="shared" si="37"/>
        <v>Non Chronic</v>
      </c>
      <c r="Q1170">
        <v>1</v>
      </c>
      <c r="R1170">
        <v>0</v>
      </c>
      <c r="S1170" t="s">
        <v>0</v>
      </c>
    </row>
    <row r="1171" spans="1:19" x14ac:dyDescent="0.3">
      <c r="A1171">
        <v>501170</v>
      </c>
      <c r="B1171">
        <v>13315</v>
      </c>
      <c r="C1171" t="s">
        <v>8</v>
      </c>
      <c r="D1171" t="s">
        <v>7</v>
      </c>
      <c r="E1171" s="1">
        <v>46102</v>
      </c>
      <c r="F1171" t="s">
        <v>319</v>
      </c>
      <c r="G1171" s="1">
        <v>46122</v>
      </c>
      <c r="H1171" s="1" t="str">
        <f t="shared" si="36"/>
        <v>Friday</v>
      </c>
      <c r="I1171">
        <v>55</v>
      </c>
      <c r="J1171" t="s">
        <v>20</v>
      </c>
      <c r="K1171">
        <v>1</v>
      </c>
      <c r="L1171">
        <v>1</v>
      </c>
      <c r="M1171">
        <v>0</v>
      </c>
      <c r="N1171">
        <v>0</v>
      </c>
      <c r="O1171">
        <v>0</v>
      </c>
      <c r="P1171" t="str">
        <f t="shared" si="37"/>
        <v>Chronic</v>
      </c>
      <c r="Q1171">
        <v>1</v>
      </c>
      <c r="R1171">
        <v>1</v>
      </c>
      <c r="S1171" t="s">
        <v>0</v>
      </c>
    </row>
    <row r="1172" spans="1:19" x14ac:dyDescent="0.3">
      <c r="A1172">
        <v>501171</v>
      </c>
      <c r="B1172">
        <v>11398</v>
      </c>
      <c r="C1172" t="s">
        <v>4</v>
      </c>
      <c r="D1172" t="s">
        <v>7</v>
      </c>
      <c r="E1172" s="1">
        <v>46082</v>
      </c>
      <c r="F1172" t="s">
        <v>318</v>
      </c>
      <c r="G1172" s="1">
        <v>46085</v>
      </c>
      <c r="H1172" s="1" t="str">
        <f t="shared" si="36"/>
        <v>Wednesday</v>
      </c>
      <c r="I1172">
        <v>53</v>
      </c>
      <c r="J1172" t="s">
        <v>20</v>
      </c>
      <c r="K1172">
        <v>0</v>
      </c>
      <c r="L1172">
        <v>1</v>
      </c>
      <c r="M1172">
        <v>0</v>
      </c>
      <c r="N1172">
        <v>0</v>
      </c>
      <c r="O1172">
        <v>0</v>
      </c>
      <c r="P1172" t="str">
        <f t="shared" si="37"/>
        <v>Chronic</v>
      </c>
      <c r="Q1172">
        <v>1</v>
      </c>
      <c r="R1172">
        <v>0</v>
      </c>
      <c r="S1172" t="s">
        <v>0</v>
      </c>
    </row>
    <row r="1173" spans="1:19" x14ac:dyDescent="0.3">
      <c r="A1173">
        <v>501172</v>
      </c>
      <c r="B1173">
        <v>89531</v>
      </c>
      <c r="C1173" t="s">
        <v>8</v>
      </c>
      <c r="D1173" t="s">
        <v>36</v>
      </c>
      <c r="E1173" s="1">
        <v>46105</v>
      </c>
      <c r="F1173" t="s">
        <v>317</v>
      </c>
      <c r="G1173" s="1">
        <v>46115</v>
      </c>
      <c r="H1173" s="1" t="str">
        <f t="shared" si="36"/>
        <v>Friday</v>
      </c>
      <c r="I1173">
        <v>43</v>
      </c>
      <c r="J1173" t="s">
        <v>5</v>
      </c>
      <c r="K1173">
        <v>1</v>
      </c>
      <c r="L1173">
        <v>0</v>
      </c>
      <c r="M1173">
        <v>0</v>
      </c>
      <c r="N1173">
        <v>0</v>
      </c>
      <c r="O1173">
        <v>0</v>
      </c>
      <c r="P1173" t="str">
        <f t="shared" si="37"/>
        <v>Non Chronic</v>
      </c>
      <c r="Q1173">
        <v>1</v>
      </c>
      <c r="R1173">
        <v>1</v>
      </c>
      <c r="S1173" t="s">
        <v>0</v>
      </c>
    </row>
    <row r="1174" spans="1:19" x14ac:dyDescent="0.3">
      <c r="A1174">
        <v>501173</v>
      </c>
      <c r="B1174">
        <v>84996</v>
      </c>
      <c r="C1174" t="s">
        <v>4</v>
      </c>
      <c r="D1174" t="s">
        <v>7</v>
      </c>
      <c r="E1174" s="1">
        <v>46148</v>
      </c>
      <c r="F1174" t="s">
        <v>56</v>
      </c>
      <c r="G1174" s="1">
        <v>46153</v>
      </c>
      <c r="H1174" s="1" t="str">
        <f t="shared" si="36"/>
        <v>Monday</v>
      </c>
      <c r="I1174">
        <v>40</v>
      </c>
      <c r="J1174" t="s">
        <v>1</v>
      </c>
      <c r="K1174">
        <v>1</v>
      </c>
      <c r="L1174">
        <v>0</v>
      </c>
      <c r="M1174">
        <v>0</v>
      </c>
      <c r="N1174">
        <v>0</v>
      </c>
      <c r="O1174">
        <v>0</v>
      </c>
      <c r="P1174" t="str">
        <f t="shared" si="37"/>
        <v>Non Chronic</v>
      </c>
      <c r="Q1174">
        <v>0</v>
      </c>
      <c r="R1174">
        <v>0</v>
      </c>
      <c r="S1174" t="s">
        <v>22</v>
      </c>
    </row>
    <row r="1175" spans="1:19" x14ac:dyDescent="0.3">
      <c r="A1175">
        <v>501174</v>
      </c>
      <c r="B1175">
        <v>23616</v>
      </c>
      <c r="C1175" t="s">
        <v>4</v>
      </c>
      <c r="D1175" t="s">
        <v>19</v>
      </c>
      <c r="E1175" s="1">
        <v>46079</v>
      </c>
      <c r="F1175" t="s">
        <v>316</v>
      </c>
      <c r="G1175" s="1">
        <v>46080</v>
      </c>
      <c r="H1175" s="1" t="str">
        <f t="shared" si="36"/>
        <v>Friday</v>
      </c>
      <c r="I1175">
        <v>36</v>
      </c>
      <c r="J1175" t="s">
        <v>17</v>
      </c>
      <c r="K1175">
        <v>0</v>
      </c>
      <c r="L1175">
        <v>0</v>
      </c>
      <c r="M1175">
        <v>0</v>
      </c>
      <c r="N1175">
        <v>0</v>
      </c>
      <c r="O1175">
        <v>0</v>
      </c>
      <c r="P1175" t="str">
        <f t="shared" si="37"/>
        <v>Non Chronic</v>
      </c>
      <c r="Q1175">
        <v>0</v>
      </c>
      <c r="R1175">
        <v>1</v>
      </c>
      <c r="S1175" t="s">
        <v>22</v>
      </c>
    </row>
    <row r="1176" spans="1:19" x14ac:dyDescent="0.3">
      <c r="A1176">
        <v>501175</v>
      </c>
      <c r="B1176">
        <v>25653</v>
      </c>
      <c r="C1176" t="s">
        <v>4</v>
      </c>
      <c r="D1176" t="s">
        <v>7</v>
      </c>
      <c r="E1176" s="1">
        <v>46126</v>
      </c>
      <c r="F1176" t="s">
        <v>315</v>
      </c>
      <c r="G1176" s="1">
        <v>46131</v>
      </c>
      <c r="H1176" s="1" t="str">
        <f t="shared" si="36"/>
        <v>Sunday</v>
      </c>
      <c r="I1176">
        <v>22</v>
      </c>
      <c r="J1176" t="s">
        <v>17</v>
      </c>
      <c r="K1176">
        <v>1</v>
      </c>
      <c r="L1176">
        <v>0</v>
      </c>
      <c r="M1176">
        <v>0</v>
      </c>
      <c r="N1176">
        <v>0</v>
      </c>
      <c r="O1176">
        <v>0</v>
      </c>
      <c r="P1176" t="str">
        <f t="shared" si="37"/>
        <v>Non Chronic</v>
      </c>
      <c r="Q1176">
        <v>0</v>
      </c>
      <c r="R1176">
        <v>1</v>
      </c>
      <c r="S1176" t="s">
        <v>22</v>
      </c>
    </row>
    <row r="1177" spans="1:19" x14ac:dyDescent="0.3">
      <c r="A1177">
        <v>501176</v>
      </c>
      <c r="B1177">
        <v>90478</v>
      </c>
      <c r="C1177" t="s">
        <v>4</v>
      </c>
      <c r="D1177" t="s">
        <v>19</v>
      </c>
      <c r="E1177" s="1">
        <v>46003</v>
      </c>
      <c r="F1177" t="s">
        <v>314</v>
      </c>
      <c r="G1177" s="1">
        <v>46010</v>
      </c>
      <c r="H1177" s="1" t="str">
        <f t="shared" si="36"/>
        <v>Friday</v>
      </c>
      <c r="I1177">
        <v>32</v>
      </c>
      <c r="J1177" t="s">
        <v>20</v>
      </c>
      <c r="K1177">
        <v>0</v>
      </c>
      <c r="L1177">
        <v>0</v>
      </c>
      <c r="M1177">
        <v>0</v>
      </c>
      <c r="N1177">
        <v>0</v>
      </c>
      <c r="O1177">
        <v>0</v>
      </c>
      <c r="P1177" t="str">
        <f t="shared" si="37"/>
        <v>Non Chronic</v>
      </c>
      <c r="Q1177">
        <v>0</v>
      </c>
      <c r="R1177">
        <v>0</v>
      </c>
      <c r="S1177" t="s">
        <v>22</v>
      </c>
    </row>
    <row r="1178" spans="1:19" x14ac:dyDescent="0.3">
      <c r="A1178">
        <v>501177</v>
      </c>
      <c r="B1178">
        <v>97096</v>
      </c>
      <c r="C1178" t="s">
        <v>8</v>
      </c>
      <c r="D1178" t="s">
        <v>3</v>
      </c>
      <c r="E1178" s="1">
        <v>46137</v>
      </c>
      <c r="F1178" t="s">
        <v>219</v>
      </c>
      <c r="G1178" s="1">
        <v>46137</v>
      </c>
      <c r="H1178" s="1" t="str">
        <f t="shared" si="36"/>
        <v>Saturday</v>
      </c>
      <c r="I1178">
        <v>4</v>
      </c>
      <c r="J1178" t="s">
        <v>17</v>
      </c>
      <c r="K1178">
        <v>0</v>
      </c>
      <c r="L1178">
        <v>0</v>
      </c>
      <c r="M1178">
        <v>0</v>
      </c>
      <c r="N1178">
        <v>0</v>
      </c>
      <c r="O1178">
        <v>0</v>
      </c>
      <c r="P1178" t="str">
        <f t="shared" si="37"/>
        <v>Non Chronic</v>
      </c>
      <c r="Q1178">
        <v>0</v>
      </c>
      <c r="R1178">
        <v>0</v>
      </c>
      <c r="S1178" t="s">
        <v>30</v>
      </c>
    </row>
    <row r="1179" spans="1:19" x14ac:dyDescent="0.3">
      <c r="A1179">
        <v>501178</v>
      </c>
      <c r="B1179">
        <v>44948</v>
      </c>
      <c r="C1179" t="s">
        <v>4</v>
      </c>
      <c r="D1179" t="s">
        <v>28</v>
      </c>
      <c r="E1179" s="1">
        <v>46027</v>
      </c>
      <c r="F1179" t="s">
        <v>313</v>
      </c>
      <c r="G1179" s="1">
        <v>46029</v>
      </c>
      <c r="H1179" s="1" t="str">
        <f t="shared" si="36"/>
        <v>Wednesday</v>
      </c>
      <c r="I1179">
        <v>36</v>
      </c>
      <c r="J1179" t="s">
        <v>10</v>
      </c>
      <c r="K1179">
        <v>0</v>
      </c>
      <c r="L1179">
        <v>0</v>
      </c>
      <c r="M1179">
        <v>0</v>
      </c>
      <c r="N1179">
        <v>0</v>
      </c>
      <c r="O1179">
        <v>0</v>
      </c>
      <c r="P1179" t="str">
        <f t="shared" si="37"/>
        <v>Non Chronic</v>
      </c>
      <c r="Q1179">
        <v>1</v>
      </c>
      <c r="R1179">
        <v>1</v>
      </c>
      <c r="S1179" t="s">
        <v>22</v>
      </c>
    </row>
    <row r="1180" spans="1:19" x14ac:dyDescent="0.3">
      <c r="A1180">
        <v>501179</v>
      </c>
      <c r="B1180">
        <v>10422</v>
      </c>
      <c r="C1180" t="s">
        <v>8</v>
      </c>
      <c r="D1180" t="s">
        <v>25</v>
      </c>
      <c r="E1180" s="1">
        <v>46057</v>
      </c>
      <c r="F1180" t="s">
        <v>312</v>
      </c>
      <c r="G1180" s="1">
        <v>46060</v>
      </c>
      <c r="H1180" s="1" t="str">
        <f t="shared" si="36"/>
        <v>Saturday</v>
      </c>
      <c r="I1180">
        <v>18</v>
      </c>
      <c r="J1180" t="s">
        <v>12</v>
      </c>
      <c r="K1180">
        <v>0</v>
      </c>
      <c r="L1180">
        <v>0</v>
      </c>
      <c r="M1180">
        <v>0</v>
      </c>
      <c r="N1180">
        <v>0</v>
      </c>
      <c r="O1180">
        <v>0</v>
      </c>
      <c r="P1180" t="str">
        <f t="shared" si="37"/>
        <v>Non Chronic</v>
      </c>
      <c r="Q1180">
        <v>1</v>
      </c>
      <c r="R1180">
        <v>0</v>
      </c>
      <c r="S1180" t="s">
        <v>30</v>
      </c>
    </row>
    <row r="1181" spans="1:19" x14ac:dyDescent="0.3">
      <c r="A1181">
        <v>501180</v>
      </c>
      <c r="B1181">
        <v>21284</v>
      </c>
      <c r="C1181" t="s">
        <v>8</v>
      </c>
      <c r="D1181" t="s">
        <v>58</v>
      </c>
      <c r="E1181" s="1">
        <v>46162</v>
      </c>
      <c r="F1181" t="s">
        <v>260</v>
      </c>
      <c r="G1181" s="1">
        <v>46182</v>
      </c>
      <c r="H1181" s="1" t="str">
        <f t="shared" si="36"/>
        <v>Tuesday</v>
      </c>
      <c r="I1181">
        <v>15</v>
      </c>
      <c r="J1181" t="s">
        <v>15</v>
      </c>
      <c r="K1181">
        <v>0</v>
      </c>
      <c r="L1181">
        <v>0</v>
      </c>
      <c r="M1181">
        <v>0</v>
      </c>
      <c r="N1181">
        <v>0</v>
      </c>
      <c r="O1181">
        <v>0</v>
      </c>
      <c r="P1181" t="str">
        <f t="shared" si="37"/>
        <v>Non Chronic</v>
      </c>
      <c r="Q1181">
        <v>1</v>
      </c>
      <c r="R1181">
        <v>1</v>
      </c>
      <c r="S1181" t="s">
        <v>30</v>
      </c>
    </row>
    <row r="1182" spans="1:19" x14ac:dyDescent="0.3">
      <c r="A1182">
        <v>501181</v>
      </c>
      <c r="B1182">
        <v>51615</v>
      </c>
      <c r="C1182" t="s">
        <v>4</v>
      </c>
      <c r="D1182" t="s">
        <v>28</v>
      </c>
      <c r="E1182" s="1">
        <v>46135</v>
      </c>
      <c r="F1182" t="s">
        <v>311</v>
      </c>
      <c r="G1182" s="1">
        <v>46155</v>
      </c>
      <c r="H1182" s="1" t="str">
        <f t="shared" si="36"/>
        <v>Wednesday</v>
      </c>
      <c r="I1182">
        <v>41</v>
      </c>
      <c r="J1182" t="s">
        <v>17</v>
      </c>
      <c r="K1182">
        <v>0</v>
      </c>
      <c r="L1182">
        <v>0</v>
      </c>
      <c r="M1182">
        <v>0</v>
      </c>
      <c r="N1182">
        <v>0</v>
      </c>
      <c r="O1182">
        <v>0</v>
      </c>
      <c r="P1182" t="str">
        <f t="shared" si="37"/>
        <v>Non Chronic</v>
      </c>
      <c r="Q1182">
        <v>0</v>
      </c>
      <c r="R1182">
        <v>1</v>
      </c>
      <c r="S1182" t="s">
        <v>0</v>
      </c>
    </row>
    <row r="1183" spans="1:19" x14ac:dyDescent="0.3">
      <c r="A1183">
        <v>501182</v>
      </c>
      <c r="B1183">
        <v>99245</v>
      </c>
      <c r="C1183" t="s">
        <v>4</v>
      </c>
      <c r="D1183" t="s">
        <v>28</v>
      </c>
      <c r="E1183" s="1">
        <v>46036</v>
      </c>
      <c r="F1183" t="s">
        <v>310</v>
      </c>
      <c r="G1183" s="1">
        <v>46039</v>
      </c>
      <c r="H1183" s="1" t="str">
        <f t="shared" si="36"/>
        <v>Saturday</v>
      </c>
      <c r="I1183">
        <v>65</v>
      </c>
      <c r="J1183" t="s">
        <v>5</v>
      </c>
      <c r="K1183">
        <v>0</v>
      </c>
      <c r="L1183">
        <v>0</v>
      </c>
      <c r="M1183">
        <v>0</v>
      </c>
      <c r="N1183">
        <v>0</v>
      </c>
      <c r="O1183">
        <v>0</v>
      </c>
      <c r="P1183" t="str">
        <f t="shared" si="37"/>
        <v>Non Chronic</v>
      </c>
      <c r="Q1183">
        <v>0</v>
      </c>
      <c r="R1183">
        <v>1</v>
      </c>
      <c r="S1183" t="s">
        <v>9</v>
      </c>
    </row>
    <row r="1184" spans="1:19" x14ac:dyDescent="0.3">
      <c r="A1184">
        <v>501183</v>
      </c>
      <c r="B1184">
        <v>36112</v>
      </c>
      <c r="C1184" t="s">
        <v>4</v>
      </c>
      <c r="D1184" t="s">
        <v>25</v>
      </c>
      <c r="E1184" s="1">
        <v>46079</v>
      </c>
      <c r="F1184" t="s">
        <v>309</v>
      </c>
      <c r="G1184" s="1">
        <v>46086</v>
      </c>
      <c r="H1184" s="1" t="str">
        <f t="shared" si="36"/>
        <v>Thursday</v>
      </c>
      <c r="I1184">
        <v>56</v>
      </c>
      <c r="J1184" t="s">
        <v>5</v>
      </c>
      <c r="K1184">
        <v>1</v>
      </c>
      <c r="L1184">
        <v>1</v>
      </c>
      <c r="M1184">
        <v>0</v>
      </c>
      <c r="N1184">
        <v>0</v>
      </c>
      <c r="O1184">
        <v>0</v>
      </c>
      <c r="P1184" t="str">
        <f t="shared" si="37"/>
        <v>Chronic</v>
      </c>
      <c r="Q1184">
        <v>1</v>
      </c>
      <c r="R1184">
        <v>0</v>
      </c>
      <c r="S1184" t="s">
        <v>0</v>
      </c>
    </row>
    <row r="1185" spans="1:19" x14ac:dyDescent="0.3">
      <c r="A1185">
        <v>501184</v>
      </c>
      <c r="B1185">
        <v>32344</v>
      </c>
      <c r="C1185" t="s">
        <v>4</v>
      </c>
      <c r="D1185" t="s">
        <v>3</v>
      </c>
      <c r="E1185" s="1">
        <v>46003</v>
      </c>
      <c r="F1185" t="s">
        <v>308</v>
      </c>
      <c r="G1185" s="1">
        <v>46008</v>
      </c>
      <c r="H1185" s="1" t="str">
        <f t="shared" si="36"/>
        <v>Wednesday</v>
      </c>
      <c r="I1185">
        <v>6</v>
      </c>
      <c r="J1185" t="s">
        <v>31</v>
      </c>
      <c r="K1185">
        <v>0</v>
      </c>
      <c r="L1185">
        <v>0</v>
      </c>
      <c r="M1185">
        <v>0</v>
      </c>
      <c r="N1185">
        <v>0</v>
      </c>
      <c r="O1185">
        <v>0</v>
      </c>
      <c r="P1185" t="str">
        <f t="shared" si="37"/>
        <v>Non Chronic</v>
      </c>
      <c r="Q1185">
        <v>1</v>
      </c>
      <c r="R1185">
        <v>0</v>
      </c>
      <c r="S1185" t="s">
        <v>30</v>
      </c>
    </row>
    <row r="1186" spans="1:19" x14ac:dyDescent="0.3">
      <c r="A1186">
        <v>501185</v>
      </c>
      <c r="B1186">
        <v>55471</v>
      </c>
      <c r="C1186" t="s">
        <v>8</v>
      </c>
      <c r="D1186" t="s">
        <v>14</v>
      </c>
      <c r="E1186" s="1">
        <v>46140</v>
      </c>
      <c r="F1186" t="s">
        <v>168</v>
      </c>
      <c r="G1186" s="1">
        <v>46150</v>
      </c>
      <c r="H1186" s="1" t="str">
        <f t="shared" si="36"/>
        <v>Friday</v>
      </c>
      <c r="I1186">
        <v>18</v>
      </c>
      <c r="J1186" t="s">
        <v>20</v>
      </c>
      <c r="K1186">
        <v>0</v>
      </c>
      <c r="L1186">
        <v>0</v>
      </c>
      <c r="M1186">
        <v>0</v>
      </c>
      <c r="N1186">
        <v>0</v>
      </c>
      <c r="O1186">
        <v>0</v>
      </c>
      <c r="P1186" t="str">
        <f t="shared" si="37"/>
        <v>Non Chronic</v>
      </c>
      <c r="Q1186">
        <v>1</v>
      </c>
      <c r="R1186">
        <v>0</v>
      </c>
      <c r="S1186" t="s">
        <v>30</v>
      </c>
    </row>
    <row r="1187" spans="1:19" x14ac:dyDescent="0.3">
      <c r="A1187">
        <v>501186</v>
      </c>
      <c r="B1187">
        <v>45251</v>
      </c>
      <c r="C1187" t="s">
        <v>4</v>
      </c>
      <c r="D1187" t="s">
        <v>14</v>
      </c>
      <c r="E1187" s="1">
        <v>46074</v>
      </c>
      <c r="F1187" t="s">
        <v>307</v>
      </c>
      <c r="G1187" s="1">
        <v>46075</v>
      </c>
      <c r="H1187" s="1" t="str">
        <f t="shared" si="36"/>
        <v>Sunday</v>
      </c>
      <c r="I1187">
        <v>56</v>
      </c>
      <c r="J1187" t="s">
        <v>5</v>
      </c>
      <c r="K1187">
        <v>0</v>
      </c>
      <c r="L1187">
        <v>0</v>
      </c>
      <c r="M1187">
        <v>1</v>
      </c>
      <c r="N1187">
        <v>0</v>
      </c>
      <c r="O1187">
        <v>0</v>
      </c>
      <c r="P1187" t="str">
        <f t="shared" si="37"/>
        <v>Chronic</v>
      </c>
      <c r="Q1187">
        <v>1</v>
      </c>
      <c r="R1187">
        <v>0</v>
      </c>
      <c r="S1187" t="s">
        <v>0</v>
      </c>
    </row>
    <row r="1188" spans="1:19" x14ac:dyDescent="0.3">
      <c r="A1188">
        <v>501187</v>
      </c>
      <c r="B1188">
        <v>58795</v>
      </c>
      <c r="C1188" t="s">
        <v>8</v>
      </c>
      <c r="D1188" t="s">
        <v>36</v>
      </c>
      <c r="E1188" s="1">
        <v>46012</v>
      </c>
      <c r="F1188" t="s">
        <v>306</v>
      </c>
      <c r="G1188" s="1">
        <v>46022</v>
      </c>
      <c r="H1188" s="1" t="str">
        <f t="shared" si="36"/>
        <v>Wednesday</v>
      </c>
      <c r="I1188">
        <v>18</v>
      </c>
      <c r="J1188" t="s">
        <v>20</v>
      </c>
      <c r="K1188">
        <v>0</v>
      </c>
      <c r="L1188">
        <v>0</v>
      </c>
      <c r="M1188">
        <v>0</v>
      </c>
      <c r="N1188">
        <v>0</v>
      </c>
      <c r="O1188">
        <v>0</v>
      </c>
      <c r="P1188" t="str">
        <f t="shared" si="37"/>
        <v>Non Chronic</v>
      </c>
      <c r="Q1188">
        <v>1</v>
      </c>
      <c r="R1188">
        <v>0</v>
      </c>
      <c r="S1188" t="s">
        <v>30</v>
      </c>
    </row>
    <row r="1189" spans="1:19" x14ac:dyDescent="0.3">
      <c r="A1189">
        <v>501188</v>
      </c>
      <c r="B1189">
        <v>11035</v>
      </c>
      <c r="C1189" t="s">
        <v>4</v>
      </c>
      <c r="D1189" t="s">
        <v>3</v>
      </c>
      <c r="E1189" s="1">
        <v>46031</v>
      </c>
      <c r="F1189" t="s">
        <v>305</v>
      </c>
      <c r="G1189" s="1">
        <v>46051</v>
      </c>
      <c r="H1189" s="1" t="str">
        <f t="shared" si="36"/>
        <v>Thursday</v>
      </c>
      <c r="I1189">
        <v>33</v>
      </c>
      <c r="J1189" t="s">
        <v>10</v>
      </c>
      <c r="K1189">
        <v>1</v>
      </c>
      <c r="L1189">
        <v>0</v>
      </c>
      <c r="M1189">
        <v>0</v>
      </c>
      <c r="N1189">
        <v>0</v>
      </c>
      <c r="O1189">
        <v>0</v>
      </c>
      <c r="P1189" t="str">
        <f t="shared" si="37"/>
        <v>Non Chronic</v>
      </c>
      <c r="Q1189">
        <v>1</v>
      </c>
      <c r="R1189">
        <v>0</v>
      </c>
      <c r="S1189" t="s">
        <v>22</v>
      </c>
    </row>
    <row r="1190" spans="1:19" x14ac:dyDescent="0.3">
      <c r="A1190">
        <v>501189</v>
      </c>
      <c r="B1190">
        <v>31331</v>
      </c>
      <c r="C1190" t="s">
        <v>8</v>
      </c>
      <c r="D1190" t="s">
        <v>28</v>
      </c>
      <c r="E1190" s="1">
        <v>46034</v>
      </c>
      <c r="F1190" t="s">
        <v>304</v>
      </c>
      <c r="G1190" s="1">
        <v>46037</v>
      </c>
      <c r="H1190" s="1" t="str">
        <f t="shared" si="36"/>
        <v>Thursday</v>
      </c>
      <c r="I1190">
        <v>49</v>
      </c>
      <c r="J1190" t="s">
        <v>17</v>
      </c>
      <c r="K1190">
        <v>1</v>
      </c>
      <c r="L1190">
        <v>0</v>
      </c>
      <c r="M1190">
        <v>0</v>
      </c>
      <c r="N1190">
        <v>0</v>
      </c>
      <c r="O1190">
        <v>0</v>
      </c>
      <c r="P1190" t="str">
        <f t="shared" si="37"/>
        <v>Non Chronic</v>
      </c>
      <c r="Q1190">
        <v>1</v>
      </c>
      <c r="R1190">
        <v>0</v>
      </c>
      <c r="S1190" t="s">
        <v>0</v>
      </c>
    </row>
    <row r="1191" spans="1:19" x14ac:dyDescent="0.3">
      <c r="A1191">
        <v>501190</v>
      </c>
      <c r="B1191">
        <v>43105</v>
      </c>
      <c r="C1191" t="s">
        <v>8</v>
      </c>
      <c r="D1191" t="s">
        <v>19</v>
      </c>
      <c r="E1191" s="1">
        <v>46053</v>
      </c>
      <c r="F1191" t="s">
        <v>303</v>
      </c>
      <c r="G1191" s="1">
        <v>46063</v>
      </c>
      <c r="H1191" s="1" t="str">
        <f t="shared" si="36"/>
        <v>Tuesday</v>
      </c>
      <c r="I1191">
        <v>18</v>
      </c>
      <c r="J1191" t="s">
        <v>10</v>
      </c>
      <c r="K1191">
        <v>0</v>
      </c>
      <c r="L1191">
        <v>0</v>
      </c>
      <c r="M1191">
        <v>0</v>
      </c>
      <c r="N1191">
        <v>0</v>
      </c>
      <c r="O1191">
        <v>0</v>
      </c>
      <c r="P1191" t="str">
        <f t="shared" si="37"/>
        <v>Non Chronic</v>
      </c>
      <c r="Q1191">
        <v>1</v>
      </c>
      <c r="R1191">
        <v>0</v>
      </c>
      <c r="S1191" t="s">
        <v>30</v>
      </c>
    </row>
    <row r="1192" spans="1:19" x14ac:dyDescent="0.3">
      <c r="A1192">
        <v>501191</v>
      </c>
      <c r="B1192">
        <v>40710</v>
      </c>
      <c r="C1192" t="s">
        <v>4</v>
      </c>
      <c r="D1192" t="s">
        <v>3</v>
      </c>
      <c r="E1192" s="1">
        <v>46004</v>
      </c>
      <c r="F1192" t="s">
        <v>302</v>
      </c>
      <c r="G1192" s="1">
        <v>46007</v>
      </c>
      <c r="H1192" s="1" t="str">
        <f t="shared" si="36"/>
        <v>Tuesday</v>
      </c>
      <c r="I1192">
        <v>40</v>
      </c>
      <c r="J1192" t="s">
        <v>23</v>
      </c>
      <c r="K1192">
        <v>1</v>
      </c>
      <c r="L1192">
        <v>0</v>
      </c>
      <c r="M1192">
        <v>0</v>
      </c>
      <c r="N1192">
        <v>0</v>
      </c>
      <c r="O1192">
        <v>0</v>
      </c>
      <c r="P1192" t="str">
        <f t="shared" si="37"/>
        <v>Non Chronic</v>
      </c>
      <c r="Q1192">
        <v>1</v>
      </c>
      <c r="R1192">
        <v>0</v>
      </c>
      <c r="S1192" t="s">
        <v>22</v>
      </c>
    </row>
    <row r="1193" spans="1:19" x14ac:dyDescent="0.3">
      <c r="A1193">
        <v>501192</v>
      </c>
      <c r="B1193">
        <v>49397</v>
      </c>
      <c r="C1193" t="s">
        <v>4</v>
      </c>
      <c r="D1193" t="s">
        <v>28</v>
      </c>
      <c r="E1193" s="1">
        <v>46023</v>
      </c>
      <c r="F1193" t="s">
        <v>301</v>
      </c>
      <c r="G1193" s="1">
        <v>46033</v>
      </c>
      <c r="H1193" s="1" t="str">
        <f t="shared" si="36"/>
        <v>Sunday</v>
      </c>
      <c r="I1193">
        <v>11</v>
      </c>
      <c r="J1193" t="s">
        <v>31</v>
      </c>
      <c r="K1193">
        <v>0</v>
      </c>
      <c r="L1193">
        <v>0</v>
      </c>
      <c r="M1193">
        <v>0</v>
      </c>
      <c r="N1193">
        <v>0</v>
      </c>
      <c r="O1193">
        <v>0</v>
      </c>
      <c r="P1193" t="str">
        <f t="shared" si="37"/>
        <v>Non Chronic</v>
      </c>
      <c r="Q1193">
        <v>0</v>
      </c>
      <c r="R1193">
        <v>1</v>
      </c>
      <c r="S1193" t="s">
        <v>30</v>
      </c>
    </row>
    <row r="1194" spans="1:19" x14ac:dyDescent="0.3">
      <c r="A1194">
        <v>501193</v>
      </c>
      <c r="B1194">
        <v>21848</v>
      </c>
      <c r="C1194" t="s">
        <v>8</v>
      </c>
      <c r="D1194" t="s">
        <v>28</v>
      </c>
      <c r="E1194" s="1">
        <v>46038</v>
      </c>
      <c r="F1194" t="s">
        <v>300</v>
      </c>
      <c r="G1194" s="1">
        <v>46043</v>
      </c>
      <c r="H1194" s="1" t="str">
        <f t="shared" si="36"/>
        <v>Wednesday</v>
      </c>
      <c r="I1194">
        <v>25</v>
      </c>
      <c r="J1194" t="s">
        <v>20</v>
      </c>
      <c r="K1194">
        <v>1</v>
      </c>
      <c r="L1194">
        <v>0</v>
      </c>
      <c r="M1194">
        <v>0</v>
      </c>
      <c r="N1194">
        <v>0</v>
      </c>
      <c r="O1194">
        <v>0</v>
      </c>
      <c r="P1194" t="str">
        <f t="shared" si="37"/>
        <v>Non Chronic</v>
      </c>
      <c r="Q1194">
        <v>1</v>
      </c>
      <c r="R1194">
        <v>1</v>
      </c>
      <c r="S1194" t="s">
        <v>22</v>
      </c>
    </row>
    <row r="1195" spans="1:19" x14ac:dyDescent="0.3">
      <c r="A1195">
        <v>501194</v>
      </c>
      <c r="B1195">
        <v>32553</v>
      </c>
      <c r="C1195" t="s">
        <v>8</v>
      </c>
      <c r="D1195" t="s">
        <v>25</v>
      </c>
      <c r="E1195" s="1">
        <v>46096</v>
      </c>
      <c r="F1195" t="s">
        <v>299</v>
      </c>
      <c r="G1195" s="1">
        <v>46097</v>
      </c>
      <c r="H1195" s="1" t="str">
        <f t="shared" si="36"/>
        <v>Monday</v>
      </c>
      <c r="I1195">
        <v>44</v>
      </c>
      <c r="J1195" t="s">
        <v>15</v>
      </c>
      <c r="K1195">
        <v>0</v>
      </c>
      <c r="L1195">
        <v>0</v>
      </c>
      <c r="M1195">
        <v>0</v>
      </c>
      <c r="N1195">
        <v>0</v>
      </c>
      <c r="O1195">
        <v>0</v>
      </c>
      <c r="P1195" t="str">
        <f t="shared" si="37"/>
        <v>Non Chronic</v>
      </c>
      <c r="Q1195">
        <v>1</v>
      </c>
      <c r="R1195">
        <v>0</v>
      </c>
      <c r="S1195" t="s">
        <v>0</v>
      </c>
    </row>
    <row r="1196" spans="1:19" x14ac:dyDescent="0.3">
      <c r="A1196">
        <v>501195</v>
      </c>
      <c r="B1196">
        <v>59054</v>
      </c>
      <c r="C1196" t="s">
        <v>4</v>
      </c>
      <c r="D1196" t="s">
        <v>7</v>
      </c>
      <c r="E1196" s="1">
        <v>46031</v>
      </c>
      <c r="F1196" t="s">
        <v>298</v>
      </c>
      <c r="G1196" s="1">
        <v>46034</v>
      </c>
      <c r="H1196" s="1" t="str">
        <f t="shared" si="36"/>
        <v>Monday</v>
      </c>
      <c r="I1196">
        <v>6</v>
      </c>
      <c r="J1196" t="s">
        <v>31</v>
      </c>
      <c r="K1196">
        <v>0</v>
      </c>
      <c r="L1196">
        <v>0</v>
      </c>
      <c r="M1196">
        <v>0</v>
      </c>
      <c r="N1196">
        <v>0</v>
      </c>
      <c r="O1196">
        <v>0</v>
      </c>
      <c r="P1196" t="str">
        <f t="shared" si="37"/>
        <v>Non Chronic</v>
      </c>
      <c r="Q1196">
        <v>1</v>
      </c>
      <c r="R1196">
        <v>0</v>
      </c>
      <c r="S1196" t="s">
        <v>30</v>
      </c>
    </row>
    <row r="1197" spans="1:19" x14ac:dyDescent="0.3">
      <c r="A1197">
        <v>501196</v>
      </c>
      <c r="B1197">
        <v>37851</v>
      </c>
      <c r="C1197" t="s">
        <v>8</v>
      </c>
      <c r="D1197" t="s">
        <v>3</v>
      </c>
      <c r="E1197" s="1">
        <v>46106</v>
      </c>
      <c r="F1197" t="s">
        <v>201</v>
      </c>
      <c r="G1197" s="1">
        <v>46116</v>
      </c>
      <c r="H1197" s="1" t="str">
        <f t="shared" si="36"/>
        <v>Saturday</v>
      </c>
      <c r="I1197">
        <v>46</v>
      </c>
      <c r="J1197" t="s">
        <v>10</v>
      </c>
      <c r="K1197">
        <v>0</v>
      </c>
      <c r="L1197">
        <v>0</v>
      </c>
      <c r="M1197">
        <v>1</v>
      </c>
      <c r="N1197">
        <v>0</v>
      </c>
      <c r="O1197">
        <v>0</v>
      </c>
      <c r="P1197" t="str">
        <f t="shared" si="37"/>
        <v>Chronic</v>
      </c>
      <c r="Q1197">
        <v>1</v>
      </c>
      <c r="R1197">
        <v>0</v>
      </c>
      <c r="S1197" t="s">
        <v>0</v>
      </c>
    </row>
    <row r="1198" spans="1:19" x14ac:dyDescent="0.3">
      <c r="A1198">
        <v>501197</v>
      </c>
      <c r="B1198">
        <v>47118</v>
      </c>
      <c r="C1198" t="s">
        <v>8</v>
      </c>
      <c r="D1198" t="s">
        <v>3</v>
      </c>
      <c r="E1198" s="1">
        <v>46043</v>
      </c>
      <c r="F1198" t="s">
        <v>297</v>
      </c>
      <c r="G1198" s="1">
        <v>46053</v>
      </c>
      <c r="H1198" s="1" t="str">
        <f t="shared" si="36"/>
        <v>Saturday</v>
      </c>
      <c r="I1198">
        <v>37</v>
      </c>
      <c r="J1198" t="s">
        <v>12</v>
      </c>
      <c r="K1198">
        <v>0</v>
      </c>
      <c r="L1198">
        <v>0</v>
      </c>
      <c r="M1198">
        <v>0</v>
      </c>
      <c r="N1198">
        <v>0</v>
      </c>
      <c r="O1198">
        <v>0</v>
      </c>
      <c r="P1198" t="str">
        <f t="shared" si="37"/>
        <v>Non Chronic</v>
      </c>
      <c r="Q1198">
        <v>0</v>
      </c>
      <c r="R1198">
        <v>1</v>
      </c>
      <c r="S1198" t="s">
        <v>22</v>
      </c>
    </row>
    <row r="1199" spans="1:19" x14ac:dyDescent="0.3">
      <c r="A1199">
        <v>501198</v>
      </c>
      <c r="B1199">
        <v>89760</v>
      </c>
      <c r="C1199" t="s">
        <v>4</v>
      </c>
      <c r="D1199" t="s">
        <v>14</v>
      </c>
      <c r="E1199" s="1">
        <v>46023</v>
      </c>
      <c r="F1199" t="s">
        <v>296</v>
      </c>
      <c r="G1199" s="1">
        <v>46033</v>
      </c>
      <c r="H1199" s="1" t="str">
        <f t="shared" si="36"/>
        <v>Sunday</v>
      </c>
      <c r="I1199">
        <v>49</v>
      </c>
      <c r="J1199" t="s">
        <v>20</v>
      </c>
      <c r="K1199">
        <v>1</v>
      </c>
      <c r="L1199">
        <v>1</v>
      </c>
      <c r="M1199">
        <v>0</v>
      </c>
      <c r="N1199">
        <v>0</v>
      </c>
      <c r="O1199">
        <v>0</v>
      </c>
      <c r="P1199" t="str">
        <f t="shared" si="37"/>
        <v>Chronic</v>
      </c>
      <c r="Q1199">
        <v>0</v>
      </c>
      <c r="R1199">
        <v>0</v>
      </c>
      <c r="S1199" t="s">
        <v>0</v>
      </c>
    </row>
    <row r="1200" spans="1:19" x14ac:dyDescent="0.3">
      <c r="A1200">
        <v>501199</v>
      </c>
      <c r="B1200">
        <v>28098</v>
      </c>
      <c r="C1200" t="s">
        <v>8</v>
      </c>
      <c r="D1200" t="s">
        <v>14</v>
      </c>
      <c r="E1200" s="1">
        <v>46045</v>
      </c>
      <c r="F1200" t="s">
        <v>295</v>
      </c>
      <c r="G1200" s="1">
        <v>46048</v>
      </c>
      <c r="H1200" s="1" t="str">
        <f t="shared" si="36"/>
        <v>Monday</v>
      </c>
      <c r="I1200">
        <v>42</v>
      </c>
      <c r="J1200" t="s">
        <v>17</v>
      </c>
      <c r="K1200">
        <v>0</v>
      </c>
      <c r="L1200">
        <v>0</v>
      </c>
      <c r="M1200">
        <v>0</v>
      </c>
      <c r="N1200">
        <v>0</v>
      </c>
      <c r="O1200">
        <v>0</v>
      </c>
      <c r="P1200" t="str">
        <f t="shared" si="37"/>
        <v>Non Chronic</v>
      </c>
      <c r="Q1200">
        <v>1</v>
      </c>
      <c r="R1200">
        <v>0</v>
      </c>
      <c r="S1200" t="s">
        <v>0</v>
      </c>
    </row>
    <row r="1201" spans="1:19" x14ac:dyDescent="0.3">
      <c r="A1201">
        <v>501200</v>
      </c>
      <c r="B1201">
        <v>50775</v>
      </c>
      <c r="C1201" t="s">
        <v>8</v>
      </c>
      <c r="D1201" t="s">
        <v>7</v>
      </c>
      <c r="E1201" s="1">
        <v>46059</v>
      </c>
      <c r="F1201" t="s">
        <v>294</v>
      </c>
      <c r="G1201" s="1">
        <v>46074</v>
      </c>
      <c r="H1201" s="1" t="str">
        <f t="shared" si="36"/>
        <v>Saturday</v>
      </c>
      <c r="I1201">
        <v>65</v>
      </c>
      <c r="J1201" t="s">
        <v>17</v>
      </c>
      <c r="K1201">
        <v>1</v>
      </c>
      <c r="L1201">
        <v>0</v>
      </c>
      <c r="M1201">
        <v>0</v>
      </c>
      <c r="N1201">
        <v>0</v>
      </c>
      <c r="O1201">
        <v>0</v>
      </c>
      <c r="P1201" t="str">
        <f t="shared" si="37"/>
        <v>Non Chronic</v>
      </c>
      <c r="Q1201">
        <v>1</v>
      </c>
      <c r="R1201">
        <v>1</v>
      </c>
      <c r="S1201" t="s">
        <v>9</v>
      </c>
    </row>
    <row r="1202" spans="1:19" x14ac:dyDescent="0.3">
      <c r="A1202">
        <v>501201</v>
      </c>
      <c r="B1202">
        <v>99923</v>
      </c>
      <c r="C1202" t="s">
        <v>4</v>
      </c>
      <c r="D1202" t="s">
        <v>3</v>
      </c>
      <c r="E1202" s="1">
        <v>46027</v>
      </c>
      <c r="F1202" t="s">
        <v>293</v>
      </c>
      <c r="G1202" s="1">
        <v>46034</v>
      </c>
      <c r="H1202" s="1" t="str">
        <f t="shared" si="36"/>
        <v>Monday</v>
      </c>
      <c r="I1202">
        <v>40</v>
      </c>
      <c r="J1202" t="s">
        <v>17</v>
      </c>
      <c r="K1202">
        <v>0</v>
      </c>
      <c r="L1202">
        <v>0</v>
      </c>
      <c r="M1202">
        <v>0</v>
      </c>
      <c r="N1202">
        <v>0</v>
      </c>
      <c r="O1202">
        <v>0</v>
      </c>
      <c r="P1202" t="str">
        <f t="shared" si="37"/>
        <v>Non Chronic</v>
      </c>
      <c r="Q1202">
        <v>1</v>
      </c>
      <c r="R1202">
        <v>0</v>
      </c>
      <c r="S1202" t="s">
        <v>22</v>
      </c>
    </row>
    <row r="1203" spans="1:19" x14ac:dyDescent="0.3">
      <c r="A1203">
        <v>501202</v>
      </c>
      <c r="B1203">
        <v>73719</v>
      </c>
      <c r="C1203" t="s">
        <v>8</v>
      </c>
      <c r="D1203" t="s">
        <v>3</v>
      </c>
      <c r="E1203" s="1">
        <v>46141</v>
      </c>
      <c r="F1203" t="s">
        <v>193</v>
      </c>
      <c r="G1203" s="1">
        <v>46151</v>
      </c>
      <c r="H1203" s="1" t="str">
        <f t="shared" si="36"/>
        <v>Saturday</v>
      </c>
      <c r="I1203">
        <v>29</v>
      </c>
      <c r="J1203" t="s">
        <v>17</v>
      </c>
      <c r="K1203">
        <v>1</v>
      </c>
      <c r="L1203">
        <v>0</v>
      </c>
      <c r="M1203">
        <v>0</v>
      </c>
      <c r="N1203">
        <v>0</v>
      </c>
      <c r="O1203">
        <v>0</v>
      </c>
      <c r="P1203" t="str">
        <f t="shared" si="37"/>
        <v>Non Chronic</v>
      </c>
      <c r="Q1203">
        <v>1</v>
      </c>
      <c r="R1203">
        <v>0</v>
      </c>
      <c r="S1203" t="s">
        <v>22</v>
      </c>
    </row>
    <row r="1204" spans="1:19" x14ac:dyDescent="0.3">
      <c r="A1204">
        <v>501203</v>
      </c>
      <c r="B1204">
        <v>69017</v>
      </c>
      <c r="C1204" t="s">
        <v>8</v>
      </c>
      <c r="D1204" t="s">
        <v>7</v>
      </c>
      <c r="E1204" s="1">
        <v>46053</v>
      </c>
      <c r="F1204" t="s">
        <v>292</v>
      </c>
      <c r="G1204" s="1">
        <v>46054</v>
      </c>
      <c r="H1204" s="1" t="str">
        <f t="shared" si="36"/>
        <v>Sunday</v>
      </c>
      <c r="I1204">
        <v>40</v>
      </c>
      <c r="J1204" t="s">
        <v>20</v>
      </c>
      <c r="K1204">
        <v>1</v>
      </c>
      <c r="L1204">
        <v>0</v>
      </c>
      <c r="M1204">
        <v>0</v>
      </c>
      <c r="N1204">
        <v>0</v>
      </c>
      <c r="O1204">
        <v>0</v>
      </c>
      <c r="P1204" t="str">
        <f t="shared" si="37"/>
        <v>Non Chronic</v>
      </c>
      <c r="Q1204">
        <v>1</v>
      </c>
      <c r="R1204">
        <v>0</v>
      </c>
      <c r="S1204" t="s">
        <v>22</v>
      </c>
    </row>
    <row r="1205" spans="1:19" x14ac:dyDescent="0.3">
      <c r="A1205">
        <v>501204</v>
      </c>
      <c r="B1205">
        <v>98436</v>
      </c>
      <c r="C1205" t="s">
        <v>4</v>
      </c>
      <c r="D1205" t="s">
        <v>28</v>
      </c>
      <c r="E1205" s="1">
        <v>46148</v>
      </c>
      <c r="F1205" t="s">
        <v>291</v>
      </c>
      <c r="G1205" s="1">
        <v>46153</v>
      </c>
      <c r="H1205" s="1" t="str">
        <f t="shared" si="36"/>
        <v>Monday</v>
      </c>
      <c r="I1205">
        <v>48</v>
      </c>
      <c r="J1205" t="s">
        <v>17</v>
      </c>
      <c r="K1205">
        <v>1</v>
      </c>
      <c r="L1205">
        <v>0</v>
      </c>
      <c r="M1205">
        <v>0</v>
      </c>
      <c r="N1205">
        <v>0</v>
      </c>
      <c r="O1205">
        <v>0</v>
      </c>
      <c r="P1205" t="str">
        <f t="shared" si="37"/>
        <v>Non Chronic</v>
      </c>
      <c r="Q1205">
        <v>1</v>
      </c>
      <c r="R1205">
        <v>0</v>
      </c>
      <c r="S1205" t="s">
        <v>0</v>
      </c>
    </row>
    <row r="1206" spans="1:19" x14ac:dyDescent="0.3">
      <c r="A1206">
        <v>501205</v>
      </c>
      <c r="B1206">
        <v>67001</v>
      </c>
      <c r="C1206" t="s">
        <v>4</v>
      </c>
      <c r="D1206" t="s">
        <v>7</v>
      </c>
      <c r="E1206" s="1">
        <v>46027</v>
      </c>
      <c r="F1206" t="s">
        <v>290</v>
      </c>
      <c r="G1206" s="1">
        <v>46032</v>
      </c>
      <c r="H1206" s="1" t="str">
        <f t="shared" si="36"/>
        <v>Saturday</v>
      </c>
      <c r="I1206">
        <v>38</v>
      </c>
      <c r="J1206" t="s">
        <v>5</v>
      </c>
      <c r="K1206">
        <v>0</v>
      </c>
      <c r="L1206">
        <v>0</v>
      </c>
      <c r="M1206">
        <v>0</v>
      </c>
      <c r="N1206">
        <v>0</v>
      </c>
      <c r="O1206">
        <v>0</v>
      </c>
      <c r="P1206" t="str">
        <f t="shared" si="37"/>
        <v>Non Chronic</v>
      </c>
      <c r="Q1206">
        <v>1</v>
      </c>
      <c r="R1206">
        <v>0</v>
      </c>
      <c r="S1206" t="s">
        <v>22</v>
      </c>
    </row>
    <row r="1207" spans="1:19" x14ac:dyDescent="0.3">
      <c r="A1207">
        <v>501206</v>
      </c>
      <c r="B1207">
        <v>99966</v>
      </c>
      <c r="C1207" t="s">
        <v>8</v>
      </c>
      <c r="D1207" t="s">
        <v>25</v>
      </c>
      <c r="E1207" s="1">
        <v>46028</v>
      </c>
      <c r="F1207" t="s">
        <v>289</v>
      </c>
      <c r="G1207" s="1">
        <v>46038</v>
      </c>
      <c r="H1207" s="1" t="str">
        <f t="shared" si="36"/>
        <v>Friday</v>
      </c>
      <c r="I1207">
        <v>38</v>
      </c>
      <c r="J1207" t="s">
        <v>23</v>
      </c>
      <c r="K1207">
        <v>1</v>
      </c>
      <c r="L1207">
        <v>0</v>
      </c>
      <c r="M1207">
        <v>0</v>
      </c>
      <c r="N1207">
        <v>0</v>
      </c>
      <c r="O1207">
        <v>0</v>
      </c>
      <c r="P1207" t="str">
        <f t="shared" si="37"/>
        <v>Non Chronic</v>
      </c>
      <c r="Q1207">
        <v>1</v>
      </c>
      <c r="R1207">
        <v>0</v>
      </c>
      <c r="S1207" t="s">
        <v>22</v>
      </c>
    </row>
    <row r="1208" spans="1:19" x14ac:dyDescent="0.3">
      <c r="A1208">
        <v>501207</v>
      </c>
      <c r="B1208">
        <v>48435</v>
      </c>
      <c r="C1208" t="s">
        <v>8</v>
      </c>
      <c r="D1208" t="s">
        <v>3</v>
      </c>
      <c r="E1208" s="1">
        <v>46086</v>
      </c>
      <c r="F1208" t="s">
        <v>288</v>
      </c>
      <c r="G1208" s="1">
        <v>46093</v>
      </c>
      <c r="H1208" s="1" t="str">
        <f t="shared" si="36"/>
        <v>Thursday</v>
      </c>
      <c r="I1208">
        <v>23</v>
      </c>
      <c r="J1208" t="s">
        <v>17</v>
      </c>
      <c r="K1208">
        <v>1</v>
      </c>
      <c r="L1208">
        <v>0</v>
      </c>
      <c r="M1208">
        <v>0</v>
      </c>
      <c r="N1208">
        <v>0</v>
      </c>
      <c r="O1208">
        <v>0</v>
      </c>
      <c r="P1208" t="str">
        <f t="shared" si="37"/>
        <v>Non Chronic</v>
      </c>
      <c r="Q1208">
        <v>1</v>
      </c>
      <c r="R1208">
        <v>0</v>
      </c>
      <c r="S1208" t="s">
        <v>22</v>
      </c>
    </row>
    <row r="1209" spans="1:19" x14ac:dyDescent="0.3">
      <c r="A1209">
        <v>501208</v>
      </c>
      <c r="B1209">
        <v>14798</v>
      </c>
      <c r="C1209" t="s">
        <v>8</v>
      </c>
      <c r="D1209" t="s">
        <v>14</v>
      </c>
      <c r="E1209" s="1">
        <v>46056</v>
      </c>
      <c r="F1209" t="s">
        <v>287</v>
      </c>
      <c r="G1209" s="1">
        <v>46057</v>
      </c>
      <c r="H1209" s="1" t="str">
        <f t="shared" si="36"/>
        <v>Wednesday</v>
      </c>
      <c r="I1209">
        <v>24</v>
      </c>
      <c r="J1209" t="s">
        <v>31</v>
      </c>
      <c r="K1209">
        <v>0</v>
      </c>
      <c r="L1209">
        <v>0</v>
      </c>
      <c r="M1209">
        <v>0</v>
      </c>
      <c r="N1209">
        <v>0</v>
      </c>
      <c r="O1209">
        <v>0</v>
      </c>
      <c r="P1209" t="str">
        <f t="shared" si="37"/>
        <v>Non Chronic</v>
      </c>
      <c r="Q1209">
        <v>1</v>
      </c>
      <c r="R1209">
        <v>0</v>
      </c>
      <c r="S1209" t="s">
        <v>22</v>
      </c>
    </row>
    <row r="1210" spans="1:19" x14ac:dyDescent="0.3">
      <c r="A1210">
        <v>501209</v>
      </c>
      <c r="B1210">
        <v>46004</v>
      </c>
      <c r="C1210" t="s">
        <v>8</v>
      </c>
      <c r="D1210" t="s">
        <v>7</v>
      </c>
      <c r="E1210" s="1">
        <v>46139</v>
      </c>
      <c r="F1210" t="s">
        <v>138</v>
      </c>
      <c r="G1210" s="1">
        <v>46141</v>
      </c>
      <c r="H1210" s="1" t="str">
        <f t="shared" si="36"/>
        <v>Wednesday</v>
      </c>
      <c r="I1210">
        <v>9</v>
      </c>
      <c r="J1210" t="s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 t="str">
        <f t="shared" si="37"/>
        <v>Non Chronic</v>
      </c>
      <c r="Q1210">
        <v>0</v>
      </c>
      <c r="R1210">
        <v>0</v>
      </c>
      <c r="S1210" t="s">
        <v>30</v>
      </c>
    </row>
    <row r="1211" spans="1:19" x14ac:dyDescent="0.3">
      <c r="A1211">
        <v>501210</v>
      </c>
      <c r="B1211">
        <v>78623</v>
      </c>
      <c r="C1211" t="s">
        <v>8</v>
      </c>
      <c r="D1211" t="s">
        <v>36</v>
      </c>
      <c r="E1211" s="1">
        <v>46134</v>
      </c>
      <c r="F1211" t="s">
        <v>286</v>
      </c>
      <c r="G1211" s="1">
        <v>46154</v>
      </c>
      <c r="H1211" s="1" t="str">
        <f t="shared" si="36"/>
        <v>Tuesday</v>
      </c>
      <c r="I1211">
        <v>72</v>
      </c>
      <c r="J1211" t="s">
        <v>15</v>
      </c>
      <c r="K1211">
        <v>1</v>
      </c>
      <c r="L1211">
        <v>0</v>
      </c>
      <c r="M1211">
        <v>1</v>
      </c>
      <c r="N1211">
        <v>0</v>
      </c>
      <c r="O1211">
        <v>0</v>
      </c>
      <c r="P1211" t="str">
        <f t="shared" si="37"/>
        <v>Chronic</v>
      </c>
      <c r="Q1211">
        <v>1</v>
      </c>
      <c r="R1211">
        <v>0</v>
      </c>
      <c r="S1211" t="s">
        <v>9</v>
      </c>
    </row>
    <row r="1212" spans="1:19" x14ac:dyDescent="0.3">
      <c r="A1212">
        <v>501211</v>
      </c>
      <c r="B1212">
        <v>20323</v>
      </c>
      <c r="C1212" t="s">
        <v>8</v>
      </c>
      <c r="D1212" t="s">
        <v>25</v>
      </c>
      <c r="E1212" s="1">
        <v>46110</v>
      </c>
      <c r="F1212" t="s">
        <v>285</v>
      </c>
      <c r="G1212" s="1">
        <v>46113</v>
      </c>
      <c r="H1212" s="1" t="str">
        <f t="shared" si="36"/>
        <v>Wednesday</v>
      </c>
      <c r="I1212">
        <v>13</v>
      </c>
      <c r="J1212" t="s">
        <v>23</v>
      </c>
      <c r="K1212">
        <v>0</v>
      </c>
      <c r="L1212">
        <v>0</v>
      </c>
      <c r="M1212">
        <v>0</v>
      </c>
      <c r="N1212">
        <v>0</v>
      </c>
      <c r="O1212">
        <v>0</v>
      </c>
      <c r="P1212" t="str">
        <f t="shared" si="37"/>
        <v>Non Chronic</v>
      </c>
      <c r="Q1212">
        <v>1</v>
      </c>
      <c r="R1212">
        <v>0</v>
      </c>
      <c r="S1212" t="s">
        <v>30</v>
      </c>
    </row>
    <row r="1213" spans="1:19" x14ac:dyDescent="0.3">
      <c r="A1213">
        <v>501212</v>
      </c>
      <c r="B1213">
        <v>95576</v>
      </c>
      <c r="C1213" t="s">
        <v>4</v>
      </c>
      <c r="D1213" t="s">
        <v>3</v>
      </c>
      <c r="E1213" s="1">
        <v>46130</v>
      </c>
      <c r="F1213" t="s">
        <v>282</v>
      </c>
      <c r="G1213" s="1">
        <v>46160</v>
      </c>
      <c r="H1213" s="1" t="str">
        <f t="shared" si="36"/>
        <v>Monday</v>
      </c>
      <c r="I1213">
        <v>24</v>
      </c>
      <c r="J1213" t="s">
        <v>15</v>
      </c>
      <c r="K1213">
        <v>0</v>
      </c>
      <c r="L1213">
        <v>0</v>
      </c>
      <c r="M1213">
        <v>0</v>
      </c>
      <c r="N1213">
        <v>0</v>
      </c>
      <c r="O1213">
        <v>0</v>
      </c>
      <c r="P1213" t="str">
        <f t="shared" si="37"/>
        <v>Non Chronic</v>
      </c>
      <c r="Q1213">
        <v>1</v>
      </c>
      <c r="R1213">
        <v>0</v>
      </c>
      <c r="S1213" t="s">
        <v>22</v>
      </c>
    </row>
    <row r="1214" spans="1:19" x14ac:dyDescent="0.3">
      <c r="A1214">
        <v>501213</v>
      </c>
      <c r="B1214">
        <v>41949</v>
      </c>
      <c r="C1214" t="s">
        <v>4</v>
      </c>
      <c r="D1214" t="s">
        <v>19</v>
      </c>
      <c r="E1214" s="1">
        <v>46152</v>
      </c>
      <c r="F1214" t="s">
        <v>114</v>
      </c>
      <c r="G1214" s="1">
        <v>46172</v>
      </c>
      <c r="H1214" s="1" t="str">
        <f t="shared" si="36"/>
        <v>Saturday</v>
      </c>
      <c r="I1214">
        <v>23</v>
      </c>
      <c r="J1214" t="s">
        <v>1</v>
      </c>
      <c r="K1214">
        <v>1</v>
      </c>
      <c r="L1214">
        <v>0</v>
      </c>
      <c r="M1214">
        <v>0</v>
      </c>
      <c r="N1214">
        <v>0</v>
      </c>
      <c r="O1214">
        <v>0</v>
      </c>
      <c r="P1214" t="str">
        <f t="shared" si="37"/>
        <v>Non Chronic</v>
      </c>
      <c r="Q1214">
        <v>1</v>
      </c>
      <c r="R1214">
        <v>0</v>
      </c>
      <c r="S1214" t="s">
        <v>22</v>
      </c>
    </row>
    <row r="1215" spans="1:19" x14ac:dyDescent="0.3">
      <c r="A1215">
        <v>501214</v>
      </c>
      <c r="B1215">
        <v>34341</v>
      </c>
      <c r="C1215" t="s">
        <v>8</v>
      </c>
      <c r="D1215" t="s">
        <v>36</v>
      </c>
      <c r="E1215" s="1">
        <v>46121</v>
      </c>
      <c r="F1215" t="s">
        <v>284</v>
      </c>
      <c r="G1215" s="1">
        <v>46124</v>
      </c>
      <c r="H1215" s="1" t="str">
        <f t="shared" si="36"/>
        <v>Sunday</v>
      </c>
      <c r="I1215">
        <v>55</v>
      </c>
      <c r="J1215" t="s">
        <v>1</v>
      </c>
      <c r="K1215">
        <v>1</v>
      </c>
      <c r="L1215">
        <v>0</v>
      </c>
      <c r="M1215">
        <v>0</v>
      </c>
      <c r="N1215">
        <v>0</v>
      </c>
      <c r="O1215">
        <v>0</v>
      </c>
      <c r="P1215" t="str">
        <f t="shared" si="37"/>
        <v>Non Chronic</v>
      </c>
      <c r="Q1215">
        <v>1</v>
      </c>
      <c r="R1215">
        <v>0</v>
      </c>
      <c r="S1215" t="s">
        <v>0</v>
      </c>
    </row>
    <row r="1216" spans="1:19" x14ac:dyDescent="0.3">
      <c r="A1216">
        <v>501215</v>
      </c>
      <c r="B1216">
        <v>27008</v>
      </c>
      <c r="C1216" t="s">
        <v>8</v>
      </c>
      <c r="D1216" t="s">
        <v>25</v>
      </c>
      <c r="E1216" s="1">
        <v>46013</v>
      </c>
      <c r="F1216" t="s">
        <v>44</v>
      </c>
      <c r="G1216" s="1">
        <v>46015</v>
      </c>
      <c r="H1216" s="1" t="str">
        <f t="shared" si="36"/>
        <v>Wednesday</v>
      </c>
      <c r="I1216">
        <v>32</v>
      </c>
      <c r="J1216" t="s">
        <v>10</v>
      </c>
      <c r="K1216">
        <v>1</v>
      </c>
      <c r="L1216">
        <v>0</v>
      </c>
      <c r="M1216">
        <v>0</v>
      </c>
      <c r="N1216">
        <v>0</v>
      </c>
      <c r="O1216">
        <v>0</v>
      </c>
      <c r="P1216" t="str">
        <f t="shared" si="37"/>
        <v>Non Chronic</v>
      </c>
      <c r="Q1216">
        <v>1</v>
      </c>
      <c r="R1216">
        <v>0</v>
      </c>
      <c r="S1216" t="s">
        <v>22</v>
      </c>
    </row>
    <row r="1217" spans="1:19" x14ac:dyDescent="0.3">
      <c r="A1217">
        <v>501216</v>
      </c>
      <c r="B1217">
        <v>90135</v>
      </c>
      <c r="C1217" t="s">
        <v>8</v>
      </c>
      <c r="D1217" t="s">
        <v>7</v>
      </c>
      <c r="E1217" s="1">
        <v>46090</v>
      </c>
      <c r="F1217" t="s">
        <v>283</v>
      </c>
      <c r="G1217" s="1">
        <v>46090</v>
      </c>
      <c r="H1217" s="1" t="str">
        <f t="shared" si="36"/>
        <v>Monday</v>
      </c>
      <c r="I1217">
        <v>62</v>
      </c>
      <c r="J1217" t="s">
        <v>1</v>
      </c>
      <c r="K1217">
        <v>1</v>
      </c>
      <c r="L1217">
        <v>0</v>
      </c>
      <c r="M1217">
        <v>0</v>
      </c>
      <c r="N1217">
        <v>0</v>
      </c>
      <c r="O1217">
        <v>0</v>
      </c>
      <c r="P1217" t="str">
        <f t="shared" si="37"/>
        <v>Non Chronic</v>
      </c>
      <c r="Q1217">
        <v>1</v>
      </c>
      <c r="R1217">
        <v>0</v>
      </c>
      <c r="S1217" t="s">
        <v>9</v>
      </c>
    </row>
    <row r="1218" spans="1:19" x14ac:dyDescent="0.3">
      <c r="A1218">
        <v>501217</v>
      </c>
      <c r="B1218">
        <v>68246</v>
      </c>
      <c r="C1218" t="s">
        <v>4</v>
      </c>
      <c r="D1218" t="s">
        <v>7</v>
      </c>
      <c r="E1218" s="1">
        <v>46144</v>
      </c>
      <c r="F1218" t="s">
        <v>282</v>
      </c>
      <c r="G1218" s="1">
        <v>46145</v>
      </c>
      <c r="H1218" s="1" t="str">
        <f t="shared" si="36"/>
        <v>Sunday</v>
      </c>
      <c r="I1218">
        <v>24</v>
      </c>
      <c r="J1218" t="s">
        <v>10</v>
      </c>
      <c r="K1218">
        <v>0</v>
      </c>
      <c r="L1218">
        <v>0</v>
      </c>
      <c r="M1218">
        <v>0</v>
      </c>
      <c r="N1218">
        <v>0</v>
      </c>
      <c r="O1218">
        <v>0</v>
      </c>
      <c r="P1218" t="str">
        <f t="shared" si="37"/>
        <v>Non Chronic</v>
      </c>
      <c r="Q1218">
        <v>1</v>
      </c>
      <c r="R1218">
        <v>0</v>
      </c>
      <c r="S1218" t="s">
        <v>22</v>
      </c>
    </row>
    <row r="1219" spans="1:19" x14ac:dyDescent="0.3">
      <c r="A1219">
        <v>501218</v>
      </c>
      <c r="B1219">
        <v>96599</v>
      </c>
      <c r="C1219" t="s">
        <v>4</v>
      </c>
      <c r="D1219" t="s">
        <v>7</v>
      </c>
      <c r="E1219" s="1">
        <v>46092</v>
      </c>
      <c r="F1219" t="s">
        <v>281</v>
      </c>
      <c r="G1219" s="1">
        <v>46097</v>
      </c>
      <c r="H1219" s="1" t="str">
        <f t="shared" ref="H1219:H1282" si="38">TEXT(G1219,"dddd")</f>
        <v>Monday</v>
      </c>
      <c r="I1219">
        <v>43</v>
      </c>
      <c r="J1219" t="s">
        <v>12</v>
      </c>
      <c r="K1219">
        <v>1</v>
      </c>
      <c r="L1219">
        <v>0</v>
      </c>
      <c r="M1219">
        <v>1</v>
      </c>
      <c r="N1219">
        <v>0</v>
      </c>
      <c r="O1219">
        <v>0</v>
      </c>
      <c r="P1219" t="str">
        <f t="shared" ref="P1219:P1282" si="39">IF(OR(L1219=1,M1219=1),"Chronic","Non Chronic")</f>
        <v>Chronic</v>
      </c>
      <c r="Q1219">
        <v>1</v>
      </c>
      <c r="R1219">
        <v>0</v>
      </c>
      <c r="S1219" t="s">
        <v>0</v>
      </c>
    </row>
    <row r="1220" spans="1:19" x14ac:dyDescent="0.3">
      <c r="A1220">
        <v>501219</v>
      </c>
      <c r="B1220">
        <v>69178</v>
      </c>
      <c r="C1220" t="s">
        <v>8</v>
      </c>
      <c r="D1220" t="s">
        <v>36</v>
      </c>
      <c r="E1220" s="1">
        <v>46105</v>
      </c>
      <c r="F1220" t="s">
        <v>193</v>
      </c>
      <c r="G1220" s="1">
        <v>46112</v>
      </c>
      <c r="H1220" s="1" t="str">
        <f t="shared" si="38"/>
        <v>Tuesday</v>
      </c>
      <c r="I1220">
        <v>21</v>
      </c>
      <c r="J1220" t="s">
        <v>31</v>
      </c>
      <c r="K1220">
        <v>0</v>
      </c>
      <c r="L1220">
        <v>0</v>
      </c>
      <c r="M1220">
        <v>0</v>
      </c>
      <c r="N1220">
        <v>0</v>
      </c>
      <c r="O1220">
        <v>0</v>
      </c>
      <c r="P1220" t="str">
        <f t="shared" si="39"/>
        <v>Non Chronic</v>
      </c>
      <c r="Q1220">
        <v>1</v>
      </c>
      <c r="R1220">
        <v>0</v>
      </c>
      <c r="S1220" t="s">
        <v>22</v>
      </c>
    </row>
    <row r="1221" spans="1:19" x14ac:dyDescent="0.3">
      <c r="A1221">
        <v>501220</v>
      </c>
      <c r="B1221">
        <v>47209</v>
      </c>
      <c r="C1221" t="s">
        <v>8</v>
      </c>
      <c r="D1221" t="s">
        <v>14</v>
      </c>
      <c r="E1221" s="1">
        <v>46094</v>
      </c>
      <c r="F1221" t="s">
        <v>207</v>
      </c>
      <c r="G1221" s="1">
        <v>46096</v>
      </c>
      <c r="H1221" s="1" t="str">
        <f t="shared" si="38"/>
        <v>Sunday</v>
      </c>
      <c r="I1221">
        <v>80</v>
      </c>
      <c r="J1221" t="s">
        <v>23</v>
      </c>
      <c r="K1221">
        <v>0</v>
      </c>
      <c r="L1221">
        <v>0</v>
      </c>
      <c r="M1221">
        <v>0</v>
      </c>
      <c r="N1221">
        <v>0</v>
      </c>
      <c r="O1221">
        <v>0</v>
      </c>
      <c r="P1221" t="str">
        <f t="shared" si="39"/>
        <v>Non Chronic</v>
      </c>
      <c r="Q1221">
        <v>1</v>
      </c>
      <c r="R1221">
        <v>0</v>
      </c>
      <c r="S1221" t="s">
        <v>9</v>
      </c>
    </row>
    <row r="1222" spans="1:19" x14ac:dyDescent="0.3">
      <c r="A1222">
        <v>501221</v>
      </c>
      <c r="B1222">
        <v>30855</v>
      </c>
      <c r="C1222" t="s">
        <v>8</v>
      </c>
      <c r="D1222" t="s">
        <v>3</v>
      </c>
      <c r="E1222" s="1">
        <v>46001</v>
      </c>
      <c r="F1222" t="s">
        <v>159</v>
      </c>
      <c r="G1222" s="1">
        <v>46011</v>
      </c>
      <c r="H1222" s="1" t="str">
        <f t="shared" si="38"/>
        <v>Saturday</v>
      </c>
      <c r="I1222">
        <v>14</v>
      </c>
      <c r="J1222" t="s">
        <v>20</v>
      </c>
      <c r="K1222">
        <v>0</v>
      </c>
      <c r="L1222">
        <v>0</v>
      </c>
      <c r="M1222">
        <v>0</v>
      </c>
      <c r="N1222">
        <v>0</v>
      </c>
      <c r="O1222">
        <v>0</v>
      </c>
      <c r="P1222" t="str">
        <f t="shared" si="39"/>
        <v>Non Chronic</v>
      </c>
      <c r="Q1222">
        <v>1</v>
      </c>
      <c r="R1222">
        <v>0</v>
      </c>
      <c r="S1222" t="s">
        <v>30</v>
      </c>
    </row>
    <row r="1223" spans="1:19" x14ac:dyDescent="0.3">
      <c r="A1223">
        <v>501222</v>
      </c>
      <c r="B1223">
        <v>51864</v>
      </c>
      <c r="C1223" t="s">
        <v>8</v>
      </c>
      <c r="D1223" t="s">
        <v>58</v>
      </c>
      <c r="E1223" s="1">
        <v>46127</v>
      </c>
      <c r="F1223" t="s">
        <v>280</v>
      </c>
      <c r="G1223" s="1">
        <v>46137</v>
      </c>
      <c r="H1223" s="1" t="str">
        <f t="shared" si="38"/>
        <v>Saturday</v>
      </c>
      <c r="I1223">
        <v>44</v>
      </c>
      <c r="J1223" t="s">
        <v>20</v>
      </c>
      <c r="K1223">
        <v>1</v>
      </c>
      <c r="L1223">
        <v>0</v>
      </c>
      <c r="M1223">
        <v>0</v>
      </c>
      <c r="N1223">
        <v>0</v>
      </c>
      <c r="O1223">
        <v>0</v>
      </c>
      <c r="P1223" t="str">
        <f t="shared" si="39"/>
        <v>Non Chronic</v>
      </c>
      <c r="Q1223">
        <v>1</v>
      </c>
      <c r="R1223">
        <v>0</v>
      </c>
      <c r="S1223" t="s">
        <v>0</v>
      </c>
    </row>
    <row r="1224" spans="1:19" x14ac:dyDescent="0.3">
      <c r="A1224">
        <v>501223</v>
      </c>
      <c r="B1224">
        <v>30574</v>
      </c>
      <c r="C1224" t="s">
        <v>4</v>
      </c>
      <c r="D1224" t="s">
        <v>3</v>
      </c>
      <c r="E1224" s="1">
        <v>46037</v>
      </c>
      <c r="F1224" t="s">
        <v>279</v>
      </c>
      <c r="G1224" s="1">
        <v>46038</v>
      </c>
      <c r="H1224" s="1" t="str">
        <f t="shared" si="38"/>
        <v>Friday</v>
      </c>
      <c r="I1224">
        <v>50</v>
      </c>
      <c r="J1224" t="s">
        <v>5</v>
      </c>
      <c r="K1224">
        <v>0</v>
      </c>
      <c r="L1224">
        <v>0</v>
      </c>
      <c r="M1224">
        <v>0</v>
      </c>
      <c r="N1224">
        <v>0</v>
      </c>
      <c r="O1224">
        <v>0</v>
      </c>
      <c r="P1224" t="str">
        <f t="shared" si="39"/>
        <v>Non Chronic</v>
      </c>
      <c r="Q1224">
        <v>0</v>
      </c>
      <c r="R1224">
        <v>0</v>
      </c>
      <c r="S1224" t="s">
        <v>0</v>
      </c>
    </row>
    <row r="1225" spans="1:19" x14ac:dyDescent="0.3">
      <c r="A1225">
        <v>501224</v>
      </c>
      <c r="B1225">
        <v>95603</v>
      </c>
      <c r="C1225" t="s">
        <v>8</v>
      </c>
      <c r="D1225" t="s">
        <v>3</v>
      </c>
      <c r="E1225" s="1">
        <v>46063</v>
      </c>
      <c r="F1225" t="s">
        <v>278</v>
      </c>
      <c r="G1225" s="1">
        <v>46070</v>
      </c>
      <c r="H1225" s="1" t="str">
        <f t="shared" si="38"/>
        <v>Tuesday</v>
      </c>
      <c r="I1225">
        <v>46</v>
      </c>
      <c r="J1225" t="s">
        <v>23</v>
      </c>
      <c r="K1225">
        <v>0</v>
      </c>
      <c r="L1225">
        <v>0</v>
      </c>
      <c r="M1225">
        <v>0</v>
      </c>
      <c r="N1225">
        <v>0</v>
      </c>
      <c r="O1225">
        <v>0</v>
      </c>
      <c r="P1225" t="str">
        <f t="shared" si="39"/>
        <v>Non Chronic</v>
      </c>
      <c r="Q1225">
        <v>0</v>
      </c>
      <c r="R1225">
        <v>0</v>
      </c>
      <c r="S1225" t="s">
        <v>0</v>
      </c>
    </row>
    <row r="1226" spans="1:19" x14ac:dyDescent="0.3">
      <c r="A1226">
        <v>501225</v>
      </c>
      <c r="B1226">
        <v>63578</v>
      </c>
      <c r="C1226" t="s">
        <v>4</v>
      </c>
      <c r="D1226" t="s">
        <v>19</v>
      </c>
      <c r="E1226" s="1">
        <v>46135</v>
      </c>
      <c r="F1226" t="s">
        <v>277</v>
      </c>
      <c r="G1226" s="1">
        <v>46142</v>
      </c>
      <c r="H1226" s="1" t="str">
        <f t="shared" si="38"/>
        <v>Thursday</v>
      </c>
      <c r="I1226">
        <v>34</v>
      </c>
      <c r="J1226" t="s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 t="str">
        <f t="shared" si="39"/>
        <v>Non Chronic</v>
      </c>
      <c r="Q1226">
        <v>1</v>
      </c>
      <c r="R1226">
        <v>0</v>
      </c>
      <c r="S1226" t="s">
        <v>22</v>
      </c>
    </row>
    <row r="1227" spans="1:19" x14ac:dyDescent="0.3">
      <c r="A1227">
        <v>501226</v>
      </c>
      <c r="B1227">
        <v>12977</v>
      </c>
      <c r="C1227" t="s">
        <v>8</v>
      </c>
      <c r="D1227" t="s">
        <v>14</v>
      </c>
      <c r="E1227" s="1">
        <v>46056</v>
      </c>
      <c r="F1227" t="s">
        <v>276</v>
      </c>
      <c r="G1227" s="1">
        <v>46076</v>
      </c>
      <c r="H1227" s="1" t="str">
        <f t="shared" si="38"/>
        <v>Monday</v>
      </c>
      <c r="I1227">
        <v>35</v>
      </c>
      <c r="J1227" t="s">
        <v>31</v>
      </c>
      <c r="K1227">
        <v>1</v>
      </c>
      <c r="L1227">
        <v>0</v>
      </c>
      <c r="M1227">
        <v>0</v>
      </c>
      <c r="N1227">
        <v>0</v>
      </c>
      <c r="O1227">
        <v>0</v>
      </c>
      <c r="P1227" t="str">
        <f t="shared" si="39"/>
        <v>Non Chronic</v>
      </c>
      <c r="Q1227">
        <v>1</v>
      </c>
      <c r="R1227">
        <v>0</v>
      </c>
      <c r="S1227" t="s">
        <v>22</v>
      </c>
    </row>
    <row r="1228" spans="1:19" x14ac:dyDescent="0.3">
      <c r="A1228">
        <v>501227</v>
      </c>
      <c r="B1228">
        <v>36186</v>
      </c>
      <c r="C1228" t="s">
        <v>8</v>
      </c>
      <c r="D1228" t="s">
        <v>28</v>
      </c>
      <c r="E1228" s="1">
        <v>46154</v>
      </c>
      <c r="F1228" t="s">
        <v>275</v>
      </c>
      <c r="G1228" s="1">
        <v>46156</v>
      </c>
      <c r="H1228" s="1" t="str">
        <f t="shared" si="38"/>
        <v>Thursday</v>
      </c>
      <c r="I1228">
        <v>38</v>
      </c>
      <c r="J1228" t="s">
        <v>5</v>
      </c>
      <c r="K1228">
        <v>0</v>
      </c>
      <c r="L1228">
        <v>0</v>
      </c>
      <c r="M1228">
        <v>0</v>
      </c>
      <c r="N1228">
        <v>0</v>
      </c>
      <c r="O1228">
        <v>0</v>
      </c>
      <c r="P1228" t="str">
        <f t="shared" si="39"/>
        <v>Non Chronic</v>
      </c>
      <c r="Q1228">
        <v>1</v>
      </c>
      <c r="R1228">
        <v>0</v>
      </c>
      <c r="S1228" t="s">
        <v>22</v>
      </c>
    </row>
    <row r="1229" spans="1:19" x14ac:dyDescent="0.3">
      <c r="A1229">
        <v>501228</v>
      </c>
      <c r="B1229">
        <v>89069</v>
      </c>
      <c r="C1229" t="s">
        <v>8</v>
      </c>
      <c r="D1229" t="s">
        <v>14</v>
      </c>
      <c r="E1229" s="1">
        <v>46150</v>
      </c>
      <c r="F1229" t="s">
        <v>246</v>
      </c>
      <c r="G1229" s="1">
        <v>46151</v>
      </c>
      <c r="H1229" s="1" t="str">
        <f t="shared" si="38"/>
        <v>Saturday</v>
      </c>
      <c r="I1229">
        <v>35</v>
      </c>
      <c r="J1229" t="s">
        <v>31</v>
      </c>
      <c r="K1229">
        <v>1</v>
      </c>
      <c r="L1229">
        <v>0</v>
      </c>
      <c r="M1229">
        <v>0</v>
      </c>
      <c r="N1229">
        <v>0</v>
      </c>
      <c r="O1229">
        <v>0</v>
      </c>
      <c r="P1229" t="str">
        <f t="shared" si="39"/>
        <v>Non Chronic</v>
      </c>
      <c r="Q1229">
        <v>1</v>
      </c>
      <c r="R1229">
        <v>0</v>
      </c>
      <c r="S1229" t="s">
        <v>22</v>
      </c>
    </row>
    <row r="1230" spans="1:19" x14ac:dyDescent="0.3">
      <c r="A1230">
        <v>501229</v>
      </c>
      <c r="B1230">
        <v>30875</v>
      </c>
      <c r="C1230" t="s">
        <v>4</v>
      </c>
      <c r="D1230" t="s">
        <v>7</v>
      </c>
      <c r="E1230" s="1">
        <v>45993</v>
      </c>
      <c r="F1230" t="s">
        <v>274</v>
      </c>
      <c r="G1230" s="1">
        <v>45998</v>
      </c>
      <c r="H1230" s="1" t="str">
        <f t="shared" si="38"/>
        <v>Sunday</v>
      </c>
      <c r="I1230">
        <v>57</v>
      </c>
      <c r="J1230" t="s">
        <v>15</v>
      </c>
      <c r="K1230">
        <v>0</v>
      </c>
      <c r="L1230">
        <v>0</v>
      </c>
      <c r="M1230">
        <v>0</v>
      </c>
      <c r="N1230">
        <v>0</v>
      </c>
      <c r="O1230">
        <v>0</v>
      </c>
      <c r="P1230" t="str">
        <f t="shared" si="39"/>
        <v>Non Chronic</v>
      </c>
      <c r="Q1230">
        <v>1</v>
      </c>
      <c r="R1230">
        <v>0</v>
      </c>
      <c r="S1230" t="s">
        <v>0</v>
      </c>
    </row>
    <row r="1231" spans="1:19" x14ac:dyDescent="0.3">
      <c r="A1231">
        <v>501230</v>
      </c>
      <c r="B1231">
        <v>44082</v>
      </c>
      <c r="C1231" t="s">
        <v>4</v>
      </c>
      <c r="D1231" t="s">
        <v>36</v>
      </c>
      <c r="E1231" s="1">
        <v>46094</v>
      </c>
      <c r="F1231" t="s">
        <v>273</v>
      </c>
      <c r="G1231" s="1">
        <v>46104</v>
      </c>
      <c r="H1231" s="1" t="str">
        <f t="shared" si="38"/>
        <v>Monday</v>
      </c>
      <c r="I1231">
        <v>82</v>
      </c>
      <c r="J1231" t="s">
        <v>10</v>
      </c>
      <c r="K1231">
        <v>1</v>
      </c>
      <c r="L1231">
        <v>0</v>
      </c>
      <c r="M1231">
        <v>1</v>
      </c>
      <c r="N1231">
        <v>0</v>
      </c>
      <c r="O1231">
        <v>0</v>
      </c>
      <c r="P1231" t="str">
        <f t="shared" si="39"/>
        <v>Chronic</v>
      </c>
      <c r="Q1231">
        <v>1</v>
      </c>
      <c r="R1231">
        <v>0</v>
      </c>
      <c r="S1231" t="s">
        <v>9</v>
      </c>
    </row>
    <row r="1232" spans="1:19" x14ac:dyDescent="0.3">
      <c r="A1232">
        <v>501231</v>
      </c>
      <c r="B1232">
        <v>77051</v>
      </c>
      <c r="C1232" t="s">
        <v>8</v>
      </c>
      <c r="D1232" t="s">
        <v>3</v>
      </c>
      <c r="E1232" s="1">
        <v>46025</v>
      </c>
      <c r="F1232" t="s">
        <v>272</v>
      </c>
      <c r="G1232" s="1">
        <v>46027</v>
      </c>
      <c r="H1232" s="1" t="str">
        <f t="shared" si="38"/>
        <v>Monday</v>
      </c>
      <c r="I1232">
        <v>26</v>
      </c>
      <c r="J1232" t="s">
        <v>15</v>
      </c>
      <c r="K1232">
        <v>0</v>
      </c>
      <c r="L1232">
        <v>0</v>
      </c>
      <c r="M1232">
        <v>0</v>
      </c>
      <c r="N1232">
        <v>0</v>
      </c>
      <c r="O1232">
        <v>0</v>
      </c>
      <c r="P1232" t="str">
        <f t="shared" si="39"/>
        <v>Non Chronic</v>
      </c>
      <c r="Q1232">
        <v>0</v>
      </c>
      <c r="R1232">
        <v>0</v>
      </c>
      <c r="S1232" t="s">
        <v>22</v>
      </c>
    </row>
    <row r="1233" spans="1:19" x14ac:dyDescent="0.3">
      <c r="A1233">
        <v>501232</v>
      </c>
      <c r="B1233">
        <v>24651</v>
      </c>
      <c r="C1233" t="s">
        <v>4</v>
      </c>
      <c r="D1233" t="s">
        <v>19</v>
      </c>
      <c r="E1233" s="1">
        <v>46151</v>
      </c>
      <c r="F1233" t="s">
        <v>271</v>
      </c>
      <c r="G1233" s="1">
        <v>46158</v>
      </c>
      <c r="H1233" s="1" t="str">
        <f t="shared" si="38"/>
        <v>Saturday</v>
      </c>
      <c r="I1233">
        <v>10</v>
      </c>
      <c r="J1233" t="s">
        <v>23</v>
      </c>
      <c r="K1233">
        <v>0</v>
      </c>
      <c r="L1233">
        <v>0</v>
      </c>
      <c r="M1233">
        <v>0</v>
      </c>
      <c r="N1233">
        <v>0</v>
      </c>
      <c r="O1233">
        <v>0</v>
      </c>
      <c r="P1233" t="str">
        <f t="shared" si="39"/>
        <v>Non Chronic</v>
      </c>
      <c r="Q1233">
        <v>1</v>
      </c>
      <c r="R1233">
        <v>0</v>
      </c>
      <c r="S1233" t="s">
        <v>30</v>
      </c>
    </row>
    <row r="1234" spans="1:19" x14ac:dyDescent="0.3">
      <c r="A1234">
        <v>501233</v>
      </c>
      <c r="B1234">
        <v>73254</v>
      </c>
      <c r="C1234" t="s">
        <v>4</v>
      </c>
      <c r="D1234" t="s">
        <v>25</v>
      </c>
      <c r="E1234" s="1">
        <v>46126</v>
      </c>
      <c r="F1234" t="s">
        <v>270</v>
      </c>
      <c r="G1234" s="1">
        <v>46126</v>
      </c>
      <c r="H1234" s="1" t="str">
        <f t="shared" si="38"/>
        <v>Tuesday</v>
      </c>
      <c r="I1234">
        <v>36</v>
      </c>
      <c r="J1234" t="s">
        <v>15</v>
      </c>
      <c r="K1234">
        <v>1</v>
      </c>
      <c r="L1234">
        <v>0</v>
      </c>
      <c r="M1234">
        <v>0</v>
      </c>
      <c r="N1234">
        <v>0</v>
      </c>
      <c r="O1234">
        <v>0</v>
      </c>
      <c r="P1234" t="str">
        <f t="shared" si="39"/>
        <v>Non Chronic</v>
      </c>
      <c r="Q1234">
        <v>0</v>
      </c>
      <c r="R1234">
        <v>0</v>
      </c>
      <c r="S1234" t="s">
        <v>22</v>
      </c>
    </row>
    <row r="1235" spans="1:19" x14ac:dyDescent="0.3">
      <c r="A1235">
        <v>501234</v>
      </c>
      <c r="B1235">
        <v>42077</v>
      </c>
      <c r="C1235" t="s">
        <v>8</v>
      </c>
      <c r="D1235" t="s">
        <v>19</v>
      </c>
      <c r="E1235" s="1">
        <v>46044</v>
      </c>
      <c r="F1235" t="s">
        <v>269</v>
      </c>
      <c r="G1235" s="1">
        <v>46044</v>
      </c>
      <c r="H1235" s="1" t="str">
        <f t="shared" si="38"/>
        <v>Thursday</v>
      </c>
      <c r="I1235">
        <v>89</v>
      </c>
      <c r="J1235" t="s">
        <v>5</v>
      </c>
      <c r="K1235">
        <v>1</v>
      </c>
      <c r="L1235">
        <v>1</v>
      </c>
      <c r="M1235">
        <v>0</v>
      </c>
      <c r="N1235">
        <v>0</v>
      </c>
      <c r="O1235">
        <v>0</v>
      </c>
      <c r="P1235" t="str">
        <f t="shared" si="39"/>
        <v>Chronic</v>
      </c>
      <c r="Q1235">
        <v>1</v>
      </c>
      <c r="R1235">
        <v>0</v>
      </c>
      <c r="S1235" t="s">
        <v>9</v>
      </c>
    </row>
    <row r="1236" spans="1:19" x14ac:dyDescent="0.3">
      <c r="A1236">
        <v>501235</v>
      </c>
      <c r="B1236">
        <v>13400</v>
      </c>
      <c r="C1236" t="s">
        <v>4</v>
      </c>
      <c r="D1236" t="s">
        <v>19</v>
      </c>
      <c r="E1236" s="1">
        <v>46139</v>
      </c>
      <c r="F1236" t="s">
        <v>268</v>
      </c>
      <c r="G1236" s="1">
        <v>46141</v>
      </c>
      <c r="H1236" s="1" t="str">
        <f t="shared" si="38"/>
        <v>Wednesday</v>
      </c>
      <c r="I1236">
        <v>21</v>
      </c>
      <c r="J1236" t="s">
        <v>1</v>
      </c>
      <c r="K1236">
        <v>1</v>
      </c>
      <c r="L1236">
        <v>0</v>
      </c>
      <c r="M1236">
        <v>0</v>
      </c>
      <c r="N1236">
        <v>0</v>
      </c>
      <c r="O1236">
        <v>0</v>
      </c>
      <c r="P1236" t="str">
        <f t="shared" si="39"/>
        <v>Non Chronic</v>
      </c>
      <c r="Q1236">
        <v>1</v>
      </c>
      <c r="R1236">
        <v>0</v>
      </c>
      <c r="S1236" t="s">
        <v>22</v>
      </c>
    </row>
    <row r="1237" spans="1:19" x14ac:dyDescent="0.3">
      <c r="A1237">
        <v>501236</v>
      </c>
      <c r="B1237">
        <v>49943</v>
      </c>
      <c r="C1237" t="s">
        <v>8</v>
      </c>
      <c r="D1237" t="s">
        <v>7</v>
      </c>
      <c r="E1237" s="1">
        <v>46016</v>
      </c>
      <c r="F1237" t="s">
        <v>267</v>
      </c>
      <c r="G1237" s="1">
        <v>46019</v>
      </c>
      <c r="H1237" s="1" t="str">
        <f t="shared" si="38"/>
        <v>Sunday</v>
      </c>
      <c r="I1237">
        <v>70</v>
      </c>
      <c r="J1237" t="s">
        <v>5</v>
      </c>
      <c r="K1237">
        <v>0</v>
      </c>
      <c r="L1237">
        <v>0</v>
      </c>
      <c r="M1237">
        <v>0</v>
      </c>
      <c r="N1237">
        <v>0</v>
      </c>
      <c r="O1237">
        <v>0</v>
      </c>
      <c r="P1237" t="str">
        <f t="shared" si="39"/>
        <v>Non Chronic</v>
      </c>
      <c r="Q1237">
        <v>1</v>
      </c>
      <c r="R1237">
        <v>1</v>
      </c>
      <c r="S1237" t="s">
        <v>9</v>
      </c>
    </row>
    <row r="1238" spans="1:19" x14ac:dyDescent="0.3">
      <c r="A1238">
        <v>501237</v>
      </c>
      <c r="B1238">
        <v>37742</v>
      </c>
      <c r="C1238" t="s">
        <v>8</v>
      </c>
      <c r="D1238" t="s">
        <v>28</v>
      </c>
      <c r="E1238" s="1">
        <v>46039</v>
      </c>
      <c r="F1238" t="s">
        <v>266</v>
      </c>
      <c r="G1238" s="1">
        <v>46042</v>
      </c>
      <c r="H1238" s="1" t="str">
        <f t="shared" si="38"/>
        <v>Tuesday</v>
      </c>
      <c r="I1238">
        <v>71</v>
      </c>
      <c r="J1238" t="s">
        <v>1</v>
      </c>
      <c r="K1238">
        <v>0</v>
      </c>
      <c r="L1238">
        <v>1</v>
      </c>
      <c r="M1238">
        <v>0</v>
      </c>
      <c r="N1238">
        <v>0</v>
      </c>
      <c r="O1238">
        <v>0</v>
      </c>
      <c r="P1238" t="str">
        <f t="shared" si="39"/>
        <v>Chronic</v>
      </c>
      <c r="Q1238">
        <v>1</v>
      </c>
      <c r="R1238">
        <v>1</v>
      </c>
      <c r="S1238" t="s">
        <v>9</v>
      </c>
    </row>
    <row r="1239" spans="1:19" x14ac:dyDescent="0.3">
      <c r="A1239">
        <v>501238</v>
      </c>
      <c r="B1239">
        <v>55116</v>
      </c>
      <c r="C1239" t="s">
        <v>4</v>
      </c>
      <c r="D1239" t="s">
        <v>19</v>
      </c>
      <c r="E1239" s="1">
        <v>46063</v>
      </c>
      <c r="F1239" t="s">
        <v>265</v>
      </c>
      <c r="G1239" s="1">
        <v>46083</v>
      </c>
      <c r="H1239" s="1" t="str">
        <f t="shared" si="38"/>
        <v>Monday</v>
      </c>
      <c r="I1239">
        <v>26</v>
      </c>
      <c r="J1239" t="s">
        <v>12</v>
      </c>
      <c r="K1239">
        <v>1</v>
      </c>
      <c r="L1239">
        <v>0</v>
      </c>
      <c r="M1239">
        <v>0</v>
      </c>
      <c r="N1239">
        <v>0</v>
      </c>
      <c r="O1239">
        <v>0</v>
      </c>
      <c r="P1239" t="str">
        <f t="shared" si="39"/>
        <v>Non Chronic</v>
      </c>
      <c r="Q1239">
        <v>1</v>
      </c>
      <c r="R1239">
        <v>0</v>
      </c>
      <c r="S1239" t="s">
        <v>22</v>
      </c>
    </row>
    <row r="1240" spans="1:19" x14ac:dyDescent="0.3">
      <c r="A1240">
        <v>501239</v>
      </c>
      <c r="B1240">
        <v>73183</v>
      </c>
      <c r="C1240" t="s">
        <v>4</v>
      </c>
      <c r="D1240" t="s">
        <v>7</v>
      </c>
      <c r="E1240" s="1">
        <v>46074</v>
      </c>
      <c r="F1240" t="s">
        <v>264</v>
      </c>
      <c r="G1240" s="1">
        <v>46076</v>
      </c>
      <c r="H1240" s="1" t="str">
        <f t="shared" si="38"/>
        <v>Monday</v>
      </c>
      <c r="I1240">
        <v>49</v>
      </c>
      <c r="J1240" t="s">
        <v>23</v>
      </c>
      <c r="K1240">
        <v>0</v>
      </c>
      <c r="L1240">
        <v>0</v>
      </c>
      <c r="M1240">
        <v>1</v>
      </c>
      <c r="N1240">
        <v>0</v>
      </c>
      <c r="O1240">
        <v>0</v>
      </c>
      <c r="P1240" t="str">
        <f t="shared" si="39"/>
        <v>Chronic</v>
      </c>
      <c r="Q1240">
        <v>1</v>
      </c>
      <c r="R1240">
        <v>0</v>
      </c>
      <c r="S1240" t="s">
        <v>0</v>
      </c>
    </row>
    <row r="1241" spans="1:19" x14ac:dyDescent="0.3">
      <c r="A1241">
        <v>501240</v>
      </c>
      <c r="B1241">
        <v>25675</v>
      </c>
      <c r="C1241" t="s">
        <v>4</v>
      </c>
      <c r="D1241" t="s">
        <v>19</v>
      </c>
      <c r="E1241" s="1">
        <v>46092</v>
      </c>
      <c r="F1241" t="s">
        <v>263</v>
      </c>
      <c r="G1241" s="1">
        <v>46107</v>
      </c>
      <c r="H1241" s="1" t="str">
        <f t="shared" si="38"/>
        <v>Thursday</v>
      </c>
      <c r="I1241">
        <v>70</v>
      </c>
      <c r="J1241" t="s">
        <v>10</v>
      </c>
      <c r="K1241">
        <v>1</v>
      </c>
      <c r="L1241">
        <v>0</v>
      </c>
      <c r="M1241">
        <v>0</v>
      </c>
      <c r="N1241">
        <v>1</v>
      </c>
      <c r="O1241">
        <v>0</v>
      </c>
      <c r="P1241" t="str">
        <f t="shared" si="39"/>
        <v>Non Chronic</v>
      </c>
      <c r="Q1241">
        <v>0</v>
      </c>
      <c r="R1241">
        <v>0</v>
      </c>
      <c r="S1241" t="s">
        <v>9</v>
      </c>
    </row>
    <row r="1242" spans="1:19" x14ac:dyDescent="0.3">
      <c r="A1242">
        <v>501241</v>
      </c>
      <c r="B1242">
        <v>36546</v>
      </c>
      <c r="C1242" t="s">
        <v>8</v>
      </c>
      <c r="D1242" t="s">
        <v>36</v>
      </c>
      <c r="E1242" s="1">
        <v>46121</v>
      </c>
      <c r="F1242" t="s">
        <v>262</v>
      </c>
      <c r="G1242" s="1">
        <v>46126</v>
      </c>
      <c r="H1242" s="1" t="str">
        <f t="shared" si="38"/>
        <v>Tuesday</v>
      </c>
      <c r="I1242">
        <v>30</v>
      </c>
      <c r="J1242" t="s">
        <v>23</v>
      </c>
      <c r="K1242">
        <v>0</v>
      </c>
      <c r="L1242">
        <v>0</v>
      </c>
      <c r="M1242">
        <v>0</v>
      </c>
      <c r="N1242">
        <v>0</v>
      </c>
      <c r="O1242">
        <v>0</v>
      </c>
      <c r="P1242" t="str">
        <f t="shared" si="39"/>
        <v>Non Chronic</v>
      </c>
      <c r="Q1242">
        <v>1</v>
      </c>
      <c r="R1242">
        <v>0</v>
      </c>
      <c r="S1242" t="s">
        <v>22</v>
      </c>
    </row>
    <row r="1243" spans="1:19" x14ac:dyDescent="0.3">
      <c r="A1243">
        <v>501242</v>
      </c>
      <c r="B1243">
        <v>80481</v>
      </c>
      <c r="C1243" t="s">
        <v>4</v>
      </c>
      <c r="D1243" t="s">
        <v>36</v>
      </c>
      <c r="E1243" s="1">
        <v>46101</v>
      </c>
      <c r="F1243" t="s">
        <v>261</v>
      </c>
      <c r="G1243" s="1">
        <v>46116</v>
      </c>
      <c r="H1243" s="1" t="str">
        <f t="shared" si="38"/>
        <v>Saturday</v>
      </c>
      <c r="I1243">
        <v>33</v>
      </c>
      <c r="J1243" t="s">
        <v>10</v>
      </c>
      <c r="K1243">
        <v>0</v>
      </c>
      <c r="L1243">
        <v>0</v>
      </c>
      <c r="M1243">
        <v>0</v>
      </c>
      <c r="N1243">
        <v>0</v>
      </c>
      <c r="O1243">
        <v>0</v>
      </c>
      <c r="P1243" t="str">
        <f t="shared" si="39"/>
        <v>Non Chronic</v>
      </c>
      <c r="Q1243">
        <v>1</v>
      </c>
      <c r="R1243">
        <v>0</v>
      </c>
      <c r="S1243" t="s">
        <v>22</v>
      </c>
    </row>
    <row r="1244" spans="1:19" x14ac:dyDescent="0.3">
      <c r="A1244">
        <v>501243</v>
      </c>
      <c r="B1244">
        <v>42124</v>
      </c>
      <c r="C1244" t="s">
        <v>4</v>
      </c>
      <c r="D1244" t="s">
        <v>7</v>
      </c>
      <c r="E1244" s="1">
        <v>46009</v>
      </c>
      <c r="F1244" t="s">
        <v>260</v>
      </c>
      <c r="G1244" s="1">
        <v>46011</v>
      </c>
      <c r="H1244" s="1" t="str">
        <f t="shared" si="38"/>
        <v>Saturday</v>
      </c>
      <c r="I1244">
        <v>26</v>
      </c>
      <c r="J1244" t="s">
        <v>31</v>
      </c>
      <c r="K1244">
        <v>0</v>
      </c>
      <c r="L1244">
        <v>0</v>
      </c>
      <c r="M1244">
        <v>0</v>
      </c>
      <c r="N1244">
        <v>0</v>
      </c>
      <c r="O1244">
        <v>0</v>
      </c>
      <c r="P1244" t="str">
        <f t="shared" si="39"/>
        <v>Non Chronic</v>
      </c>
      <c r="Q1244">
        <v>1</v>
      </c>
      <c r="R1244">
        <v>0</v>
      </c>
      <c r="S1244" t="s">
        <v>22</v>
      </c>
    </row>
    <row r="1245" spans="1:19" x14ac:dyDescent="0.3">
      <c r="A1245">
        <v>501244</v>
      </c>
      <c r="B1245">
        <v>18345</v>
      </c>
      <c r="C1245" t="s">
        <v>4</v>
      </c>
      <c r="D1245" t="s">
        <v>25</v>
      </c>
      <c r="E1245" s="1">
        <v>46045</v>
      </c>
      <c r="F1245" t="s">
        <v>259</v>
      </c>
      <c r="G1245" s="1">
        <v>46047</v>
      </c>
      <c r="H1245" s="1" t="str">
        <f t="shared" si="38"/>
        <v>Sunday</v>
      </c>
      <c r="I1245">
        <v>17</v>
      </c>
      <c r="J1245" t="s">
        <v>17</v>
      </c>
      <c r="K1245">
        <v>0</v>
      </c>
      <c r="L1245">
        <v>0</v>
      </c>
      <c r="M1245">
        <v>0</v>
      </c>
      <c r="N1245">
        <v>0</v>
      </c>
      <c r="O1245">
        <v>0</v>
      </c>
      <c r="P1245" t="str">
        <f t="shared" si="39"/>
        <v>Non Chronic</v>
      </c>
      <c r="Q1245">
        <v>1</v>
      </c>
      <c r="R1245">
        <v>0</v>
      </c>
      <c r="S1245" t="s">
        <v>30</v>
      </c>
    </row>
    <row r="1246" spans="1:19" x14ac:dyDescent="0.3">
      <c r="A1246">
        <v>501245</v>
      </c>
      <c r="B1246">
        <v>72558</v>
      </c>
      <c r="C1246" t="s">
        <v>8</v>
      </c>
      <c r="D1246" t="s">
        <v>58</v>
      </c>
      <c r="E1246" s="1">
        <v>46060</v>
      </c>
      <c r="F1246" t="s">
        <v>258</v>
      </c>
      <c r="G1246" s="1">
        <v>46067</v>
      </c>
      <c r="H1246" s="1" t="str">
        <f t="shared" si="38"/>
        <v>Saturday</v>
      </c>
      <c r="I1246">
        <v>25</v>
      </c>
      <c r="J1246" t="s">
        <v>12</v>
      </c>
      <c r="K1246">
        <v>0</v>
      </c>
      <c r="L1246">
        <v>0</v>
      </c>
      <c r="M1246">
        <v>0</v>
      </c>
      <c r="N1246">
        <v>0</v>
      </c>
      <c r="O1246">
        <v>0</v>
      </c>
      <c r="P1246" t="str">
        <f t="shared" si="39"/>
        <v>Non Chronic</v>
      </c>
      <c r="Q1246">
        <v>1</v>
      </c>
      <c r="R1246">
        <v>1</v>
      </c>
      <c r="S1246" t="s">
        <v>22</v>
      </c>
    </row>
    <row r="1247" spans="1:19" x14ac:dyDescent="0.3">
      <c r="A1247">
        <v>501246</v>
      </c>
      <c r="B1247">
        <v>20929</v>
      </c>
      <c r="C1247" t="s">
        <v>8</v>
      </c>
      <c r="D1247" t="s">
        <v>14</v>
      </c>
      <c r="E1247" s="1">
        <v>46004</v>
      </c>
      <c r="F1247" t="s">
        <v>220</v>
      </c>
      <c r="G1247" s="1">
        <v>46009</v>
      </c>
      <c r="H1247" s="1" t="str">
        <f t="shared" si="38"/>
        <v>Thursday</v>
      </c>
      <c r="I1247">
        <v>13</v>
      </c>
      <c r="J1247" t="s">
        <v>15</v>
      </c>
      <c r="K1247">
        <v>0</v>
      </c>
      <c r="L1247">
        <v>0</v>
      </c>
      <c r="M1247">
        <v>0</v>
      </c>
      <c r="N1247">
        <v>0</v>
      </c>
      <c r="O1247">
        <v>0</v>
      </c>
      <c r="P1247" t="str">
        <f t="shared" si="39"/>
        <v>Non Chronic</v>
      </c>
      <c r="Q1247">
        <v>1</v>
      </c>
      <c r="R1247">
        <v>0</v>
      </c>
      <c r="S1247" t="s">
        <v>30</v>
      </c>
    </row>
    <row r="1248" spans="1:19" x14ac:dyDescent="0.3">
      <c r="A1248">
        <v>501247</v>
      </c>
      <c r="B1248">
        <v>84623</v>
      </c>
      <c r="C1248" t="s">
        <v>4</v>
      </c>
      <c r="D1248" t="s">
        <v>3</v>
      </c>
      <c r="E1248" s="1">
        <v>46076</v>
      </c>
      <c r="F1248" t="s">
        <v>257</v>
      </c>
      <c r="G1248" s="1">
        <v>46078</v>
      </c>
      <c r="H1248" s="1" t="str">
        <f t="shared" si="38"/>
        <v>Wednesday</v>
      </c>
      <c r="I1248">
        <v>38</v>
      </c>
      <c r="J1248" t="s">
        <v>15</v>
      </c>
      <c r="K1248">
        <v>1</v>
      </c>
      <c r="L1248">
        <v>0</v>
      </c>
      <c r="M1248">
        <v>0</v>
      </c>
      <c r="N1248">
        <v>0</v>
      </c>
      <c r="O1248">
        <v>0</v>
      </c>
      <c r="P1248" t="str">
        <f t="shared" si="39"/>
        <v>Non Chronic</v>
      </c>
      <c r="Q1248">
        <v>0</v>
      </c>
      <c r="R1248">
        <v>0</v>
      </c>
      <c r="S1248" t="s">
        <v>22</v>
      </c>
    </row>
    <row r="1249" spans="1:19" x14ac:dyDescent="0.3">
      <c r="A1249">
        <v>501248</v>
      </c>
      <c r="B1249">
        <v>69802</v>
      </c>
      <c r="C1249" t="s">
        <v>4</v>
      </c>
      <c r="D1249" t="s">
        <v>25</v>
      </c>
      <c r="E1249" s="1">
        <v>46084</v>
      </c>
      <c r="F1249" t="s">
        <v>256</v>
      </c>
      <c r="G1249" s="1">
        <v>46085</v>
      </c>
      <c r="H1249" s="1" t="str">
        <f t="shared" si="38"/>
        <v>Wednesday</v>
      </c>
      <c r="I1249">
        <v>22</v>
      </c>
      <c r="J1249" t="s">
        <v>23</v>
      </c>
      <c r="K1249">
        <v>1</v>
      </c>
      <c r="L1249">
        <v>0</v>
      </c>
      <c r="M1249">
        <v>0</v>
      </c>
      <c r="N1249">
        <v>0</v>
      </c>
      <c r="O1249">
        <v>0</v>
      </c>
      <c r="P1249" t="str">
        <f t="shared" si="39"/>
        <v>Non Chronic</v>
      </c>
      <c r="Q1249">
        <v>1</v>
      </c>
      <c r="R1249">
        <v>0</v>
      </c>
      <c r="S1249" t="s">
        <v>22</v>
      </c>
    </row>
    <row r="1250" spans="1:19" x14ac:dyDescent="0.3">
      <c r="A1250">
        <v>501249</v>
      </c>
      <c r="B1250">
        <v>94578</v>
      </c>
      <c r="C1250" t="s">
        <v>8</v>
      </c>
      <c r="D1250" t="s">
        <v>25</v>
      </c>
      <c r="E1250" s="1">
        <v>46087</v>
      </c>
      <c r="F1250" t="s">
        <v>196</v>
      </c>
      <c r="G1250" s="1">
        <v>46092</v>
      </c>
      <c r="H1250" s="1" t="str">
        <f t="shared" si="38"/>
        <v>Wednesday</v>
      </c>
      <c r="I1250">
        <v>42</v>
      </c>
      <c r="J1250" t="s">
        <v>12</v>
      </c>
      <c r="K1250">
        <v>0</v>
      </c>
      <c r="L1250">
        <v>0</v>
      </c>
      <c r="M1250">
        <v>0</v>
      </c>
      <c r="N1250">
        <v>0</v>
      </c>
      <c r="O1250">
        <v>0</v>
      </c>
      <c r="P1250" t="str">
        <f t="shared" si="39"/>
        <v>Non Chronic</v>
      </c>
      <c r="Q1250">
        <v>1</v>
      </c>
      <c r="R1250">
        <v>1</v>
      </c>
      <c r="S1250" t="s">
        <v>0</v>
      </c>
    </row>
    <row r="1251" spans="1:19" x14ac:dyDescent="0.3">
      <c r="A1251">
        <v>501250</v>
      </c>
      <c r="B1251">
        <v>33878</v>
      </c>
      <c r="C1251" t="s">
        <v>8</v>
      </c>
      <c r="D1251" t="s">
        <v>36</v>
      </c>
      <c r="E1251" s="1">
        <v>46045</v>
      </c>
      <c r="F1251" t="s">
        <v>255</v>
      </c>
      <c r="G1251" s="1">
        <v>46065</v>
      </c>
      <c r="H1251" s="1" t="str">
        <f t="shared" si="38"/>
        <v>Thursday</v>
      </c>
      <c r="I1251">
        <v>6</v>
      </c>
      <c r="J1251" t="s">
        <v>20</v>
      </c>
      <c r="K1251">
        <v>0</v>
      </c>
      <c r="L1251">
        <v>0</v>
      </c>
      <c r="M1251">
        <v>0</v>
      </c>
      <c r="N1251">
        <v>0</v>
      </c>
      <c r="O1251">
        <v>0</v>
      </c>
      <c r="P1251" t="str">
        <f t="shared" si="39"/>
        <v>Non Chronic</v>
      </c>
      <c r="Q1251">
        <v>1</v>
      </c>
      <c r="R1251">
        <v>0</v>
      </c>
      <c r="S1251" t="s">
        <v>30</v>
      </c>
    </row>
    <row r="1252" spans="1:19" x14ac:dyDescent="0.3">
      <c r="A1252">
        <v>501251</v>
      </c>
      <c r="B1252">
        <v>33435</v>
      </c>
      <c r="C1252" t="s">
        <v>4</v>
      </c>
      <c r="D1252" t="s">
        <v>3</v>
      </c>
      <c r="E1252" s="1">
        <v>46030</v>
      </c>
      <c r="F1252" t="s">
        <v>254</v>
      </c>
      <c r="G1252" s="1">
        <v>46037</v>
      </c>
      <c r="H1252" s="1" t="str">
        <f t="shared" si="38"/>
        <v>Thursday</v>
      </c>
      <c r="I1252">
        <v>44</v>
      </c>
      <c r="J1252" t="s">
        <v>5</v>
      </c>
      <c r="K1252">
        <v>0</v>
      </c>
      <c r="L1252">
        <v>0</v>
      </c>
      <c r="M1252">
        <v>0</v>
      </c>
      <c r="N1252">
        <v>0</v>
      </c>
      <c r="O1252">
        <v>0</v>
      </c>
      <c r="P1252" t="str">
        <f t="shared" si="39"/>
        <v>Non Chronic</v>
      </c>
      <c r="Q1252">
        <v>1</v>
      </c>
      <c r="R1252">
        <v>0</v>
      </c>
      <c r="S1252" t="s">
        <v>0</v>
      </c>
    </row>
    <row r="1253" spans="1:19" x14ac:dyDescent="0.3">
      <c r="A1253">
        <v>501252</v>
      </c>
      <c r="B1253">
        <v>24249</v>
      </c>
      <c r="C1253" t="s">
        <v>4</v>
      </c>
      <c r="D1253" t="s">
        <v>14</v>
      </c>
      <c r="E1253" s="1">
        <v>46155</v>
      </c>
      <c r="F1253" t="s">
        <v>253</v>
      </c>
      <c r="G1253" s="1">
        <v>46157</v>
      </c>
      <c r="H1253" s="1" t="str">
        <f t="shared" si="38"/>
        <v>Friday</v>
      </c>
      <c r="I1253">
        <v>54</v>
      </c>
      <c r="J1253" t="s">
        <v>5</v>
      </c>
      <c r="K1253">
        <v>1</v>
      </c>
      <c r="L1253">
        <v>1</v>
      </c>
      <c r="M1253">
        <v>0</v>
      </c>
      <c r="N1253">
        <v>0</v>
      </c>
      <c r="O1253">
        <v>0</v>
      </c>
      <c r="P1253" t="str">
        <f t="shared" si="39"/>
        <v>Chronic</v>
      </c>
      <c r="Q1253">
        <v>1</v>
      </c>
      <c r="R1253">
        <v>0</v>
      </c>
      <c r="S1253" t="s">
        <v>0</v>
      </c>
    </row>
    <row r="1254" spans="1:19" x14ac:dyDescent="0.3">
      <c r="A1254">
        <v>501253</v>
      </c>
      <c r="B1254">
        <v>30263</v>
      </c>
      <c r="C1254" t="s">
        <v>8</v>
      </c>
      <c r="D1254" t="s">
        <v>28</v>
      </c>
      <c r="E1254" s="1">
        <v>46050</v>
      </c>
      <c r="F1254" t="s">
        <v>252</v>
      </c>
      <c r="G1254" s="1">
        <v>46060</v>
      </c>
      <c r="H1254" s="1" t="str">
        <f t="shared" si="38"/>
        <v>Saturday</v>
      </c>
      <c r="I1254">
        <v>0</v>
      </c>
      <c r="J1254" t="s">
        <v>45</v>
      </c>
      <c r="K1254">
        <v>0</v>
      </c>
      <c r="L1254">
        <v>0</v>
      </c>
      <c r="M1254">
        <v>0</v>
      </c>
      <c r="N1254">
        <v>0</v>
      </c>
      <c r="O1254">
        <v>0</v>
      </c>
      <c r="P1254" t="str">
        <f t="shared" si="39"/>
        <v>Non Chronic</v>
      </c>
      <c r="Q1254">
        <v>0</v>
      </c>
      <c r="R1254">
        <v>0</v>
      </c>
      <c r="S1254" t="s">
        <v>30</v>
      </c>
    </row>
    <row r="1255" spans="1:19" x14ac:dyDescent="0.3">
      <c r="A1255">
        <v>501254</v>
      </c>
      <c r="B1255">
        <v>89970</v>
      </c>
      <c r="C1255" t="s">
        <v>4</v>
      </c>
      <c r="D1255" t="s">
        <v>19</v>
      </c>
      <c r="E1255" s="1">
        <v>46042</v>
      </c>
      <c r="F1255" t="s">
        <v>251</v>
      </c>
      <c r="G1255" s="1">
        <v>46057</v>
      </c>
      <c r="H1255" s="1" t="str">
        <f t="shared" si="38"/>
        <v>Wednesday</v>
      </c>
      <c r="I1255">
        <v>45</v>
      </c>
      <c r="J1255" t="s">
        <v>12</v>
      </c>
      <c r="K1255">
        <v>1</v>
      </c>
      <c r="L1255">
        <v>0</v>
      </c>
      <c r="M1255">
        <v>0</v>
      </c>
      <c r="N1255">
        <v>0</v>
      </c>
      <c r="O1255">
        <v>0</v>
      </c>
      <c r="P1255" t="str">
        <f t="shared" si="39"/>
        <v>Non Chronic</v>
      </c>
      <c r="Q1255">
        <v>1</v>
      </c>
      <c r="R1255">
        <v>0</v>
      </c>
      <c r="S1255" t="s">
        <v>0</v>
      </c>
    </row>
    <row r="1256" spans="1:19" x14ac:dyDescent="0.3">
      <c r="A1256">
        <v>501255</v>
      </c>
      <c r="B1256">
        <v>71863</v>
      </c>
      <c r="C1256" t="s">
        <v>8</v>
      </c>
      <c r="D1256" t="s">
        <v>19</v>
      </c>
      <c r="E1256" s="1">
        <v>46078</v>
      </c>
      <c r="F1256" t="s">
        <v>250</v>
      </c>
      <c r="G1256" s="1">
        <v>46081</v>
      </c>
      <c r="H1256" s="1" t="str">
        <f t="shared" si="38"/>
        <v>Saturday</v>
      </c>
      <c r="I1256">
        <v>62</v>
      </c>
      <c r="J1256" t="s">
        <v>31</v>
      </c>
      <c r="K1256">
        <v>1</v>
      </c>
      <c r="L1256">
        <v>1</v>
      </c>
      <c r="M1256">
        <v>0</v>
      </c>
      <c r="N1256">
        <v>0</v>
      </c>
      <c r="O1256">
        <v>0</v>
      </c>
      <c r="P1256" t="str">
        <f t="shared" si="39"/>
        <v>Chronic</v>
      </c>
      <c r="Q1256">
        <v>1</v>
      </c>
      <c r="R1256">
        <v>0</v>
      </c>
      <c r="S1256" t="s">
        <v>9</v>
      </c>
    </row>
    <row r="1257" spans="1:19" x14ac:dyDescent="0.3">
      <c r="A1257">
        <v>501256</v>
      </c>
      <c r="B1257">
        <v>62963</v>
      </c>
      <c r="C1257" t="s">
        <v>4</v>
      </c>
      <c r="D1257" t="s">
        <v>3</v>
      </c>
      <c r="E1257" s="1">
        <v>46133</v>
      </c>
      <c r="F1257" t="s">
        <v>249</v>
      </c>
      <c r="G1257" s="1">
        <v>46140</v>
      </c>
      <c r="H1257" s="1" t="str">
        <f t="shared" si="38"/>
        <v>Tuesday</v>
      </c>
      <c r="I1257">
        <v>13</v>
      </c>
      <c r="J1257" t="s">
        <v>20</v>
      </c>
      <c r="K1257">
        <v>0</v>
      </c>
      <c r="L1257">
        <v>0</v>
      </c>
      <c r="M1257">
        <v>0</v>
      </c>
      <c r="N1257">
        <v>0</v>
      </c>
      <c r="O1257">
        <v>0</v>
      </c>
      <c r="P1257" t="str">
        <f t="shared" si="39"/>
        <v>Non Chronic</v>
      </c>
      <c r="Q1257">
        <v>1</v>
      </c>
      <c r="R1257">
        <v>0</v>
      </c>
      <c r="S1257" t="s">
        <v>30</v>
      </c>
    </row>
    <row r="1258" spans="1:19" x14ac:dyDescent="0.3">
      <c r="A1258">
        <v>501257</v>
      </c>
      <c r="B1258">
        <v>45940</v>
      </c>
      <c r="C1258" t="s">
        <v>4</v>
      </c>
      <c r="D1258" t="s">
        <v>14</v>
      </c>
      <c r="E1258" s="1">
        <v>46010</v>
      </c>
      <c r="F1258" t="s">
        <v>185</v>
      </c>
      <c r="G1258" s="1">
        <v>46013</v>
      </c>
      <c r="H1258" s="1" t="str">
        <f t="shared" si="38"/>
        <v>Monday</v>
      </c>
      <c r="I1258">
        <v>71</v>
      </c>
      <c r="J1258" t="s">
        <v>45</v>
      </c>
      <c r="K1258">
        <v>1</v>
      </c>
      <c r="L1258">
        <v>1</v>
      </c>
      <c r="M1258">
        <v>0</v>
      </c>
      <c r="N1258">
        <v>0</v>
      </c>
      <c r="O1258">
        <v>0</v>
      </c>
      <c r="P1258" t="str">
        <f t="shared" si="39"/>
        <v>Chronic</v>
      </c>
      <c r="Q1258">
        <v>1</v>
      </c>
      <c r="R1258">
        <v>0</v>
      </c>
      <c r="S1258" t="s">
        <v>9</v>
      </c>
    </row>
    <row r="1259" spans="1:19" x14ac:dyDescent="0.3">
      <c r="A1259">
        <v>501258</v>
      </c>
      <c r="B1259">
        <v>38177</v>
      </c>
      <c r="C1259" t="s">
        <v>8</v>
      </c>
      <c r="D1259" t="s">
        <v>25</v>
      </c>
      <c r="E1259" s="1">
        <v>46014</v>
      </c>
      <c r="F1259" t="s">
        <v>248</v>
      </c>
      <c r="G1259" s="1">
        <v>46024</v>
      </c>
      <c r="H1259" s="1" t="str">
        <f t="shared" si="38"/>
        <v>Friday</v>
      </c>
      <c r="I1259">
        <v>46</v>
      </c>
      <c r="J1259" t="s">
        <v>15</v>
      </c>
      <c r="K1259">
        <v>0</v>
      </c>
      <c r="L1259">
        <v>1</v>
      </c>
      <c r="M1259">
        <v>0</v>
      </c>
      <c r="N1259">
        <v>0</v>
      </c>
      <c r="O1259">
        <v>0</v>
      </c>
      <c r="P1259" t="str">
        <f t="shared" si="39"/>
        <v>Chronic</v>
      </c>
      <c r="Q1259">
        <v>1</v>
      </c>
      <c r="R1259">
        <v>0</v>
      </c>
      <c r="S1259" t="s">
        <v>0</v>
      </c>
    </row>
    <row r="1260" spans="1:19" x14ac:dyDescent="0.3">
      <c r="A1260">
        <v>501259</v>
      </c>
      <c r="B1260">
        <v>16029</v>
      </c>
      <c r="C1260" t="s">
        <v>8</v>
      </c>
      <c r="D1260" t="s">
        <v>7</v>
      </c>
      <c r="E1260" s="1">
        <v>46137</v>
      </c>
      <c r="F1260" t="s">
        <v>247</v>
      </c>
      <c r="G1260" s="1">
        <v>46144</v>
      </c>
      <c r="H1260" s="1" t="str">
        <f t="shared" si="38"/>
        <v>Saturday</v>
      </c>
      <c r="I1260">
        <v>23</v>
      </c>
      <c r="J1260" t="s">
        <v>45</v>
      </c>
      <c r="K1260">
        <v>1</v>
      </c>
      <c r="L1260">
        <v>0</v>
      </c>
      <c r="M1260">
        <v>0</v>
      </c>
      <c r="N1260">
        <v>0</v>
      </c>
      <c r="O1260">
        <v>0</v>
      </c>
      <c r="P1260" t="str">
        <f t="shared" si="39"/>
        <v>Non Chronic</v>
      </c>
      <c r="Q1260">
        <v>1</v>
      </c>
      <c r="R1260">
        <v>1</v>
      </c>
      <c r="S1260" t="s">
        <v>22</v>
      </c>
    </row>
    <row r="1261" spans="1:19" x14ac:dyDescent="0.3">
      <c r="A1261">
        <v>501260</v>
      </c>
      <c r="B1261">
        <v>54917</v>
      </c>
      <c r="C1261" t="s">
        <v>8</v>
      </c>
      <c r="D1261" t="s">
        <v>19</v>
      </c>
      <c r="E1261" s="1">
        <v>46004</v>
      </c>
      <c r="F1261" t="s">
        <v>246</v>
      </c>
      <c r="G1261" s="1">
        <v>46005</v>
      </c>
      <c r="H1261" s="1" t="str">
        <f t="shared" si="38"/>
        <v>Sunday</v>
      </c>
      <c r="I1261">
        <v>36</v>
      </c>
      <c r="J1261" t="s">
        <v>10</v>
      </c>
      <c r="K1261">
        <v>1</v>
      </c>
      <c r="L1261">
        <v>0</v>
      </c>
      <c r="M1261">
        <v>0</v>
      </c>
      <c r="N1261">
        <v>0</v>
      </c>
      <c r="O1261">
        <v>0</v>
      </c>
      <c r="P1261" t="str">
        <f t="shared" si="39"/>
        <v>Non Chronic</v>
      </c>
      <c r="Q1261">
        <v>0</v>
      </c>
      <c r="R1261">
        <v>0</v>
      </c>
      <c r="S1261" t="s">
        <v>22</v>
      </c>
    </row>
    <row r="1262" spans="1:19" x14ac:dyDescent="0.3">
      <c r="A1262">
        <v>501261</v>
      </c>
      <c r="B1262">
        <v>64234</v>
      </c>
      <c r="C1262" t="s">
        <v>4</v>
      </c>
      <c r="D1262" t="s">
        <v>28</v>
      </c>
      <c r="E1262" s="1">
        <v>46129</v>
      </c>
      <c r="F1262" t="s">
        <v>245</v>
      </c>
      <c r="G1262" s="1">
        <v>46132</v>
      </c>
      <c r="H1262" s="1" t="str">
        <f t="shared" si="38"/>
        <v>Monday</v>
      </c>
      <c r="I1262">
        <v>49</v>
      </c>
      <c r="J1262" t="s">
        <v>1</v>
      </c>
      <c r="K1262">
        <v>1</v>
      </c>
      <c r="L1262">
        <v>0</v>
      </c>
      <c r="M1262">
        <v>0</v>
      </c>
      <c r="N1262">
        <v>0</v>
      </c>
      <c r="O1262">
        <v>0</v>
      </c>
      <c r="P1262" t="str">
        <f t="shared" si="39"/>
        <v>Non Chronic</v>
      </c>
      <c r="Q1262">
        <v>1</v>
      </c>
      <c r="R1262">
        <v>0</v>
      </c>
      <c r="S1262" t="s">
        <v>0</v>
      </c>
    </row>
    <row r="1263" spans="1:19" x14ac:dyDescent="0.3">
      <c r="A1263">
        <v>501262</v>
      </c>
      <c r="B1263">
        <v>82964</v>
      </c>
      <c r="C1263" t="s">
        <v>8</v>
      </c>
      <c r="D1263" t="s">
        <v>36</v>
      </c>
      <c r="E1263" s="1">
        <v>46033</v>
      </c>
      <c r="F1263" t="s">
        <v>244</v>
      </c>
      <c r="G1263" s="1">
        <v>46043</v>
      </c>
      <c r="H1263" s="1" t="str">
        <f t="shared" si="38"/>
        <v>Wednesday</v>
      </c>
      <c r="I1263">
        <v>39</v>
      </c>
      <c r="J1263" t="s">
        <v>31</v>
      </c>
      <c r="K1263">
        <v>0</v>
      </c>
      <c r="L1263">
        <v>0</v>
      </c>
      <c r="M1263">
        <v>0</v>
      </c>
      <c r="N1263">
        <v>0</v>
      </c>
      <c r="O1263">
        <v>0</v>
      </c>
      <c r="P1263" t="str">
        <f t="shared" si="39"/>
        <v>Non Chronic</v>
      </c>
      <c r="Q1263">
        <v>0</v>
      </c>
      <c r="R1263">
        <v>0</v>
      </c>
      <c r="S1263" t="s">
        <v>22</v>
      </c>
    </row>
    <row r="1264" spans="1:19" x14ac:dyDescent="0.3">
      <c r="A1264">
        <v>501263</v>
      </c>
      <c r="B1264">
        <v>57347</v>
      </c>
      <c r="C1264" t="s">
        <v>8</v>
      </c>
      <c r="D1264" t="s">
        <v>14</v>
      </c>
      <c r="E1264" s="1">
        <v>46041</v>
      </c>
      <c r="F1264" t="s">
        <v>243</v>
      </c>
      <c r="G1264" s="1">
        <v>46051</v>
      </c>
      <c r="H1264" s="1" t="str">
        <f t="shared" si="38"/>
        <v>Thursday</v>
      </c>
      <c r="I1264">
        <v>48</v>
      </c>
      <c r="J1264" t="s">
        <v>31</v>
      </c>
      <c r="K1264">
        <v>1</v>
      </c>
      <c r="L1264">
        <v>0</v>
      </c>
      <c r="M1264">
        <v>0</v>
      </c>
      <c r="N1264">
        <v>0</v>
      </c>
      <c r="O1264">
        <v>0</v>
      </c>
      <c r="P1264" t="str">
        <f t="shared" si="39"/>
        <v>Non Chronic</v>
      </c>
      <c r="Q1264">
        <v>1</v>
      </c>
      <c r="R1264">
        <v>0</v>
      </c>
      <c r="S1264" t="s">
        <v>0</v>
      </c>
    </row>
    <row r="1265" spans="1:19" x14ac:dyDescent="0.3">
      <c r="A1265">
        <v>501264</v>
      </c>
      <c r="B1265">
        <v>13032</v>
      </c>
      <c r="C1265" t="s">
        <v>4</v>
      </c>
      <c r="D1265" t="s">
        <v>58</v>
      </c>
      <c r="E1265" s="1">
        <v>46111</v>
      </c>
      <c r="F1265" t="s">
        <v>242</v>
      </c>
      <c r="G1265" s="1">
        <v>46114</v>
      </c>
      <c r="H1265" s="1" t="str">
        <f t="shared" si="38"/>
        <v>Thursday</v>
      </c>
      <c r="I1265">
        <v>19</v>
      </c>
      <c r="J1265" t="s">
        <v>23</v>
      </c>
      <c r="K1265">
        <v>1</v>
      </c>
      <c r="L1265">
        <v>0</v>
      </c>
      <c r="M1265">
        <v>0</v>
      </c>
      <c r="N1265">
        <v>0</v>
      </c>
      <c r="O1265">
        <v>0</v>
      </c>
      <c r="P1265" t="str">
        <f t="shared" si="39"/>
        <v>Non Chronic</v>
      </c>
      <c r="Q1265">
        <v>1</v>
      </c>
      <c r="R1265">
        <v>1</v>
      </c>
      <c r="S1265" t="s">
        <v>22</v>
      </c>
    </row>
    <row r="1266" spans="1:19" x14ac:dyDescent="0.3">
      <c r="A1266">
        <v>501265</v>
      </c>
      <c r="B1266">
        <v>79258</v>
      </c>
      <c r="C1266" t="s">
        <v>4</v>
      </c>
      <c r="D1266" t="s">
        <v>19</v>
      </c>
      <c r="E1266" s="1">
        <v>46102</v>
      </c>
      <c r="F1266" t="s">
        <v>241</v>
      </c>
      <c r="G1266" s="1">
        <v>46122</v>
      </c>
      <c r="H1266" s="1" t="str">
        <f t="shared" si="38"/>
        <v>Friday</v>
      </c>
      <c r="I1266">
        <v>41</v>
      </c>
      <c r="J1266" t="s">
        <v>17</v>
      </c>
      <c r="K1266">
        <v>1</v>
      </c>
      <c r="L1266">
        <v>0</v>
      </c>
      <c r="M1266">
        <v>0</v>
      </c>
      <c r="N1266">
        <v>0</v>
      </c>
      <c r="O1266">
        <v>0</v>
      </c>
      <c r="P1266" t="str">
        <f t="shared" si="39"/>
        <v>Non Chronic</v>
      </c>
      <c r="Q1266">
        <v>1</v>
      </c>
      <c r="R1266">
        <v>0</v>
      </c>
      <c r="S1266" t="s">
        <v>0</v>
      </c>
    </row>
    <row r="1267" spans="1:19" x14ac:dyDescent="0.3">
      <c r="A1267">
        <v>501266</v>
      </c>
      <c r="B1267">
        <v>47047</v>
      </c>
      <c r="C1267" t="s">
        <v>8</v>
      </c>
      <c r="D1267" t="s">
        <v>58</v>
      </c>
      <c r="E1267" s="1">
        <v>46092</v>
      </c>
      <c r="F1267" t="s">
        <v>240</v>
      </c>
      <c r="G1267" s="1">
        <v>46099</v>
      </c>
      <c r="H1267" s="1" t="str">
        <f t="shared" si="38"/>
        <v>Wednesday</v>
      </c>
      <c r="I1267">
        <v>9</v>
      </c>
      <c r="J1267" t="s">
        <v>15</v>
      </c>
      <c r="K1267">
        <v>0</v>
      </c>
      <c r="L1267">
        <v>0</v>
      </c>
      <c r="M1267">
        <v>0</v>
      </c>
      <c r="N1267">
        <v>0</v>
      </c>
      <c r="O1267">
        <v>0</v>
      </c>
      <c r="P1267" t="str">
        <f t="shared" si="39"/>
        <v>Non Chronic</v>
      </c>
      <c r="Q1267">
        <v>0</v>
      </c>
      <c r="R1267">
        <v>0</v>
      </c>
      <c r="S1267" t="s">
        <v>30</v>
      </c>
    </row>
    <row r="1268" spans="1:19" x14ac:dyDescent="0.3">
      <c r="A1268">
        <v>501267</v>
      </c>
      <c r="B1268">
        <v>79699</v>
      </c>
      <c r="C1268" t="s">
        <v>4</v>
      </c>
      <c r="D1268" t="s">
        <v>58</v>
      </c>
      <c r="E1268" s="1">
        <v>46043</v>
      </c>
      <c r="F1268" t="s">
        <v>239</v>
      </c>
      <c r="G1268" s="1">
        <v>46073</v>
      </c>
      <c r="H1268" s="1" t="str">
        <f t="shared" si="38"/>
        <v>Friday</v>
      </c>
      <c r="I1268">
        <v>35</v>
      </c>
      <c r="J1268" t="s">
        <v>1</v>
      </c>
      <c r="K1268">
        <v>1</v>
      </c>
      <c r="L1268">
        <v>0</v>
      </c>
      <c r="M1268">
        <v>0</v>
      </c>
      <c r="N1268">
        <v>0</v>
      </c>
      <c r="O1268">
        <v>0</v>
      </c>
      <c r="P1268" t="str">
        <f t="shared" si="39"/>
        <v>Non Chronic</v>
      </c>
      <c r="Q1268">
        <v>0</v>
      </c>
      <c r="R1268">
        <v>0</v>
      </c>
      <c r="S1268" t="s">
        <v>22</v>
      </c>
    </row>
    <row r="1269" spans="1:19" x14ac:dyDescent="0.3">
      <c r="A1269">
        <v>501268</v>
      </c>
      <c r="B1269">
        <v>66485</v>
      </c>
      <c r="C1269" t="s">
        <v>8</v>
      </c>
      <c r="D1269" t="s">
        <v>7</v>
      </c>
      <c r="E1269" s="1">
        <v>46067</v>
      </c>
      <c r="F1269" t="s">
        <v>238</v>
      </c>
      <c r="G1269" s="1">
        <v>46074</v>
      </c>
      <c r="H1269" s="1" t="str">
        <f t="shared" si="38"/>
        <v>Saturday</v>
      </c>
      <c r="I1269">
        <v>19</v>
      </c>
      <c r="J1269" t="s">
        <v>10</v>
      </c>
      <c r="K1269">
        <v>0</v>
      </c>
      <c r="L1269">
        <v>0</v>
      </c>
      <c r="M1269">
        <v>0</v>
      </c>
      <c r="N1269">
        <v>0</v>
      </c>
      <c r="O1269">
        <v>0</v>
      </c>
      <c r="P1269" t="str">
        <f t="shared" si="39"/>
        <v>Non Chronic</v>
      </c>
      <c r="Q1269">
        <v>1</v>
      </c>
      <c r="R1269">
        <v>0</v>
      </c>
      <c r="S1269" t="s">
        <v>22</v>
      </c>
    </row>
    <row r="1270" spans="1:19" x14ac:dyDescent="0.3">
      <c r="A1270">
        <v>501269</v>
      </c>
      <c r="B1270">
        <v>54539</v>
      </c>
      <c r="C1270" t="s">
        <v>8</v>
      </c>
      <c r="D1270" t="s">
        <v>3</v>
      </c>
      <c r="E1270" s="1">
        <v>46103</v>
      </c>
      <c r="F1270" t="s">
        <v>237</v>
      </c>
      <c r="G1270" s="1">
        <v>46103</v>
      </c>
      <c r="H1270" s="1" t="str">
        <f t="shared" si="38"/>
        <v>Sunday</v>
      </c>
      <c r="I1270">
        <v>23</v>
      </c>
      <c r="J1270" t="s">
        <v>17</v>
      </c>
      <c r="K1270">
        <v>1</v>
      </c>
      <c r="L1270">
        <v>0</v>
      </c>
      <c r="M1270">
        <v>0</v>
      </c>
      <c r="N1270">
        <v>0</v>
      </c>
      <c r="O1270">
        <v>0</v>
      </c>
      <c r="P1270" t="str">
        <f t="shared" si="39"/>
        <v>Non Chronic</v>
      </c>
      <c r="Q1270">
        <v>0</v>
      </c>
      <c r="R1270">
        <v>1</v>
      </c>
      <c r="S1270" t="s">
        <v>22</v>
      </c>
    </row>
    <row r="1271" spans="1:19" x14ac:dyDescent="0.3">
      <c r="A1271">
        <v>501270</v>
      </c>
      <c r="B1271">
        <v>39521</v>
      </c>
      <c r="C1271" t="s">
        <v>8</v>
      </c>
      <c r="D1271" t="s">
        <v>3</v>
      </c>
      <c r="E1271" s="1">
        <v>46021</v>
      </c>
      <c r="F1271" t="s">
        <v>236</v>
      </c>
      <c r="G1271" s="1">
        <v>46028</v>
      </c>
      <c r="H1271" s="1" t="str">
        <f t="shared" si="38"/>
        <v>Tuesday</v>
      </c>
      <c r="I1271">
        <v>62</v>
      </c>
      <c r="J1271" t="s">
        <v>31</v>
      </c>
      <c r="K1271">
        <v>1</v>
      </c>
      <c r="L1271">
        <v>0</v>
      </c>
      <c r="M1271">
        <v>0</v>
      </c>
      <c r="N1271">
        <v>0</v>
      </c>
      <c r="O1271">
        <v>0</v>
      </c>
      <c r="P1271" t="str">
        <f t="shared" si="39"/>
        <v>Non Chronic</v>
      </c>
      <c r="Q1271">
        <v>1</v>
      </c>
      <c r="R1271">
        <v>0</v>
      </c>
      <c r="S1271" t="s">
        <v>9</v>
      </c>
    </row>
    <row r="1272" spans="1:19" x14ac:dyDescent="0.3">
      <c r="A1272">
        <v>501271</v>
      </c>
      <c r="B1272">
        <v>56484</v>
      </c>
      <c r="C1272" t="s">
        <v>4</v>
      </c>
      <c r="D1272" t="s">
        <v>14</v>
      </c>
      <c r="E1272" s="1">
        <v>46152</v>
      </c>
      <c r="F1272" t="s">
        <v>235</v>
      </c>
      <c r="G1272" s="1">
        <v>46152</v>
      </c>
      <c r="H1272" s="1" t="str">
        <f t="shared" si="38"/>
        <v>Sunday</v>
      </c>
      <c r="I1272">
        <v>59</v>
      </c>
      <c r="J1272" t="s">
        <v>31</v>
      </c>
      <c r="K1272">
        <v>0</v>
      </c>
      <c r="L1272">
        <v>1</v>
      </c>
      <c r="M1272">
        <v>1</v>
      </c>
      <c r="N1272">
        <v>0</v>
      </c>
      <c r="O1272">
        <v>0</v>
      </c>
      <c r="P1272" t="str">
        <f t="shared" si="39"/>
        <v>Chronic</v>
      </c>
      <c r="Q1272">
        <v>1</v>
      </c>
      <c r="R1272">
        <v>0</v>
      </c>
      <c r="S1272" t="s">
        <v>0</v>
      </c>
    </row>
    <row r="1273" spans="1:19" x14ac:dyDescent="0.3">
      <c r="A1273">
        <v>501272</v>
      </c>
      <c r="B1273">
        <v>19078</v>
      </c>
      <c r="C1273" t="s">
        <v>8</v>
      </c>
      <c r="D1273" t="s">
        <v>19</v>
      </c>
      <c r="E1273" s="1">
        <v>45994</v>
      </c>
      <c r="F1273" t="s">
        <v>234</v>
      </c>
      <c r="G1273" s="1">
        <v>45996</v>
      </c>
      <c r="H1273" s="1" t="str">
        <f t="shared" si="38"/>
        <v>Friday</v>
      </c>
      <c r="I1273">
        <v>50</v>
      </c>
      <c r="J1273" t="s">
        <v>45</v>
      </c>
      <c r="K1273">
        <v>0</v>
      </c>
      <c r="L1273">
        <v>1</v>
      </c>
      <c r="M1273">
        <v>1</v>
      </c>
      <c r="N1273">
        <v>0</v>
      </c>
      <c r="O1273">
        <v>0</v>
      </c>
      <c r="P1273" t="str">
        <f t="shared" si="39"/>
        <v>Chronic</v>
      </c>
      <c r="Q1273">
        <v>0</v>
      </c>
      <c r="R1273">
        <v>0</v>
      </c>
      <c r="S1273" t="s">
        <v>0</v>
      </c>
    </row>
    <row r="1274" spans="1:19" x14ac:dyDescent="0.3">
      <c r="A1274">
        <v>501273</v>
      </c>
      <c r="B1274">
        <v>13577</v>
      </c>
      <c r="C1274" t="s">
        <v>4</v>
      </c>
      <c r="D1274" t="s">
        <v>7</v>
      </c>
      <c r="E1274" s="1">
        <v>46074</v>
      </c>
      <c r="F1274" t="s">
        <v>96</v>
      </c>
      <c r="G1274" s="1">
        <v>46089</v>
      </c>
      <c r="H1274" s="1" t="str">
        <f t="shared" si="38"/>
        <v>Sunday</v>
      </c>
      <c r="I1274">
        <v>16</v>
      </c>
      <c r="J1274" t="s">
        <v>15</v>
      </c>
      <c r="K1274">
        <v>0</v>
      </c>
      <c r="L1274">
        <v>0</v>
      </c>
      <c r="M1274">
        <v>0</v>
      </c>
      <c r="N1274">
        <v>0</v>
      </c>
      <c r="O1274">
        <v>0</v>
      </c>
      <c r="P1274" t="str">
        <f t="shared" si="39"/>
        <v>Non Chronic</v>
      </c>
      <c r="Q1274">
        <v>1</v>
      </c>
      <c r="R1274">
        <v>0</v>
      </c>
      <c r="S1274" t="s">
        <v>30</v>
      </c>
    </row>
    <row r="1275" spans="1:19" x14ac:dyDescent="0.3">
      <c r="A1275">
        <v>501274</v>
      </c>
      <c r="B1275">
        <v>37339</v>
      </c>
      <c r="C1275" t="s">
        <v>8</v>
      </c>
      <c r="D1275" t="s">
        <v>36</v>
      </c>
      <c r="E1275" s="1">
        <v>46098</v>
      </c>
      <c r="F1275" t="s">
        <v>233</v>
      </c>
      <c r="G1275" s="1">
        <v>46100</v>
      </c>
      <c r="H1275" s="1" t="str">
        <f t="shared" si="38"/>
        <v>Thursday</v>
      </c>
      <c r="I1275">
        <v>31</v>
      </c>
      <c r="J1275" t="s">
        <v>10</v>
      </c>
      <c r="K1275">
        <v>1</v>
      </c>
      <c r="L1275">
        <v>0</v>
      </c>
      <c r="M1275">
        <v>0</v>
      </c>
      <c r="N1275">
        <v>0</v>
      </c>
      <c r="O1275">
        <v>0</v>
      </c>
      <c r="P1275" t="str">
        <f t="shared" si="39"/>
        <v>Non Chronic</v>
      </c>
      <c r="Q1275">
        <v>1</v>
      </c>
      <c r="R1275">
        <v>0</v>
      </c>
      <c r="S1275" t="s">
        <v>22</v>
      </c>
    </row>
    <row r="1276" spans="1:19" x14ac:dyDescent="0.3">
      <c r="A1276">
        <v>501275</v>
      </c>
      <c r="B1276">
        <v>22170</v>
      </c>
      <c r="C1276" t="s">
        <v>4</v>
      </c>
      <c r="D1276" t="s">
        <v>58</v>
      </c>
      <c r="E1276" s="1">
        <v>46033</v>
      </c>
      <c r="F1276" t="s">
        <v>232</v>
      </c>
      <c r="G1276" s="1">
        <v>46036</v>
      </c>
      <c r="H1276" s="1" t="str">
        <f t="shared" si="38"/>
        <v>Wednesday</v>
      </c>
      <c r="I1276">
        <v>62</v>
      </c>
      <c r="J1276" t="s">
        <v>31</v>
      </c>
      <c r="K1276">
        <v>0</v>
      </c>
      <c r="L1276">
        <v>1</v>
      </c>
      <c r="M1276">
        <v>0</v>
      </c>
      <c r="N1276">
        <v>0</v>
      </c>
      <c r="O1276">
        <v>0</v>
      </c>
      <c r="P1276" t="str">
        <f t="shared" si="39"/>
        <v>Chronic</v>
      </c>
      <c r="Q1276">
        <v>1</v>
      </c>
      <c r="R1276">
        <v>0</v>
      </c>
      <c r="S1276" t="s">
        <v>9</v>
      </c>
    </row>
    <row r="1277" spans="1:19" x14ac:dyDescent="0.3">
      <c r="A1277">
        <v>501276</v>
      </c>
      <c r="B1277">
        <v>76441</v>
      </c>
      <c r="C1277" t="s">
        <v>8</v>
      </c>
      <c r="D1277" t="s">
        <v>7</v>
      </c>
      <c r="E1277" s="1">
        <v>46163</v>
      </c>
      <c r="F1277" t="s">
        <v>231</v>
      </c>
      <c r="G1277" s="1">
        <v>46163</v>
      </c>
      <c r="H1277" s="1" t="str">
        <f t="shared" si="38"/>
        <v>Thursday</v>
      </c>
      <c r="I1277">
        <v>40</v>
      </c>
      <c r="J1277" t="s">
        <v>5</v>
      </c>
      <c r="K1277">
        <v>0</v>
      </c>
      <c r="L1277">
        <v>0</v>
      </c>
      <c r="M1277">
        <v>0</v>
      </c>
      <c r="N1277">
        <v>0</v>
      </c>
      <c r="O1277">
        <v>0</v>
      </c>
      <c r="P1277" t="str">
        <f t="shared" si="39"/>
        <v>Non Chronic</v>
      </c>
      <c r="Q1277">
        <v>1</v>
      </c>
      <c r="R1277">
        <v>0</v>
      </c>
      <c r="S1277" t="s">
        <v>22</v>
      </c>
    </row>
    <row r="1278" spans="1:19" x14ac:dyDescent="0.3">
      <c r="A1278">
        <v>501277</v>
      </c>
      <c r="B1278">
        <v>23115</v>
      </c>
      <c r="C1278" t="s">
        <v>8</v>
      </c>
      <c r="D1278" t="s">
        <v>19</v>
      </c>
      <c r="E1278" s="1">
        <v>46073</v>
      </c>
      <c r="F1278" t="s">
        <v>230</v>
      </c>
      <c r="G1278" s="1">
        <v>46074</v>
      </c>
      <c r="H1278" s="1" t="str">
        <f t="shared" si="38"/>
        <v>Saturday</v>
      </c>
      <c r="I1278">
        <v>84</v>
      </c>
      <c r="J1278" t="s">
        <v>5</v>
      </c>
      <c r="K1278">
        <v>0</v>
      </c>
      <c r="L1278">
        <v>0</v>
      </c>
      <c r="M1278">
        <v>0</v>
      </c>
      <c r="N1278">
        <v>0</v>
      </c>
      <c r="O1278">
        <v>0</v>
      </c>
      <c r="P1278" t="str">
        <f t="shared" si="39"/>
        <v>Non Chronic</v>
      </c>
      <c r="Q1278">
        <v>1</v>
      </c>
      <c r="R1278">
        <v>0</v>
      </c>
      <c r="S1278" t="s">
        <v>9</v>
      </c>
    </row>
    <row r="1279" spans="1:19" x14ac:dyDescent="0.3">
      <c r="A1279">
        <v>501278</v>
      </c>
      <c r="B1279">
        <v>71782</v>
      </c>
      <c r="C1279" t="s">
        <v>4</v>
      </c>
      <c r="D1279" t="s">
        <v>25</v>
      </c>
      <c r="E1279" s="1">
        <v>46157</v>
      </c>
      <c r="F1279" t="s">
        <v>229</v>
      </c>
      <c r="G1279" s="1">
        <v>46164</v>
      </c>
      <c r="H1279" s="1" t="str">
        <f t="shared" si="38"/>
        <v>Friday</v>
      </c>
      <c r="I1279">
        <v>45</v>
      </c>
      <c r="J1279" t="s">
        <v>20</v>
      </c>
      <c r="K1279">
        <v>0</v>
      </c>
      <c r="L1279">
        <v>0</v>
      </c>
      <c r="M1279">
        <v>1</v>
      </c>
      <c r="N1279">
        <v>0</v>
      </c>
      <c r="O1279">
        <v>0</v>
      </c>
      <c r="P1279" t="str">
        <f t="shared" si="39"/>
        <v>Chronic</v>
      </c>
      <c r="Q1279">
        <v>1</v>
      </c>
      <c r="R1279">
        <v>0</v>
      </c>
      <c r="S1279" t="s">
        <v>0</v>
      </c>
    </row>
    <row r="1280" spans="1:19" x14ac:dyDescent="0.3">
      <c r="A1280">
        <v>501279</v>
      </c>
      <c r="B1280">
        <v>71579</v>
      </c>
      <c r="C1280" t="s">
        <v>4</v>
      </c>
      <c r="D1280" t="s">
        <v>36</v>
      </c>
      <c r="E1280" s="1">
        <v>46083</v>
      </c>
      <c r="F1280" t="s">
        <v>228</v>
      </c>
      <c r="G1280" s="1">
        <v>46086</v>
      </c>
      <c r="H1280" s="1" t="str">
        <f t="shared" si="38"/>
        <v>Thursday</v>
      </c>
      <c r="I1280">
        <v>41</v>
      </c>
      <c r="J1280" t="s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 t="str">
        <f t="shared" si="39"/>
        <v>Non Chronic</v>
      </c>
      <c r="Q1280">
        <v>1</v>
      </c>
      <c r="R1280">
        <v>0</v>
      </c>
      <c r="S1280" t="s">
        <v>0</v>
      </c>
    </row>
    <row r="1281" spans="1:19" x14ac:dyDescent="0.3">
      <c r="A1281">
        <v>501280</v>
      </c>
      <c r="B1281">
        <v>32599</v>
      </c>
      <c r="C1281" t="s">
        <v>4</v>
      </c>
      <c r="D1281" t="s">
        <v>28</v>
      </c>
      <c r="E1281" s="1">
        <v>46108</v>
      </c>
      <c r="F1281" t="s">
        <v>227</v>
      </c>
      <c r="G1281" s="1">
        <v>46109</v>
      </c>
      <c r="H1281" s="1" t="str">
        <f t="shared" si="38"/>
        <v>Saturday</v>
      </c>
      <c r="I1281">
        <v>31</v>
      </c>
      <c r="J1281" t="s">
        <v>31</v>
      </c>
      <c r="K1281">
        <v>1</v>
      </c>
      <c r="L1281">
        <v>0</v>
      </c>
      <c r="M1281">
        <v>0</v>
      </c>
      <c r="N1281">
        <v>0</v>
      </c>
      <c r="O1281">
        <v>0</v>
      </c>
      <c r="P1281" t="str">
        <f t="shared" si="39"/>
        <v>Non Chronic</v>
      </c>
      <c r="Q1281">
        <v>1</v>
      </c>
      <c r="R1281">
        <v>0</v>
      </c>
      <c r="S1281" t="s">
        <v>22</v>
      </c>
    </row>
    <row r="1282" spans="1:19" x14ac:dyDescent="0.3">
      <c r="A1282">
        <v>501281</v>
      </c>
      <c r="B1282">
        <v>50116</v>
      </c>
      <c r="C1282" t="s">
        <v>8</v>
      </c>
      <c r="D1282" t="s">
        <v>19</v>
      </c>
      <c r="E1282" s="1">
        <v>46066</v>
      </c>
      <c r="F1282" t="s">
        <v>226</v>
      </c>
      <c r="G1282" s="1">
        <v>46066</v>
      </c>
      <c r="H1282" s="1" t="str">
        <f t="shared" si="38"/>
        <v>Friday</v>
      </c>
      <c r="I1282">
        <v>40</v>
      </c>
      <c r="J1282" t="s">
        <v>5</v>
      </c>
      <c r="K1282">
        <v>1</v>
      </c>
      <c r="L1282">
        <v>0</v>
      </c>
      <c r="M1282">
        <v>0</v>
      </c>
      <c r="N1282">
        <v>1</v>
      </c>
      <c r="O1282">
        <v>0</v>
      </c>
      <c r="P1282" t="str">
        <f t="shared" si="39"/>
        <v>Non Chronic</v>
      </c>
      <c r="Q1282">
        <v>1</v>
      </c>
      <c r="R1282">
        <v>0</v>
      </c>
      <c r="S1282" t="s">
        <v>22</v>
      </c>
    </row>
    <row r="1283" spans="1:19" x14ac:dyDescent="0.3">
      <c r="A1283">
        <v>501282</v>
      </c>
      <c r="B1283">
        <v>28919</v>
      </c>
      <c r="C1283" t="s">
        <v>8</v>
      </c>
      <c r="D1283" t="s">
        <v>36</v>
      </c>
      <c r="E1283" s="1">
        <v>46143</v>
      </c>
      <c r="F1283" t="s">
        <v>225</v>
      </c>
      <c r="G1283" s="1">
        <v>46153</v>
      </c>
      <c r="H1283" s="1" t="str">
        <f t="shared" ref="H1283:H1346" si="40">TEXT(G1283,"dddd")</f>
        <v>Monday</v>
      </c>
      <c r="I1283">
        <v>34</v>
      </c>
      <c r="J1283" t="s">
        <v>12</v>
      </c>
      <c r="K1283">
        <v>1</v>
      </c>
      <c r="L1283">
        <v>0</v>
      </c>
      <c r="M1283">
        <v>0</v>
      </c>
      <c r="N1283">
        <v>0</v>
      </c>
      <c r="O1283">
        <v>0</v>
      </c>
      <c r="P1283" t="str">
        <f t="shared" ref="P1283:P1346" si="41">IF(OR(L1283=1,M1283=1),"Chronic","Non Chronic")</f>
        <v>Non Chronic</v>
      </c>
      <c r="Q1283">
        <v>1</v>
      </c>
      <c r="R1283">
        <v>1</v>
      </c>
      <c r="S1283" t="s">
        <v>22</v>
      </c>
    </row>
    <row r="1284" spans="1:19" x14ac:dyDescent="0.3">
      <c r="A1284">
        <v>501283</v>
      </c>
      <c r="B1284">
        <v>55700</v>
      </c>
      <c r="C1284" t="s">
        <v>4</v>
      </c>
      <c r="D1284" t="s">
        <v>58</v>
      </c>
      <c r="E1284" s="1">
        <v>46087</v>
      </c>
      <c r="F1284" t="s">
        <v>224</v>
      </c>
      <c r="G1284" s="1">
        <v>46102</v>
      </c>
      <c r="H1284" s="1" t="str">
        <f t="shared" si="40"/>
        <v>Saturday</v>
      </c>
      <c r="I1284">
        <v>52</v>
      </c>
      <c r="J1284" t="s">
        <v>23</v>
      </c>
      <c r="K1284">
        <v>0</v>
      </c>
      <c r="L1284">
        <v>1</v>
      </c>
      <c r="M1284">
        <v>0</v>
      </c>
      <c r="N1284">
        <v>0</v>
      </c>
      <c r="O1284">
        <v>0</v>
      </c>
      <c r="P1284" t="str">
        <f t="shared" si="41"/>
        <v>Chronic</v>
      </c>
      <c r="Q1284">
        <v>1</v>
      </c>
      <c r="R1284">
        <v>1</v>
      </c>
      <c r="S1284" t="s">
        <v>0</v>
      </c>
    </row>
    <row r="1285" spans="1:19" x14ac:dyDescent="0.3">
      <c r="A1285">
        <v>501284</v>
      </c>
      <c r="B1285">
        <v>89071</v>
      </c>
      <c r="C1285" t="s">
        <v>4</v>
      </c>
      <c r="D1285" t="s">
        <v>25</v>
      </c>
      <c r="E1285" s="1">
        <v>46162</v>
      </c>
      <c r="F1285" t="s">
        <v>223</v>
      </c>
      <c r="G1285" s="1">
        <v>46192</v>
      </c>
      <c r="H1285" s="1" t="str">
        <f t="shared" si="40"/>
        <v>Friday</v>
      </c>
      <c r="I1285">
        <v>57</v>
      </c>
      <c r="J1285" t="s">
        <v>10</v>
      </c>
      <c r="K1285">
        <v>1</v>
      </c>
      <c r="L1285">
        <v>0</v>
      </c>
      <c r="M1285">
        <v>0</v>
      </c>
      <c r="N1285">
        <v>0</v>
      </c>
      <c r="O1285">
        <v>0</v>
      </c>
      <c r="P1285" t="str">
        <f t="shared" si="41"/>
        <v>Non Chronic</v>
      </c>
      <c r="Q1285">
        <v>1</v>
      </c>
      <c r="R1285">
        <v>1</v>
      </c>
      <c r="S1285" t="s">
        <v>0</v>
      </c>
    </row>
    <row r="1286" spans="1:19" x14ac:dyDescent="0.3">
      <c r="A1286">
        <v>501285</v>
      </c>
      <c r="B1286">
        <v>74592</v>
      </c>
      <c r="C1286" t="s">
        <v>4</v>
      </c>
      <c r="D1286" t="s">
        <v>28</v>
      </c>
      <c r="E1286" s="1">
        <v>46103</v>
      </c>
      <c r="F1286" t="s">
        <v>222</v>
      </c>
      <c r="G1286" s="1">
        <v>46104</v>
      </c>
      <c r="H1286" s="1" t="str">
        <f t="shared" si="40"/>
        <v>Monday</v>
      </c>
      <c r="I1286">
        <v>22</v>
      </c>
      <c r="J1286" t="s">
        <v>45</v>
      </c>
      <c r="K1286">
        <v>0</v>
      </c>
      <c r="L1286">
        <v>0</v>
      </c>
      <c r="M1286">
        <v>0</v>
      </c>
      <c r="N1286">
        <v>0</v>
      </c>
      <c r="O1286">
        <v>0</v>
      </c>
      <c r="P1286" t="str">
        <f t="shared" si="41"/>
        <v>Non Chronic</v>
      </c>
      <c r="Q1286">
        <v>1</v>
      </c>
      <c r="R1286">
        <v>0</v>
      </c>
      <c r="S1286" t="s">
        <v>22</v>
      </c>
    </row>
    <row r="1287" spans="1:19" x14ac:dyDescent="0.3">
      <c r="A1287">
        <v>501286</v>
      </c>
      <c r="B1287">
        <v>62931</v>
      </c>
      <c r="C1287" t="s">
        <v>8</v>
      </c>
      <c r="D1287" t="s">
        <v>58</v>
      </c>
      <c r="E1287" s="1">
        <v>46129</v>
      </c>
      <c r="F1287" t="s">
        <v>107</v>
      </c>
      <c r="G1287" s="1">
        <v>46131</v>
      </c>
      <c r="H1287" s="1" t="str">
        <f t="shared" si="40"/>
        <v>Sunday</v>
      </c>
      <c r="I1287">
        <v>11</v>
      </c>
      <c r="J1287" t="s">
        <v>45</v>
      </c>
      <c r="K1287">
        <v>0</v>
      </c>
      <c r="L1287">
        <v>0</v>
      </c>
      <c r="M1287">
        <v>0</v>
      </c>
      <c r="N1287">
        <v>0</v>
      </c>
      <c r="O1287">
        <v>0</v>
      </c>
      <c r="P1287" t="str">
        <f t="shared" si="41"/>
        <v>Non Chronic</v>
      </c>
      <c r="Q1287">
        <v>1</v>
      </c>
      <c r="R1287">
        <v>0</v>
      </c>
      <c r="S1287" t="s">
        <v>30</v>
      </c>
    </row>
    <row r="1288" spans="1:19" x14ac:dyDescent="0.3">
      <c r="A1288">
        <v>501287</v>
      </c>
      <c r="B1288">
        <v>53073</v>
      </c>
      <c r="C1288" t="s">
        <v>8</v>
      </c>
      <c r="D1288" t="s">
        <v>25</v>
      </c>
      <c r="E1288" s="1">
        <v>46079</v>
      </c>
      <c r="F1288" t="s">
        <v>221</v>
      </c>
      <c r="G1288" s="1">
        <v>46082</v>
      </c>
      <c r="H1288" s="1" t="str">
        <f t="shared" si="40"/>
        <v>Sunday</v>
      </c>
      <c r="I1288">
        <v>1</v>
      </c>
      <c r="J1288" t="s">
        <v>31</v>
      </c>
      <c r="K1288">
        <v>0</v>
      </c>
      <c r="L1288">
        <v>0</v>
      </c>
      <c r="M1288">
        <v>0</v>
      </c>
      <c r="N1288">
        <v>0</v>
      </c>
      <c r="O1288">
        <v>0</v>
      </c>
      <c r="P1288" t="str">
        <f t="shared" si="41"/>
        <v>Non Chronic</v>
      </c>
      <c r="Q1288">
        <v>1</v>
      </c>
      <c r="R1288">
        <v>1</v>
      </c>
      <c r="S1288" t="s">
        <v>30</v>
      </c>
    </row>
    <row r="1289" spans="1:19" x14ac:dyDescent="0.3">
      <c r="A1289">
        <v>501288</v>
      </c>
      <c r="B1289">
        <v>14485</v>
      </c>
      <c r="C1289" t="s">
        <v>8</v>
      </c>
      <c r="D1289" t="s">
        <v>36</v>
      </c>
      <c r="E1289" s="1">
        <v>46096</v>
      </c>
      <c r="F1289" t="s">
        <v>220</v>
      </c>
      <c r="G1289" s="1">
        <v>46098</v>
      </c>
      <c r="H1289" s="1" t="str">
        <f t="shared" si="40"/>
        <v>Tuesday</v>
      </c>
      <c r="I1289">
        <v>48</v>
      </c>
      <c r="J1289" t="s">
        <v>45</v>
      </c>
      <c r="K1289">
        <v>0</v>
      </c>
      <c r="L1289">
        <v>1</v>
      </c>
      <c r="M1289">
        <v>0</v>
      </c>
      <c r="N1289">
        <v>0</v>
      </c>
      <c r="O1289">
        <v>0</v>
      </c>
      <c r="P1289" t="str">
        <f t="shared" si="41"/>
        <v>Chronic</v>
      </c>
      <c r="Q1289">
        <v>1</v>
      </c>
      <c r="R1289">
        <v>1</v>
      </c>
      <c r="S1289" t="s">
        <v>0</v>
      </c>
    </row>
    <row r="1290" spans="1:19" x14ac:dyDescent="0.3">
      <c r="A1290">
        <v>501289</v>
      </c>
      <c r="B1290">
        <v>73016</v>
      </c>
      <c r="C1290" t="s">
        <v>8</v>
      </c>
      <c r="D1290" t="s">
        <v>19</v>
      </c>
      <c r="E1290" s="1">
        <v>46083</v>
      </c>
      <c r="F1290" t="s">
        <v>219</v>
      </c>
      <c r="G1290" s="1">
        <v>46090</v>
      </c>
      <c r="H1290" s="1" t="str">
        <f t="shared" si="40"/>
        <v>Monday</v>
      </c>
      <c r="I1290">
        <v>15</v>
      </c>
      <c r="J1290" t="s">
        <v>45</v>
      </c>
      <c r="K1290">
        <v>0</v>
      </c>
      <c r="L1290">
        <v>0</v>
      </c>
      <c r="M1290">
        <v>0</v>
      </c>
      <c r="N1290">
        <v>0</v>
      </c>
      <c r="O1290">
        <v>0</v>
      </c>
      <c r="P1290" t="str">
        <f t="shared" si="41"/>
        <v>Non Chronic</v>
      </c>
      <c r="Q1290">
        <v>0</v>
      </c>
      <c r="R1290">
        <v>0</v>
      </c>
      <c r="S1290" t="s">
        <v>30</v>
      </c>
    </row>
    <row r="1291" spans="1:19" x14ac:dyDescent="0.3">
      <c r="A1291">
        <v>501290</v>
      </c>
      <c r="B1291">
        <v>69258</v>
      </c>
      <c r="C1291" t="s">
        <v>4</v>
      </c>
      <c r="D1291" t="s">
        <v>7</v>
      </c>
      <c r="E1291" s="1">
        <v>46060</v>
      </c>
      <c r="F1291" t="s">
        <v>218</v>
      </c>
      <c r="G1291" s="1">
        <v>46062</v>
      </c>
      <c r="H1291" s="1" t="str">
        <f t="shared" si="40"/>
        <v>Monday</v>
      </c>
      <c r="I1291">
        <v>0</v>
      </c>
      <c r="J1291" t="s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 t="str">
        <f t="shared" si="41"/>
        <v>Non Chronic</v>
      </c>
      <c r="Q1291">
        <v>1</v>
      </c>
      <c r="R1291">
        <v>0</v>
      </c>
      <c r="S1291" t="s">
        <v>30</v>
      </c>
    </row>
    <row r="1292" spans="1:19" x14ac:dyDescent="0.3">
      <c r="A1292">
        <v>501291</v>
      </c>
      <c r="B1292">
        <v>95912</v>
      </c>
      <c r="C1292" t="s">
        <v>8</v>
      </c>
      <c r="D1292" t="s">
        <v>19</v>
      </c>
      <c r="E1292" s="1">
        <v>46152</v>
      </c>
      <c r="F1292" t="s">
        <v>217</v>
      </c>
      <c r="G1292" s="1">
        <v>46167</v>
      </c>
      <c r="H1292" s="1" t="str">
        <f t="shared" si="40"/>
        <v>Monday</v>
      </c>
      <c r="I1292">
        <v>45</v>
      </c>
      <c r="J1292" t="s">
        <v>31</v>
      </c>
      <c r="K1292">
        <v>1</v>
      </c>
      <c r="L1292">
        <v>0</v>
      </c>
      <c r="M1292">
        <v>0</v>
      </c>
      <c r="N1292">
        <v>0</v>
      </c>
      <c r="O1292">
        <v>0</v>
      </c>
      <c r="P1292" t="str">
        <f t="shared" si="41"/>
        <v>Non Chronic</v>
      </c>
      <c r="Q1292">
        <v>1</v>
      </c>
      <c r="R1292">
        <v>1</v>
      </c>
      <c r="S1292" t="s">
        <v>0</v>
      </c>
    </row>
    <row r="1293" spans="1:19" x14ac:dyDescent="0.3">
      <c r="A1293">
        <v>501292</v>
      </c>
      <c r="B1293">
        <v>54875</v>
      </c>
      <c r="C1293" t="s">
        <v>8</v>
      </c>
      <c r="D1293" t="s">
        <v>58</v>
      </c>
      <c r="E1293" s="1">
        <v>46072</v>
      </c>
      <c r="F1293" t="s">
        <v>216</v>
      </c>
      <c r="G1293" s="1">
        <v>46077</v>
      </c>
      <c r="H1293" s="1" t="str">
        <f t="shared" si="40"/>
        <v>Tuesday</v>
      </c>
      <c r="I1293">
        <v>87</v>
      </c>
      <c r="J1293" t="s">
        <v>20</v>
      </c>
      <c r="K1293">
        <v>1</v>
      </c>
      <c r="L1293">
        <v>0</v>
      </c>
      <c r="M1293">
        <v>0</v>
      </c>
      <c r="N1293">
        <v>0</v>
      </c>
      <c r="O1293">
        <v>0</v>
      </c>
      <c r="P1293" t="str">
        <f t="shared" si="41"/>
        <v>Non Chronic</v>
      </c>
      <c r="Q1293">
        <v>1</v>
      </c>
      <c r="R1293">
        <v>0</v>
      </c>
      <c r="S1293" t="s">
        <v>9</v>
      </c>
    </row>
    <row r="1294" spans="1:19" x14ac:dyDescent="0.3">
      <c r="A1294">
        <v>501293</v>
      </c>
      <c r="B1294">
        <v>48759</v>
      </c>
      <c r="C1294" t="s">
        <v>4</v>
      </c>
      <c r="D1294" t="s">
        <v>19</v>
      </c>
      <c r="E1294" s="1">
        <v>46126</v>
      </c>
      <c r="F1294" t="s">
        <v>215</v>
      </c>
      <c r="G1294" s="1">
        <v>46156</v>
      </c>
      <c r="H1294" s="1" t="str">
        <f t="shared" si="40"/>
        <v>Thursday</v>
      </c>
      <c r="I1294">
        <v>37</v>
      </c>
      <c r="J1294" t="s">
        <v>5</v>
      </c>
      <c r="K1294">
        <v>1</v>
      </c>
      <c r="L1294">
        <v>0</v>
      </c>
      <c r="M1294">
        <v>0</v>
      </c>
      <c r="N1294">
        <v>0</v>
      </c>
      <c r="O1294">
        <v>0</v>
      </c>
      <c r="P1294" t="str">
        <f t="shared" si="41"/>
        <v>Non Chronic</v>
      </c>
      <c r="Q1294">
        <v>1</v>
      </c>
      <c r="R1294">
        <v>0</v>
      </c>
      <c r="S1294" t="s">
        <v>22</v>
      </c>
    </row>
    <row r="1295" spans="1:19" x14ac:dyDescent="0.3">
      <c r="A1295">
        <v>501294</v>
      </c>
      <c r="B1295">
        <v>76155</v>
      </c>
      <c r="C1295" t="s">
        <v>4</v>
      </c>
      <c r="D1295" t="s">
        <v>3</v>
      </c>
      <c r="E1295" s="1">
        <v>46034</v>
      </c>
      <c r="F1295" t="s">
        <v>214</v>
      </c>
      <c r="G1295" s="1">
        <v>46036</v>
      </c>
      <c r="H1295" s="1" t="str">
        <f t="shared" si="40"/>
        <v>Wednesday</v>
      </c>
      <c r="I1295">
        <v>54</v>
      </c>
      <c r="J1295" t="s">
        <v>12</v>
      </c>
      <c r="K1295">
        <v>0</v>
      </c>
      <c r="L1295">
        <v>1</v>
      </c>
      <c r="M1295">
        <v>0</v>
      </c>
      <c r="N1295">
        <v>0</v>
      </c>
      <c r="O1295">
        <v>0</v>
      </c>
      <c r="P1295" t="str">
        <f t="shared" si="41"/>
        <v>Chronic</v>
      </c>
      <c r="Q1295">
        <v>0</v>
      </c>
      <c r="R1295">
        <v>0</v>
      </c>
      <c r="S1295" t="s">
        <v>0</v>
      </c>
    </row>
    <row r="1296" spans="1:19" x14ac:dyDescent="0.3">
      <c r="A1296">
        <v>501295</v>
      </c>
      <c r="B1296">
        <v>29892</v>
      </c>
      <c r="C1296" t="s">
        <v>4</v>
      </c>
      <c r="D1296" t="s">
        <v>19</v>
      </c>
      <c r="E1296" s="1">
        <v>46109</v>
      </c>
      <c r="F1296" t="s">
        <v>213</v>
      </c>
      <c r="G1296" s="1">
        <v>46139</v>
      </c>
      <c r="H1296" s="1" t="str">
        <f t="shared" si="40"/>
        <v>Monday</v>
      </c>
      <c r="I1296">
        <v>39</v>
      </c>
      <c r="J1296" t="s">
        <v>12</v>
      </c>
      <c r="K1296">
        <v>0</v>
      </c>
      <c r="L1296">
        <v>0</v>
      </c>
      <c r="M1296">
        <v>0</v>
      </c>
      <c r="N1296">
        <v>0</v>
      </c>
      <c r="O1296">
        <v>0</v>
      </c>
      <c r="P1296" t="str">
        <f t="shared" si="41"/>
        <v>Non Chronic</v>
      </c>
      <c r="Q1296">
        <v>1</v>
      </c>
      <c r="R1296">
        <v>1</v>
      </c>
      <c r="S1296" t="s">
        <v>22</v>
      </c>
    </row>
    <row r="1297" spans="1:19" x14ac:dyDescent="0.3">
      <c r="A1297">
        <v>501296</v>
      </c>
      <c r="B1297">
        <v>99180</v>
      </c>
      <c r="C1297" t="s">
        <v>4</v>
      </c>
      <c r="D1297" t="s">
        <v>14</v>
      </c>
      <c r="E1297" s="1">
        <v>46084</v>
      </c>
      <c r="F1297" t="s">
        <v>212</v>
      </c>
      <c r="G1297" s="1">
        <v>46086</v>
      </c>
      <c r="H1297" s="1" t="str">
        <f t="shared" si="40"/>
        <v>Thursday</v>
      </c>
      <c r="I1297">
        <v>36</v>
      </c>
      <c r="J1297" t="s">
        <v>31</v>
      </c>
      <c r="K1297">
        <v>1</v>
      </c>
      <c r="L1297">
        <v>0</v>
      </c>
      <c r="M1297">
        <v>0</v>
      </c>
      <c r="N1297">
        <v>0</v>
      </c>
      <c r="O1297">
        <v>0</v>
      </c>
      <c r="P1297" t="str">
        <f t="shared" si="41"/>
        <v>Non Chronic</v>
      </c>
      <c r="Q1297">
        <v>0</v>
      </c>
      <c r="R1297">
        <v>0</v>
      </c>
      <c r="S1297" t="s">
        <v>22</v>
      </c>
    </row>
    <row r="1298" spans="1:19" x14ac:dyDescent="0.3">
      <c r="A1298">
        <v>501297</v>
      </c>
      <c r="B1298">
        <v>48862</v>
      </c>
      <c r="C1298" t="s">
        <v>8</v>
      </c>
      <c r="D1298" t="s">
        <v>3</v>
      </c>
      <c r="E1298" s="1">
        <v>46138</v>
      </c>
      <c r="F1298" t="s">
        <v>211</v>
      </c>
      <c r="G1298" s="1">
        <v>46148</v>
      </c>
      <c r="H1298" s="1" t="str">
        <f t="shared" si="40"/>
        <v>Wednesday</v>
      </c>
      <c r="I1298">
        <v>56</v>
      </c>
      <c r="J1298" t="s">
        <v>10</v>
      </c>
      <c r="K1298">
        <v>1</v>
      </c>
      <c r="L1298">
        <v>1</v>
      </c>
      <c r="M1298">
        <v>0</v>
      </c>
      <c r="N1298">
        <v>0</v>
      </c>
      <c r="O1298">
        <v>0</v>
      </c>
      <c r="P1298" t="str">
        <f t="shared" si="41"/>
        <v>Chronic</v>
      </c>
      <c r="Q1298">
        <v>1</v>
      </c>
      <c r="R1298">
        <v>0</v>
      </c>
      <c r="S1298" t="s">
        <v>0</v>
      </c>
    </row>
    <row r="1299" spans="1:19" x14ac:dyDescent="0.3">
      <c r="A1299">
        <v>501298</v>
      </c>
      <c r="B1299">
        <v>90362</v>
      </c>
      <c r="C1299" t="s">
        <v>4</v>
      </c>
      <c r="D1299" t="s">
        <v>36</v>
      </c>
      <c r="E1299" s="1">
        <v>46126</v>
      </c>
      <c r="F1299" t="s">
        <v>210</v>
      </c>
      <c r="G1299" s="1">
        <v>46141</v>
      </c>
      <c r="H1299" s="1" t="str">
        <f t="shared" si="40"/>
        <v>Wednesday</v>
      </c>
      <c r="I1299">
        <v>32</v>
      </c>
      <c r="J1299" t="s">
        <v>23</v>
      </c>
      <c r="K1299">
        <v>0</v>
      </c>
      <c r="L1299">
        <v>0</v>
      </c>
      <c r="M1299">
        <v>0</v>
      </c>
      <c r="N1299">
        <v>0</v>
      </c>
      <c r="O1299">
        <v>0</v>
      </c>
      <c r="P1299" t="str">
        <f t="shared" si="41"/>
        <v>Non Chronic</v>
      </c>
      <c r="Q1299">
        <v>0</v>
      </c>
      <c r="R1299">
        <v>0</v>
      </c>
      <c r="S1299" t="s">
        <v>22</v>
      </c>
    </row>
    <row r="1300" spans="1:19" x14ac:dyDescent="0.3">
      <c r="A1300">
        <v>501299</v>
      </c>
      <c r="B1300">
        <v>41780</v>
      </c>
      <c r="C1300" t="s">
        <v>8</v>
      </c>
      <c r="D1300" t="s">
        <v>28</v>
      </c>
      <c r="E1300" s="1">
        <v>46119</v>
      </c>
      <c r="F1300" t="s">
        <v>209</v>
      </c>
      <c r="G1300" s="1">
        <v>46122</v>
      </c>
      <c r="H1300" s="1" t="str">
        <f t="shared" si="40"/>
        <v>Friday</v>
      </c>
      <c r="I1300">
        <v>43</v>
      </c>
      <c r="J1300" t="s">
        <v>23</v>
      </c>
      <c r="K1300">
        <v>1</v>
      </c>
      <c r="L1300">
        <v>0</v>
      </c>
      <c r="M1300">
        <v>0</v>
      </c>
      <c r="N1300">
        <v>0</v>
      </c>
      <c r="O1300">
        <v>0</v>
      </c>
      <c r="P1300" t="str">
        <f t="shared" si="41"/>
        <v>Non Chronic</v>
      </c>
      <c r="Q1300">
        <v>1</v>
      </c>
      <c r="R1300">
        <v>0</v>
      </c>
      <c r="S1300" t="s">
        <v>0</v>
      </c>
    </row>
    <row r="1301" spans="1:19" x14ac:dyDescent="0.3">
      <c r="A1301">
        <v>501300</v>
      </c>
      <c r="B1301">
        <v>28407</v>
      </c>
      <c r="C1301" t="s">
        <v>8</v>
      </c>
      <c r="D1301" t="s">
        <v>58</v>
      </c>
      <c r="E1301" s="1">
        <v>46016</v>
      </c>
      <c r="F1301" t="s">
        <v>208</v>
      </c>
      <c r="G1301" s="1">
        <v>46018</v>
      </c>
      <c r="H1301" s="1" t="str">
        <f t="shared" si="40"/>
        <v>Saturday</v>
      </c>
      <c r="I1301">
        <v>44</v>
      </c>
      <c r="J1301" t="s">
        <v>1</v>
      </c>
      <c r="K1301">
        <v>0</v>
      </c>
      <c r="L1301">
        <v>0</v>
      </c>
      <c r="M1301">
        <v>1</v>
      </c>
      <c r="N1301">
        <v>0</v>
      </c>
      <c r="O1301">
        <v>0</v>
      </c>
      <c r="P1301" t="str">
        <f t="shared" si="41"/>
        <v>Chronic</v>
      </c>
      <c r="Q1301">
        <v>1</v>
      </c>
      <c r="R1301">
        <v>0</v>
      </c>
      <c r="S1301" t="s">
        <v>0</v>
      </c>
    </row>
    <row r="1302" spans="1:19" x14ac:dyDescent="0.3">
      <c r="A1302">
        <v>501301</v>
      </c>
      <c r="B1302">
        <v>78238</v>
      </c>
      <c r="C1302" t="s">
        <v>8</v>
      </c>
      <c r="D1302" t="s">
        <v>58</v>
      </c>
      <c r="E1302" s="1">
        <v>46002</v>
      </c>
      <c r="F1302" t="s">
        <v>207</v>
      </c>
      <c r="G1302" s="1">
        <v>46005</v>
      </c>
      <c r="H1302" s="1" t="str">
        <f t="shared" si="40"/>
        <v>Sunday</v>
      </c>
      <c r="I1302">
        <v>24</v>
      </c>
      <c r="J1302" t="s">
        <v>1</v>
      </c>
      <c r="K1302">
        <v>1</v>
      </c>
      <c r="L1302">
        <v>0</v>
      </c>
      <c r="M1302">
        <v>0</v>
      </c>
      <c r="N1302">
        <v>0</v>
      </c>
      <c r="O1302">
        <v>0</v>
      </c>
      <c r="P1302" t="str">
        <f t="shared" si="41"/>
        <v>Non Chronic</v>
      </c>
      <c r="Q1302">
        <v>0</v>
      </c>
      <c r="R1302">
        <v>0</v>
      </c>
      <c r="S1302" t="s">
        <v>22</v>
      </c>
    </row>
    <row r="1303" spans="1:19" x14ac:dyDescent="0.3">
      <c r="A1303">
        <v>501302</v>
      </c>
      <c r="B1303">
        <v>89958</v>
      </c>
      <c r="C1303" t="s">
        <v>8</v>
      </c>
      <c r="D1303" t="s">
        <v>28</v>
      </c>
      <c r="E1303" s="1">
        <v>46064</v>
      </c>
      <c r="F1303" t="s">
        <v>206</v>
      </c>
      <c r="G1303" s="1">
        <v>46066</v>
      </c>
      <c r="H1303" s="1" t="str">
        <f t="shared" si="40"/>
        <v>Friday</v>
      </c>
      <c r="I1303">
        <v>57</v>
      </c>
      <c r="J1303" t="s">
        <v>15</v>
      </c>
      <c r="K1303">
        <v>1</v>
      </c>
      <c r="L1303">
        <v>0</v>
      </c>
      <c r="M1303">
        <v>0</v>
      </c>
      <c r="N1303">
        <v>1</v>
      </c>
      <c r="O1303">
        <v>0</v>
      </c>
      <c r="P1303" t="str">
        <f t="shared" si="41"/>
        <v>Non Chronic</v>
      </c>
      <c r="Q1303">
        <v>1</v>
      </c>
      <c r="R1303">
        <v>0</v>
      </c>
      <c r="S1303" t="s">
        <v>0</v>
      </c>
    </row>
    <row r="1304" spans="1:19" x14ac:dyDescent="0.3">
      <c r="A1304">
        <v>501303</v>
      </c>
      <c r="B1304">
        <v>32079</v>
      </c>
      <c r="C1304" t="s">
        <v>8</v>
      </c>
      <c r="D1304" t="s">
        <v>25</v>
      </c>
      <c r="E1304" s="1">
        <v>46021</v>
      </c>
      <c r="F1304" t="s">
        <v>205</v>
      </c>
      <c r="G1304" s="1">
        <v>46031</v>
      </c>
      <c r="H1304" s="1" t="str">
        <f t="shared" si="40"/>
        <v>Friday</v>
      </c>
      <c r="I1304">
        <v>34</v>
      </c>
      <c r="J1304" t="s">
        <v>45</v>
      </c>
      <c r="K1304">
        <v>0</v>
      </c>
      <c r="L1304">
        <v>0</v>
      </c>
      <c r="M1304">
        <v>0</v>
      </c>
      <c r="N1304">
        <v>0</v>
      </c>
      <c r="O1304">
        <v>0</v>
      </c>
      <c r="P1304" t="str">
        <f t="shared" si="41"/>
        <v>Non Chronic</v>
      </c>
      <c r="Q1304">
        <v>0</v>
      </c>
      <c r="R1304">
        <v>0</v>
      </c>
      <c r="S1304" t="s">
        <v>22</v>
      </c>
    </row>
    <row r="1305" spans="1:19" x14ac:dyDescent="0.3">
      <c r="A1305">
        <v>501304</v>
      </c>
      <c r="B1305">
        <v>41626</v>
      </c>
      <c r="C1305" t="s">
        <v>8</v>
      </c>
      <c r="D1305" t="s">
        <v>3</v>
      </c>
      <c r="E1305" s="1">
        <v>46001</v>
      </c>
      <c r="F1305" t="s">
        <v>204</v>
      </c>
      <c r="G1305" s="1">
        <v>46021</v>
      </c>
      <c r="H1305" s="1" t="str">
        <f t="shared" si="40"/>
        <v>Tuesday</v>
      </c>
      <c r="I1305">
        <v>22</v>
      </c>
      <c r="J1305" t="s">
        <v>23</v>
      </c>
      <c r="K1305">
        <v>0</v>
      </c>
      <c r="L1305">
        <v>0</v>
      </c>
      <c r="M1305">
        <v>0</v>
      </c>
      <c r="N1305">
        <v>0</v>
      </c>
      <c r="O1305">
        <v>0</v>
      </c>
      <c r="P1305" t="str">
        <f t="shared" si="41"/>
        <v>Non Chronic</v>
      </c>
      <c r="Q1305">
        <v>1</v>
      </c>
      <c r="R1305">
        <v>0</v>
      </c>
      <c r="S1305" t="s">
        <v>22</v>
      </c>
    </row>
    <row r="1306" spans="1:19" x14ac:dyDescent="0.3">
      <c r="A1306">
        <v>501305</v>
      </c>
      <c r="B1306">
        <v>46158</v>
      </c>
      <c r="C1306" t="s">
        <v>8</v>
      </c>
      <c r="D1306" t="s">
        <v>19</v>
      </c>
      <c r="E1306" s="1">
        <v>46031</v>
      </c>
      <c r="F1306" t="s">
        <v>203</v>
      </c>
      <c r="G1306" s="1">
        <v>46046</v>
      </c>
      <c r="H1306" s="1" t="str">
        <f t="shared" si="40"/>
        <v>Saturday</v>
      </c>
      <c r="I1306">
        <v>48</v>
      </c>
      <c r="J1306" t="s">
        <v>23</v>
      </c>
      <c r="K1306">
        <v>1</v>
      </c>
      <c r="L1306">
        <v>0</v>
      </c>
      <c r="M1306">
        <v>1</v>
      </c>
      <c r="N1306">
        <v>0</v>
      </c>
      <c r="O1306">
        <v>0</v>
      </c>
      <c r="P1306" t="str">
        <f t="shared" si="41"/>
        <v>Chronic</v>
      </c>
      <c r="Q1306">
        <v>1</v>
      </c>
      <c r="R1306">
        <v>0</v>
      </c>
      <c r="S1306" t="s">
        <v>0</v>
      </c>
    </row>
    <row r="1307" spans="1:19" x14ac:dyDescent="0.3">
      <c r="A1307">
        <v>501306</v>
      </c>
      <c r="B1307">
        <v>87474</v>
      </c>
      <c r="C1307" t="s">
        <v>8</v>
      </c>
      <c r="D1307" t="s">
        <v>25</v>
      </c>
      <c r="E1307" s="1">
        <v>46118</v>
      </c>
      <c r="F1307" t="s">
        <v>202</v>
      </c>
      <c r="G1307" s="1">
        <v>46125</v>
      </c>
      <c r="H1307" s="1" t="str">
        <f t="shared" si="40"/>
        <v>Monday</v>
      </c>
      <c r="I1307">
        <v>20</v>
      </c>
      <c r="J1307" t="s">
        <v>15</v>
      </c>
      <c r="K1307">
        <v>1</v>
      </c>
      <c r="L1307">
        <v>0</v>
      </c>
      <c r="M1307">
        <v>0</v>
      </c>
      <c r="N1307">
        <v>0</v>
      </c>
      <c r="O1307">
        <v>0</v>
      </c>
      <c r="P1307" t="str">
        <f t="shared" si="41"/>
        <v>Non Chronic</v>
      </c>
      <c r="Q1307">
        <v>0</v>
      </c>
      <c r="R1307">
        <v>0</v>
      </c>
      <c r="S1307" t="s">
        <v>22</v>
      </c>
    </row>
    <row r="1308" spans="1:19" x14ac:dyDescent="0.3">
      <c r="A1308">
        <v>501307</v>
      </c>
      <c r="B1308">
        <v>78022</v>
      </c>
      <c r="C1308" t="s">
        <v>8</v>
      </c>
      <c r="D1308" t="s">
        <v>36</v>
      </c>
      <c r="E1308" s="1">
        <v>46150</v>
      </c>
      <c r="F1308" t="s">
        <v>137</v>
      </c>
      <c r="G1308" s="1">
        <v>46165</v>
      </c>
      <c r="H1308" s="1" t="str">
        <f t="shared" si="40"/>
        <v>Saturday</v>
      </c>
      <c r="I1308">
        <v>38</v>
      </c>
      <c r="J1308" t="s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 t="str">
        <f t="shared" si="41"/>
        <v>Non Chronic</v>
      </c>
      <c r="Q1308">
        <v>0</v>
      </c>
      <c r="R1308">
        <v>0</v>
      </c>
      <c r="S1308" t="s">
        <v>22</v>
      </c>
    </row>
    <row r="1309" spans="1:19" x14ac:dyDescent="0.3">
      <c r="A1309">
        <v>501308</v>
      </c>
      <c r="B1309">
        <v>25397</v>
      </c>
      <c r="C1309" t="s">
        <v>4</v>
      </c>
      <c r="D1309" t="s">
        <v>19</v>
      </c>
      <c r="E1309" s="1">
        <v>46096</v>
      </c>
      <c r="F1309" t="s">
        <v>201</v>
      </c>
      <c r="G1309" s="1">
        <v>46106</v>
      </c>
      <c r="H1309" s="1" t="str">
        <f t="shared" si="40"/>
        <v>Wednesday</v>
      </c>
      <c r="I1309">
        <v>37</v>
      </c>
      <c r="J1309" t="s">
        <v>1</v>
      </c>
      <c r="K1309">
        <v>1</v>
      </c>
      <c r="L1309">
        <v>0</v>
      </c>
      <c r="M1309">
        <v>0</v>
      </c>
      <c r="N1309">
        <v>0</v>
      </c>
      <c r="O1309">
        <v>0</v>
      </c>
      <c r="P1309" t="str">
        <f t="shared" si="41"/>
        <v>Non Chronic</v>
      </c>
      <c r="Q1309">
        <v>1</v>
      </c>
      <c r="R1309">
        <v>0</v>
      </c>
      <c r="S1309" t="s">
        <v>22</v>
      </c>
    </row>
    <row r="1310" spans="1:19" x14ac:dyDescent="0.3">
      <c r="A1310">
        <v>501309</v>
      </c>
      <c r="B1310">
        <v>67703</v>
      </c>
      <c r="C1310" t="s">
        <v>8</v>
      </c>
      <c r="D1310" t="s">
        <v>36</v>
      </c>
      <c r="E1310" s="1">
        <v>46025</v>
      </c>
      <c r="F1310" t="s">
        <v>200</v>
      </c>
      <c r="G1310" s="1">
        <v>46045</v>
      </c>
      <c r="H1310" s="1" t="str">
        <f t="shared" si="40"/>
        <v>Friday</v>
      </c>
      <c r="I1310">
        <v>59</v>
      </c>
      <c r="J1310" t="s">
        <v>23</v>
      </c>
      <c r="K1310">
        <v>1</v>
      </c>
      <c r="L1310">
        <v>0</v>
      </c>
      <c r="M1310">
        <v>1</v>
      </c>
      <c r="N1310">
        <v>0</v>
      </c>
      <c r="O1310">
        <v>1</v>
      </c>
      <c r="P1310" t="str">
        <f t="shared" si="41"/>
        <v>Chronic</v>
      </c>
      <c r="Q1310">
        <v>1</v>
      </c>
      <c r="R1310">
        <v>0</v>
      </c>
      <c r="S1310" t="s">
        <v>0</v>
      </c>
    </row>
    <row r="1311" spans="1:19" x14ac:dyDescent="0.3">
      <c r="A1311">
        <v>501310</v>
      </c>
      <c r="B1311">
        <v>13719</v>
      </c>
      <c r="C1311" t="s">
        <v>8</v>
      </c>
      <c r="D1311" t="s">
        <v>25</v>
      </c>
      <c r="E1311" s="1">
        <v>46098</v>
      </c>
      <c r="F1311" t="s">
        <v>84</v>
      </c>
      <c r="G1311" s="1">
        <v>46113</v>
      </c>
      <c r="H1311" s="1" t="str">
        <f t="shared" si="40"/>
        <v>Wednesday</v>
      </c>
      <c r="I1311">
        <v>47</v>
      </c>
      <c r="J1311" t="s">
        <v>20</v>
      </c>
      <c r="K1311">
        <v>1</v>
      </c>
      <c r="L1311">
        <v>0</v>
      </c>
      <c r="M1311">
        <v>0</v>
      </c>
      <c r="N1311">
        <v>0</v>
      </c>
      <c r="O1311">
        <v>0</v>
      </c>
      <c r="P1311" t="str">
        <f t="shared" si="41"/>
        <v>Non Chronic</v>
      </c>
      <c r="Q1311">
        <v>1</v>
      </c>
      <c r="R1311">
        <v>0</v>
      </c>
      <c r="S1311" t="s">
        <v>0</v>
      </c>
    </row>
    <row r="1312" spans="1:19" x14ac:dyDescent="0.3">
      <c r="A1312">
        <v>501311</v>
      </c>
      <c r="B1312">
        <v>93205</v>
      </c>
      <c r="C1312" t="s">
        <v>8</v>
      </c>
      <c r="D1312" t="s">
        <v>28</v>
      </c>
      <c r="E1312" s="1">
        <v>46112</v>
      </c>
      <c r="F1312" t="s">
        <v>199</v>
      </c>
      <c r="G1312" s="1">
        <v>46122</v>
      </c>
      <c r="H1312" s="1" t="str">
        <f t="shared" si="40"/>
        <v>Friday</v>
      </c>
      <c r="I1312">
        <v>37</v>
      </c>
      <c r="J1312" t="s">
        <v>45</v>
      </c>
      <c r="K1312">
        <v>1</v>
      </c>
      <c r="L1312">
        <v>0</v>
      </c>
      <c r="M1312">
        <v>0</v>
      </c>
      <c r="N1312">
        <v>0</v>
      </c>
      <c r="O1312">
        <v>0</v>
      </c>
      <c r="P1312" t="str">
        <f t="shared" si="41"/>
        <v>Non Chronic</v>
      </c>
      <c r="Q1312">
        <v>0</v>
      </c>
      <c r="R1312">
        <v>1</v>
      </c>
      <c r="S1312" t="s">
        <v>22</v>
      </c>
    </row>
    <row r="1313" spans="1:19" x14ac:dyDescent="0.3">
      <c r="A1313">
        <v>501312</v>
      </c>
      <c r="B1313">
        <v>75514</v>
      </c>
      <c r="C1313" t="s">
        <v>4</v>
      </c>
      <c r="D1313" t="s">
        <v>19</v>
      </c>
      <c r="E1313" s="1">
        <v>46158</v>
      </c>
      <c r="F1313" t="s">
        <v>198</v>
      </c>
      <c r="G1313" s="1">
        <v>46159</v>
      </c>
      <c r="H1313" s="1" t="str">
        <f t="shared" si="40"/>
        <v>Sunday</v>
      </c>
      <c r="I1313">
        <v>54</v>
      </c>
      <c r="J1313" t="s">
        <v>20</v>
      </c>
      <c r="K1313">
        <v>0</v>
      </c>
      <c r="L1313">
        <v>1</v>
      </c>
      <c r="M1313">
        <v>0</v>
      </c>
      <c r="N1313">
        <v>0</v>
      </c>
      <c r="O1313">
        <v>0</v>
      </c>
      <c r="P1313" t="str">
        <f t="shared" si="41"/>
        <v>Chronic</v>
      </c>
      <c r="Q1313">
        <v>1</v>
      </c>
      <c r="R1313">
        <v>0</v>
      </c>
      <c r="S1313" t="s">
        <v>0</v>
      </c>
    </row>
    <row r="1314" spans="1:19" x14ac:dyDescent="0.3">
      <c r="A1314">
        <v>501313</v>
      </c>
      <c r="B1314">
        <v>93817</v>
      </c>
      <c r="C1314" t="s">
        <v>4</v>
      </c>
      <c r="D1314" t="s">
        <v>3</v>
      </c>
      <c r="E1314" s="1">
        <v>46023</v>
      </c>
      <c r="F1314" t="s">
        <v>197</v>
      </c>
      <c r="G1314" s="1">
        <v>46026</v>
      </c>
      <c r="H1314" s="1" t="str">
        <f t="shared" si="40"/>
        <v>Sunday</v>
      </c>
      <c r="I1314">
        <v>65</v>
      </c>
      <c r="J1314" t="s">
        <v>45</v>
      </c>
      <c r="K1314">
        <v>1</v>
      </c>
      <c r="L1314">
        <v>0</v>
      </c>
      <c r="M1314">
        <v>0</v>
      </c>
      <c r="N1314">
        <v>0</v>
      </c>
      <c r="O1314">
        <v>0</v>
      </c>
      <c r="P1314" t="str">
        <f t="shared" si="41"/>
        <v>Non Chronic</v>
      </c>
      <c r="Q1314">
        <v>1</v>
      </c>
      <c r="R1314">
        <v>1</v>
      </c>
      <c r="S1314" t="s">
        <v>9</v>
      </c>
    </row>
    <row r="1315" spans="1:19" x14ac:dyDescent="0.3">
      <c r="A1315">
        <v>501314</v>
      </c>
      <c r="B1315">
        <v>12087</v>
      </c>
      <c r="C1315" t="s">
        <v>4</v>
      </c>
      <c r="D1315" t="s">
        <v>14</v>
      </c>
      <c r="E1315" s="1">
        <v>45993</v>
      </c>
      <c r="F1315" t="s">
        <v>196</v>
      </c>
      <c r="G1315" s="1">
        <v>46003</v>
      </c>
      <c r="H1315" s="1" t="str">
        <f t="shared" si="40"/>
        <v>Friday</v>
      </c>
      <c r="I1315">
        <v>49</v>
      </c>
      <c r="J1315" t="s">
        <v>1</v>
      </c>
      <c r="K1315">
        <v>1</v>
      </c>
      <c r="L1315">
        <v>0</v>
      </c>
      <c r="M1315">
        <v>0</v>
      </c>
      <c r="N1315">
        <v>0</v>
      </c>
      <c r="O1315">
        <v>0</v>
      </c>
      <c r="P1315" t="str">
        <f t="shared" si="41"/>
        <v>Non Chronic</v>
      </c>
      <c r="Q1315">
        <v>1</v>
      </c>
      <c r="R1315">
        <v>0</v>
      </c>
      <c r="S1315" t="s">
        <v>0</v>
      </c>
    </row>
    <row r="1316" spans="1:19" x14ac:dyDescent="0.3">
      <c r="A1316">
        <v>501315</v>
      </c>
      <c r="B1316">
        <v>19952</v>
      </c>
      <c r="C1316" t="s">
        <v>4</v>
      </c>
      <c r="D1316" t="s">
        <v>58</v>
      </c>
      <c r="E1316" s="1">
        <v>46008</v>
      </c>
      <c r="F1316" t="s">
        <v>195</v>
      </c>
      <c r="G1316" s="1">
        <v>46009</v>
      </c>
      <c r="H1316" s="1" t="str">
        <f t="shared" si="40"/>
        <v>Thursday</v>
      </c>
      <c r="I1316">
        <v>38</v>
      </c>
      <c r="J1316" t="s">
        <v>15</v>
      </c>
      <c r="K1316">
        <v>1</v>
      </c>
      <c r="L1316">
        <v>0</v>
      </c>
      <c r="M1316">
        <v>0</v>
      </c>
      <c r="N1316">
        <v>0</v>
      </c>
      <c r="O1316">
        <v>0</v>
      </c>
      <c r="P1316" t="str">
        <f t="shared" si="41"/>
        <v>Non Chronic</v>
      </c>
      <c r="Q1316">
        <v>1</v>
      </c>
      <c r="R1316">
        <v>0</v>
      </c>
      <c r="S1316" t="s">
        <v>22</v>
      </c>
    </row>
    <row r="1317" spans="1:19" x14ac:dyDescent="0.3">
      <c r="A1317">
        <v>501316</v>
      </c>
      <c r="B1317">
        <v>27436</v>
      </c>
      <c r="C1317" t="s">
        <v>8</v>
      </c>
      <c r="D1317" t="s">
        <v>58</v>
      </c>
      <c r="E1317" s="1">
        <v>46081</v>
      </c>
      <c r="F1317" t="s">
        <v>194</v>
      </c>
      <c r="G1317" s="1">
        <v>46088</v>
      </c>
      <c r="H1317" s="1" t="str">
        <f t="shared" si="40"/>
        <v>Saturday</v>
      </c>
      <c r="I1317">
        <v>11</v>
      </c>
      <c r="J1317" t="s">
        <v>5</v>
      </c>
      <c r="K1317">
        <v>0</v>
      </c>
      <c r="L1317">
        <v>0</v>
      </c>
      <c r="M1317">
        <v>0</v>
      </c>
      <c r="N1317">
        <v>0</v>
      </c>
      <c r="O1317">
        <v>0</v>
      </c>
      <c r="P1317" t="str">
        <f t="shared" si="41"/>
        <v>Non Chronic</v>
      </c>
      <c r="Q1317">
        <v>0</v>
      </c>
      <c r="R1317">
        <v>0</v>
      </c>
      <c r="S1317" t="s">
        <v>30</v>
      </c>
    </row>
    <row r="1318" spans="1:19" x14ac:dyDescent="0.3">
      <c r="A1318">
        <v>501317</v>
      </c>
      <c r="B1318">
        <v>39468</v>
      </c>
      <c r="C1318" t="s">
        <v>8</v>
      </c>
      <c r="D1318" t="s">
        <v>36</v>
      </c>
      <c r="E1318" s="1">
        <v>46163</v>
      </c>
      <c r="F1318" t="s">
        <v>50</v>
      </c>
      <c r="G1318" s="1">
        <v>46168</v>
      </c>
      <c r="H1318" s="1" t="str">
        <f t="shared" si="40"/>
        <v>Tuesday</v>
      </c>
      <c r="I1318">
        <v>16</v>
      </c>
      <c r="J1318" t="s">
        <v>45</v>
      </c>
      <c r="K1318">
        <v>0</v>
      </c>
      <c r="L1318">
        <v>0</v>
      </c>
      <c r="M1318">
        <v>0</v>
      </c>
      <c r="N1318">
        <v>0</v>
      </c>
      <c r="O1318">
        <v>0</v>
      </c>
      <c r="P1318" t="str">
        <f t="shared" si="41"/>
        <v>Non Chronic</v>
      </c>
      <c r="Q1318">
        <v>1</v>
      </c>
      <c r="R1318">
        <v>0</v>
      </c>
      <c r="S1318" t="s">
        <v>30</v>
      </c>
    </row>
    <row r="1319" spans="1:19" x14ac:dyDescent="0.3">
      <c r="A1319">
        <v>501318</v>
      </c>
      <c r="B1319">
        <v>74814</v>
      </c>
      <c r="C1319" t="s">
        <v>4</v>
      </c>
      <c r="D1319" t="s">
        <v>14</v>
      </c>
      <c r="E1319" s="1">
        <v>46030</v>
      </c>
      <c r="F1319" t="s">
        <v>193</v>
      </c>
      <c r="G1319" s="1">
        <v>46045</v>
      </c>
      <c r="H1319" s="1" t="str">
        <f t="shared" si="40"/>
        <v>Friday</v>
      </c>
      <c r="I1319">
        <v>31</v>
      </c>
      <c r="J1319" t="s">
        <v>45</v>
      </c>
      <c r="K1319">
        <v>0</v>
      </c>
      <c r="L1319">
        <v>0</v>
      </c>
      <c r="M1319">
        <v>0</v>
      </c>
      <c r="N1319">
        <v>0</v>
      </c>
      <c r="O1319">
        <v>0</v>
      </c>
      <c r="P1319" t="str">
        <f t="shared" si="41"/>
        <v>Non Chronic</v>
      </c>
      <c r="Q1319">
        <v>1</v>
      </c>
      <c r="R1319">
        <v>0</v>
      </c>
      <c r="S1319" t="s">
        <v>22</v>
      </c>
    </row>
    <row r="1320" spans="1:19" x14ac:dyDescent="0.3">
      <c r="A1320">
        <v>501319</v>
      </c>
      <c r="B1320">
        <v>12722</v>
      </c>
      <c r="C1320" t="s">
        <v>8</v>
      </c>
      <c r="D1320" t="s">
        <v>7</v>
      </c>
      <c r="E1320" s="1">
        <v>46160</v>
      </c>
      <c r="F1320" t="s">
        <v>192</v>
      </c>
      <c r="G1320" s="1">
        <v>46175</v>
      </c>
      <c r="H1320" s="1" t="str">
        <f t="shared" si="40"/>
        <v>Tuesday</v>
      </c>
      <c r="I1320">
        <v>25</v>
      </c>
      <c r="J1320" t="s">
        <v>23</v>
      </c>
      <c r="K1320">
        <v>0</v>
      </c>
      <c r="L1320">
        <v>0</v>
      </c>
      <c r="M1320">
        <v>0</v>
      </c>
      <c r="N1320">
        <v>0</v>
      </c>
      <c r="O1320">
        <v>0</v>
      </c>
      <c r="P1320" t="str">
        <f t="shared" si="41"/>
        <v>Non Chronic</v>
      </c>
      <c r="Q1320">
        <v>1</v>
      </c>
      <c r="R1320">
        <v>0</v>
      </c>
      <c r="S1320" t="s">
        <v>22</v>
      </c>
    </row>
    <row r="1321" spans="1:19" x14ac:dyDescent="0.3">
      <c r="A1321">
        <v>501320</v>
      </c>
      <c r="B1321">
        <v>60738</v>
      </c>
      <c r="C1321" t="s">
        <v>8</v>
      </c>
      <c r="D1321" t="s">
        <v>19</v>
      </c>
      <c r="E1321" s="1">
        <v>45993</v>
      </c>
      <c r="F1321" t="s">
        <v>191</v>
      </c>
      <c r="G1321" s="1">
        <v>46013</v>
      </c>
      <c r="H1321" s="1" t="str">
        <f t="shared" si="40"/>
        <v>Monday</v>
      </c>
      <c r="I1321">
        <v>34</v>
      </c>
      <c r="J1321" t="s">
        <v>5</v>
      </c>
      <c r="K1321">
        <v>1</v>
      </c>
      <c r="L1321">
        <v>0</v>
      </c>
      <c r="M1321">
        <v>0</v>
      </c>
      <c r="N1321">
        <v>0</v>
      </c>
      <c r="O1321">
        <v>0</v>
      </c>
      <c r="P1321" t="str">
        <f t="shared" si="41"/>
        <v>Non Chronic</v>
      </c>
      <c r="Q1321">
        <v>0</v>
      </c>
      <c r="R1321">
        <v>1</v>
      </c>
      <c r="S1321" t="s">
        <v>22</v>
      </c>
    </row>
    <row r="1322" spans="1:19" x14ac:dyDescent="0.3">
      <c r="A1322">
        <v>501321</v>
      </c>
      <c r="B1322">
        <v>56802</v>
      </c>
      <c r="C1322" t="s">
        <v>4</v>
      </c>
      <c r="D1322" t="s">
        <v>28</v>
      </c>
      <c r="E1322" s="1">
        <v>46013</v>
      </c>
      <c r="F1322" t="s">
        <v>190</v>
      </c>
      <c r="G1322" s="1">
        <v>46020</v>
      </c>
      <c r="H1322" s="1" t="str">
        <f t="shared" si="40"/>
        <v>Monday</v>
      </c>
      <c r="I1322">
        <v>39</v>
      </c>
      <c r="J1322" t="s">
        <v>20</v>
      </c>
      <c r="K1322">
        <v>0</v>
      </c>
      <c r="L1322">
        <v>0</v>
      </c>
      <c r="M1322">
        <v>0</v>
      </c>
      <c r="N1322">
        <v>0</v>
      </c>
      <c r="O1322">
        <v>0</v>
      </c>
      <c r="P1322" t="str">
        <f t="shared" si="41"/>
        <v>Non Chronic</v>
      </c>
      <c r="Q1322">
        <v>1</v>
      </c>
      <c r="R1322">
        <v>0</v>
      </c>
      <c r="S1322" t="s">
        <v>22</v>
      </c>
    </row>
    <row r="1323" spans="1:19" x14ac:dyDescent="0.3">
      <c r="A1323">
        <v>501322</v>
      </c>
      <c r="B1323">
        <v>76512</v>
      </c>
      <c r="C1323" t="s">
        <v>8</v>
      </c>
      <c r="D1323" t="s">
        <v>19</v>
      </c>
      <c r="E1323" s="1">
        <v>46140</v>
      </c>
      <c r="F1323" t="s">
        <v>189</v>
      </c>
      <c r="G1323" s="1">
        <v>46145</v>
      </c>
      <c r="H1323" s="1" t="str">
        <f t="shared" si="40"/>
        <v>Sunday</v>
      </c>
      <c r="I1323">
        <v>48</v>
      </c>
      <c r="J1323" t="s">
        <v>15</v>
      </c>
      <c r="K1323">
        <v>0</v>
      </c>
      <c r="L1323">
        <v>0</v>
      </c>
      <c r="M1323">
        <v>0</v>
      </c>
      <c r="N1323">
        <v>0</v>
      </c>
      <c r="O1323">
        <v>0</v>
      </c>
      <c r="P1323" t="str">
        <f t="shared" si="41"/>
        <v>Non Chronic</v>
      </c>
      <c r="Q1323">
        <v>0</v>
      </c>
      <c r="R1323">
        <v>0</v>
      </c>
      <c r="S1323" t="s">
        <v>0</v>
      </c>
    </row>
    <row r="1324" spans="1:19" x14ac:dyDescent="0.3">
      <c r="A1324">
        <v>501323</v>
      </c>
      <c r="B1324">
        <v>85269</v>
      </c>
      <c r="C1324" t="s">
        <v>4</v>
      </c>
      <c r="D1324" t="s">
        <v>7</v>
      </c>
      <c r="E1324" s="1">
        <v>46012</v>
      </c>
      <c r="F1324" t="s">
        <v>188</v>
      </c>
      <c r="G1324" s="1">
        <v>46015</v>
      </c>
      <c r="H1324" s="1" t="str">
        <f t="shared" si="40"/>
        <v>Wednesday</v>
      </c>
      <c r="I1324">
        <v>36</v>
      </c>
      <c r="J1324" t="s">
        <v>1</v>
      </c>
      <c r="K1324">
        <v>1</v>
      </c>
      <c r="L1324">
        <v>0</v>
      </c>
      <c r="M1324">
        <v>0</v>
      </c>
      <c r="N1324">
        <v>0</v>
      </c>
      <c r="O1324">
        <v>0</v>
      </c>
      <c r="P1324" t="str">
        <f t="shared" si="41"/>
        <v>Non Chronic</v>
      </c>
      <c r="Q1324">
        <v>0</v>
      </c>
      <c r="R1324">
        <v>1</v>
      </c>
      <c r="S1324" t="s">
        <v>22</v>
      </c>
    </row>
    <row r="1325" spans="1:19" x14ac:dyDescent="0.3">
      <c r="A1325">
        <v>501324</v>
      </c>
      <c r="B1325">
        <v>83394</v>
      </c>
      <c r="C1325" t="s">
        <v>8</v>
      </c>
      <c r="D1325" t="s">
        <v>36</v>
      </c>
      <c r="E1325" s="1">
        <v>46099</v>
      </c>
      <c r="F1325" t="s">
        <v>187</v>
      </c>
      <c r="G1325" s="1">
        <v>46099</v>
      </c>
      <c r="H1325" s="1" t="str">
        <f t="shared" si="40"/>
        <v>Wednesday</v>
      </c>
      <c r="I1325">
        <v>47</v>
      </c>
      <c r="J1325" t="s">
        <v>20</v>
      </c>
      <c r="K1325">
        <v>1</v>
      </c>
      <c r="L1325">
        <v>0</v>
      </c>
      <c r="M1325">
        <v>1</v>
      </c>
      <c r="N1325">
        <v>0</v>
      </c>
      <c r="O1325">
        <v>0</v>
      </c>
      <c r="P1325" t="str">
        <f t="shared" si="41"/>
        <v>Chronic</v>
      </c>
      <c r="Q1325">
        <v>1</v>
      </c>
      <c r="R1325">
        <v>0</v>
      </c>
      <c r="S1325" t="s">
        <v>0</v>
      </c>
    </row>
    <row r="1326" spans="1:19" x14ac:dyDescent="0.3">
      <c r="A1326">
        <v>501325</v>
      </c>
      <c r="B1326">
        <v>13614</v>
      </c>
      <c r="C1326" t="s">
        <v>8</v>
      </c>
      <c r="D1326" t="s">
        <v>3</v>
      </c>
      <c r="E1326" s="1">
        <v>46000</v>
      </c>
      <c r="F1326" t="s">
        <v>47</v>
      </c>
      <c r="G1326" s="1">
        <v>46005</v>
      </c>
      <c r="H1326" s="1" t="str">
        <f t="shared" si="40"/>
        <v>Sunday</v>
      </c>
      <c r="I1326">
        <v>39</v>
      </c>
      <c r="J1326" t="s">
        <v>31</v>
      </c>
      <c r="K1326">
        <v>1</v>
      </c>
      <c r="L1326">
        <v>0</v>
      </c>
      <c r="M1326">
        <v>0</v>
      </c>
      <c r="N1326">
        <v>0</v>
      </c>
      <c r="O1326">
        <v>0</v>
      </c>
      <c r="P1326" t="str">
        <f t="shared" si="41"/>
        <v>Non Chronic</v>
      </c>
      <c r="Q1326">
        <v>1</v>
      </c>
      <c r="R1326">
        <v>0</v>
      </c>
      <c r="S1326" t="s">
        <v>22</v>
      </c>
    </row>
    <row r="1327" spans="1:19" x14ac:dyDescent="0.3">
      <c r="A1327">
        <v>501326</v>
      </c>
      <c r="B1327">
        <v>53323</v>
      </c>
      <c r="C1327" t="s">
        <v>4</v>
      </c>
      <c r="D1327" t="s">
        <v>3</v>
      </c>
      <c r="E1327" s="1">
        <v>46008</v>
      </c>
      <c r="F1327" t="s">
        <v>186</v>
      </c>
      <c r="G1327" s="1">
        <v>46018</v>
      </c>
      <c r="H1327" s="1" t="str">
        <f t="shared" si="40"/>
        <v>Saturday</v>
      </c>
      <c r="I1327">
        <v>0</v>
      </c>
      <c r="J1327" t="s">
        <v>31</v>
      </c>
      <c r="K1327">
        <v>0</v>
      </c>
      <c r="L1327">
        <v>0</v>
      </c>
      <c r="M1327">
        <v>0</v>
      </c>
      <c r="N1327">
        <v>0</v>
      </c>
      <c r="O1327">
        <v>0</v>
      </c>
      <c r="P1327" t="str">
        <f t="shared" si="41"/>
        <v>Non Chronic</v>
      </c>
      <c r="Q1327">
        <v>0</v>
      </c>
      <c r="R1327">
        <v>0</v>
      </c>
      <c r="S1327" t="s">
        <v>30</v>
      </c>
    </row>
    <row r="1328" spans="1:19" x14ac:dyDescent="0.3">
      <c r="A1328">
        <v>501327</v>
      </c>
      <c r="B1328">
        <v>10888</v>
      </c>
      <c r="C1328" t="s">
        <v>4</v>
      </c>
      <c r="D1328" t="s">
        <v>19</v>
      </c>
      <c r="E1328" s="1">
        <v>46076</v>
      </c>
      <c r="F1328" t="s">
        <v>185</v>
      </c>
      <c r="G1328" s="1">
        <v>46091</v>
      </c>
      <c r="H1328" s="1" t="str">
        <f t="shared" si="40"/>
        <v>Tuesday</v>
      </c>
      <c r="I1328">
        <v>19</v>
      </c>
      <c r="J1328" t="s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 t="str">
        <f t="shared" si="41"/>
        <v>Non Chronic</v>
      </c>
      <c r="Q1328">
        <v>1</v>
      </c>
      <c r="R1328">
        <v>1</v>
      </c>
      <c r="S1328" t="s">
        <v>22</v>
      </c>
    </row>
    <row r="1329" spans="1:19" x14ac:dyDescent="0.3">
      <c r="A1329">
        <v>501328</v>
      </c>
      <c r="B1329">
        <v>64225</v>
      </c>
      <c r="C1329" t="s">
        <v>4</v>
      </c>
      <c r="D1329" t="s">
        <v>14</v>
      </c>
      <c r="E1329" s="1">
        <v>46132</v>
      </c>
      <c r="F1329" t="s">
        <v>184</v>
      </c>
      <c r="G1329" s="1">
        <v>46132</v>
      </c>
      <c r="H1329" s="1" t="str">
        <f t="shared" si="40"/>
        <v>Monday</v>
      </c>
      <c r="I1329">
        <v>35</v>
      </c>
      <c r="J1329" t="s">
        <v>45</v>
      </c>
      <c r="K1329">
        <v>0</v>
      </c>
      <c r="L1329">
        <v>0</v>
      </c>
      <c r="M1329">
        <v>0</v>
      </c>
      <c r="N1329">
        <v>0</v>
      </c>
      <c r="O1329">
        <v>0</v>
      </c>
      <c r="P1329" t="str">
        <f t="shared" si="41"/>
        <v>Non Chronic</v>
      </c>
      <c r="Q1329">
        <v>0</v>
      </c>
      <c r="R1329">
        <v>0</v>
      </c>
      <c r="S1329" t="s">
        <v>22</v>
      </c>
    </row>
    <row r="1330" spans="1:19" x14ac:dyDescent="0.3">
      <c r="A1330">
        <v>501329</v>
      </c>
      <c r="B1330">
        <v>53488</v>
      </c>
      <c r="C1330" t="s">
        <v>4</v>
      </c>
      <c r="D1330" t="s">
        <v>58</v>
      </c>
      <c r="E1330" s="1">
        <v>46065</v>
      </c>
      <c r="F1330" t="s">
        <v>183</v>
      </c>
      <c r="G1330" s="1">
        <v>46072</v>
      </c>
      <c r="H1330" s="1" t="str">
        <f t="shared" si="40"/>
        <v>Thursday</v>
      </c>
      <c r="I1330">
        <v>13</v>
      </c>
      <c r="J1330" t="s">
        <v>23</v>
      </c>
      <c r="K1330">
        <v>0</v>
      </c>
      <c r="L1330">
        <v>0</v>
      </c>
      <c r="M1330">
        <v>0</v>
      </c>
      <c r="N1330">
        <v>0</v>
      </c>
      <c r="O1330">
        <v>0</v>
      </c>
      <c r="P1330" t="str">
        <f t="shared" si="41"/>
        <v>Non Chronic</v>
      </c>
      <c r="Q1330">
        <v>0</v>
      </c>
      <c r="R1330">
        <v>0</v>
      </c>
      <c r="S1330" t="s">
        <v>30</v>
      </c>
    </row>
    <row r="1331" spans="1:19" x14ac:dyDescent="0.3">
      <c r="A1331">
        <v>501330</v>
      </c>
      <c r="B1331">
        <v>63421</v>
      </c>
      <c r="C1331" t="s">
        <v>8</v>
      </c>
      <c r="D1331" t="s">
        <v>7</v>
      </c>
      <c r="E1331" s="1">
        <v>46013</v>
      </c>
      <c r="F1331" t="s">
        <v>182</v>
      </c>
      <c r="G1331" s="1">
        <v>46016</v>
      </c>
      <c r="H1331" s="1" t="str">
        <f t="shared" si="40"/>
        <v>Thursday</v>
      </c>
      <c r="I1331">
        <v>49</v>
      </c>
      <c r="J1331" t="s">
        <v>31</v>
      </c>
      <c r="K1331">
        <v>1</v>
      </c>
      <c r="L1331">
        <v>1</v>
      </c>
      <c r="M1331">
        <v>0</v>
      </c>
      <c r="N1331">
        <v>0</v>
      </c>
      <c r="O1331">
        <v>0</v>
      </c>
      <c r="P1331" t="str">
        <f t="shared" si="41"/>
        <v>Chronic</v>
      </c>
      <c r="Q1331">
        <v>1</v>
      </c>
      <c r="R1331">
        <v>1</v>
      </c>
      <c r="S1331" t="s">
        <v>0</v>
      </c>
    </row>
    <row r="1332" spans="1:19" x14ac:dyDescent="0.3">
      <c r="A1332">
        <v>501331</v>
      </c>
      <c r="B1332">
        <v>44144</v>
      </c>
      <c r="C1332" t="s">
        <v>8</v>
      </c>
      <c r="D1332" t="s">
        <v>14</v>
      </c>
      <c r="E1332" s="1">
        <v>45986</v>
      </c>
      <c r="F1332" t="s">
        <v>181</v>
      </c>
      <c r="G1332" s="1">
        <v>45991</v>
      </c>
      <c r="H1332" s="1" t="str">
        <f t="shared" si="40"/>
        <v>Sunday</v>
      </c>
      <c r="I1332">
        <v>68</v>
      </c>
      <c r="J1332" t="s">
        <v>45</v>
      </c>
      <c r="K1332">
        <v>1</v>
      </c>
      <c r="L1332">
        <v>0</v>
      </c>
      <c r="M1332">
        <v>0</v>
      </c>
      <c r="N1332">
        <v>0</v>
      </c>
      <c r="O1332">
        <v>0</v>
      </c>
      <c r="P1332" t="str">
        <f t="shared" si="41"/>
        <v>Non Chronic</v>
      </c>
      <c r="Q1332">
        <v>1</v>
      </c>
      <c r="R1332">
        <v>0</v>
      </c>
      <c r="S1332" t="s">
        <v>9</v>
      </c>
    </row>
    <row r="1333" spans="1:19" x14ac:dyDescent="0.3">
      <c r="A1333">
        <v>501332</v>
      </c>
      <c r="B1333">
        <v>83023</v>
      </c>
      <c r="C1333" t="s">
        <v>4</v>
      </c>
      <c r="D1333" t="s">
        <v>19</v>
      </c>
      <c r="E1333" s="1">
        <v>46119</v>
      </c>
      <c r="F1333" t="s">
        <v>180</v>
      </c>
      <c r="G1333" s="1">
        <v>46121</v>
      </c>
      <c r="H1333" s="1" t="str">
        <f t="shared" si="40"/>
        <v>Thursday</v>
      </c>
      <c r="I1333">
        <v>62</v>
      </c>
      <c r="J1333" t="s">
        <v>15</v>
      </c>
      <c r="K1333">
        <v>0</v>
      </c>
      <c r="L1333">
        <v>1</v>
      </c>
      <c r="M1333">
        <v>0</v>
      </c>
      <c r="N1333">
        <v>1</v>
      </c>
      <c r="O1333">
        <v>0</v>
      </c>
      <c r="P1333" t="str">
        <f t="shared" si="41"/>
        <v>Chronic</v>
      </c>
      <c r="Q1333">
        <v>0</v>
      </c>
      <c r="R1333">
        <v>0</v>
      </c>
      <c r="S1333" t="s">
        <v>9</v>
      </c>
    </row>
    <row r="1334" spans="1:19" x14ac:dyDescent="0.3">
      <c r="A1334">
        <v>501333</v>
      </c>
      <c r="B1334">
        <v>59130</v>
      </c>
      <c r="C1334" t="s">
        <v>4</v>
      </c>
      <c r="D1334" t="s">
        <v>28</v>
      </c>
      <c r="E1334" s="1">
        <v>45990</v>
      </c>
      <c r="F1334" t="s">
        <v>179</v>
      </c>
      <c r="G1334" s="1">
        <v>45992</v>
      </c>
      <c r="H1334" s="1" t="str">
        <f t="shared" si="40"/>
        <v>Monday</v>
      </c>
      <c r="I1334">
        <v>33</v>
      </c>
      <c r="J1334" t="s">
        <v>45</v>
      </c>
      <c r="K1334">
        <v>1</v>
      </c>
      <c r="L1334">
        <v>0</v>
      </c>
      <c r="M1334">
        <v>0</v>
      </c>
      <c r="N1334">
        <v>0</v>
      </c>
      <c r="O1334">
        <v>0</v>
      </c>
      <c r="P1334" t="str">
        <f t="shared" si="41"/>
        <v>Non Chronic</v>
      </c>
      <c r="Q1334">
        <v>1</v>
      </c>
      <c r="R1334">
        <v>0</v>
      </c>
      <c r="S1334" t="s">
        <v>22</v>
      </c>
    </row>
    <row r="1335" spans="1:19" x14ac:dyDescent="0.3">
      <c r="A1335">
        <v>501334</v>
      </c>
      <c r="B1335">
        <v>30273</v>
      </c>
      <c r="C1335" t="s">
        <v>8</v>
      </c>
      <c r="D1335" t="s">
        <v>28</v>
      </c>
      <c r="E1335" s="1">
        <v>45997</v>
      </c>
      <c r="F1335" t="s">
        <v>154</v>
      </c>
      <c r="G1335" s="1">
        <v>46017</v>
      </c>
      <c r="H1335" s="1" t="str">
        <f t="shared" si="40"/>
        <v>Friday</v>
      </c>
      <c r="I1335">
        <v>67</v>
      </c>
      <c r="J1335" t="s">
        <v>10</v>
      </c>
      <c r="K1335">
        <v>0</v>
      </c>
      <c r="L1335">
        <v>0</v>
      </c>
      <c r="M1335">
        <v>0</v>
      </c>
      <c r="N1335">
        <v>0</v>
      </c>
      <c r="O1335">
        <v>0</v>
      </c>
      <c r="P1335" t="str">
        <f t="shared" si="41"/>
        <v>Non Chronic</v>
      </c>
      <c r="Q1335">
        <v>0</v>
      </c>
      <c r="R1335">
        <v>0</v>
      </c>
      <c r="S1335" t="s">
        <v>9</v>
      </c>
    </row>
    <row r="1336" spans="1:19" x14ac:dyDescent="0.3">
      <c r="A1336">
        <v>501335</v>
      </c>
      <c r="B1336">
        <v>25765</v>
      </c>
      <c r="C1336" t="s">
        <v>8</v>
      </c>
      <c r="D1336" t="s">
        <v>25</v>
      </c>
      <c r="E1336" s="1">
        <v>46009</v>
      </c>
      <c r="F1336" t="s">
        <v>178</v>
      </c>
      <c r="G1336" s="1">
        <v>46016</v>
      </c>
      <c r="H1336" s="1" t="str">
        <f t="shared" si="40"/>
        <v>Thursday</v>
      </c>
      <c r="I1336">
        <v>40</v>
      </c>
      <c r="J1336" t="s">
        <v>15</v>
      </c>
      <c r="K1336">
        <v>1</v>
      </c>
      <c r="L1336">
        <v>0</v>
      </c>
      <c r="M1336">
        <v>0</v>
      </c>
      <c r="N1336">
        <v>0</v>
      </c>
      <c r="O1336">
        <v>0</v>
      </c>
      <c r="P1336" t="str">
        <f t="shared" si="41"/>
        <v>Non Chronic</v>
      </c>
      <c r="Q1336">
        <v>1</v>
      </c>
      <c r="R1336">
        <v>1</v>
      </c>
      <c r="S1336" t="s">
        <v>22</v>
      </c>
    </row>
    <row r="1337" spans="1:19" x14ac:dyDescent="0.3">
      <c r="A1337">
        <v>501336</v>
      </c>
      <c r="B1337">
        <v>35317</v>
      </c>
      <c r="C1337" t="s">
        <v>4</v>
      </c>
      <c r="D1337" t="s">
        <v>19</v>
      </c>
      <c r="E1337" s="1">
        <v>46146</v>
      </c>
      <c r="F1337" t="s">
        <v>177</v>
      </c>
      <c r="G1337" s="1">
        <v>46166</v>
      </c>
      <c r="H1337" s="1" t="str">
        <f t="shared" si="40"/>
        <v>Sunday</v>
      </c>
      <c r="I1337">
        <v>31</v>
      </c>
      <c r="J1337" t="s">
        <v>10</v>
      </c>
      <c r="K1337">
        <v>1</v>
      </c>
      <c r="L1337">
        <v>0</v>
      </c>
      <c r="M1337">
        <v>0</v>
      </c>
      <c r="N1337">
        <v>0</v>
      </c>
      <c r="O1337">
        <v>0</v>
      </c>
      <c r="P1337" t="str">
        <f t="shared" si="41"/>
        <v>Non Chronic</v>
      </c>
      <c r="Q1337">
        <v>1</v>
      </c>
      <c r="R1337">
        <v>1</v>
      </c>
      <c r="S1337" t="s">
        <v>22</v>
      </c>
    </row>
    <row r="1338" spans="1:19" x14ac:dyDescent="0.3">
      <c r="A1338">
        <v>501337</v>
      </c>
      <c r="B1338">
        <v>42272</v>
      </c>
      <c r="C1338" t="s">
        <v>8</v>
      </c>
      <c r="D1338" t="s">
        <v>28</v>
      </c>
      <c r="E1338" s="1">
        <v>46091</v>
      </c>
      <c r="F1338" t="s">
        <v>11</v>
      </c>
      <c r="G1338" s="1">
        <v>46094</v>
      </c>
      <c r="H1338" s="1" t="str">
        <f t="shared" si="40"/>
        <v>Friday</v>
      </c>
      <c r="I1338">
        <v>25</v>
      </c>
      <c r="J1338" t="s">
        <v>45</v>
      </c>
      <c r="K1338">
        <v>1</v>
      </c>
      <c r="L1338">
        <v>0</v>
      </c>
      <c r="M1338">
        <v>0</v>
      </c>
      <c r="N1338">
        <v>0</v>
      </c>
      <c r="O1338">
        <v>0</v>
      </c>
      <c r="P1338" t="str">
        <f t="shared" si="41"/>
        <v>Non Chronic</v>
      </c>
      <c r="Q1338">
        <v>1</v>
      </c>
      <c r="R1338">
        <v>0</v>
      </c>
      <c r="S1338" t="s">
        <v>22</v>
      </c>
    </row>
    <row r="1339" spans="1:19" x14ac:dyDescent="0.3">
      <c r="A1339">
        <v>501338</v>
      </c>
      <c r="B1339">
        <v>72970</v>
      </c>
      <c r="C1339" t="s">
        <v>4</v>
      </c>
      <c r="D1339" t="s">
        <v>58</v>
      </c>
      <c r="E1339" s="1">
        <v>45997</v>
      </c>
      <c r="F1339" t="s">
        <v>176</v>
      </c>
      <c r="G1339" s="1">
        <v>46004</v>
      </c>
      <c r="H1339" s="1" t="str">
        <f t="shared" si="40"/>
        <v>Saturday</v>
      </c>
      <c r="I1339">
        <v>31</v>
      </c>
      <c r="J1339" t="s">
        <v>20</v>
      </c>
      <c r="K1339">
        <v>1</v>
      </c>
      <c r="L1339">
        <v>0</v>
      </c>
      <c r="M1339">
        <v>0</v>
      </c>
      <c r="N1339">
        <v>0</v>
      </c>
      <c r="O1339">
        <v>0</v>
      </c>
      <c r="P1339" t="str">
        <f t="shared" si="41"/>
        <v>Non Chronic</v>
      </c>
      <c r="Q1339">
        <v>1</v>
      </c>
      <c r="R1339">
        <v>1</v>
      </c>
      <c r="S1339" t="s">
        <v>22</v>
      </c>
    </row>
    <row r="1340" spans="1:19" x14ac:dyDescent="0.3">
      <c r="A1340">
        <v>501339</v>
      </c>
      <c r="B1340">
        <v>35957</v>
      </c>
      <c r="C1340" t="s">
        <v>8</v>
      </c>
      <c r="D1340" t="s">
        <v>3</v>
      </c>
      <c r="E1340" s="1">
        <v>46125</v>
      </c>
      <c r="F1340" t="s">
        <v>137</v>
      </c>
      <c r="G1340" s="1">
        <v>46130</v>
      </c>
      <c r="H1340" s="1" t="str">
        <f t="shared" si="40"/>
        <v>Saturday</v>
      </c>
      <c r="I1340">
        <v>30</v>
      </c>
      <c r="J1340" t="s">
        <v>23</v>
      </c>
      <c r="K1340">
        <v>1</v>
      </c>
      <c r="L1340">
        <v>0</v>
      </c>
      <c r="M1340">
        <v>0</v>
      </c>
      <c r="N1340">
        <v>0</v>
      </c>
      <c r="O1340">
        <v>0</v>
      </c>
      <c r="P1340" t="str">
        <f t="shared" si="41"/>
        <v>Non Chronic</v>
      </c>
      <c r="Q1340">
        <v>1</v>
      </c>
      <c r="R1340">
        <v>0</v>
      </c>
      <c r="S1340" t="s">
        <v>22</v>
      </c>
    </row>
    <row r="1341" spans="1:19" x14ac:dyDescent="0.3">
      <c r="A1341">
        <v>501340</v>
      </c>
      <c r="B1341">
        <v>73452</v>
      </c>
      <c r="C1341" t="s">
        <v>8</v>
      </c>
      <c r="D1341" t="s">
        <v>25</v>
      </c>
      <c r="E1341" s="1">
        <v>46147</v>
      </c>
      <c r="F1341" t="s">
        <v>175</v>
      </c>
      <c r="G1341" s="1">
        <v>46152</v>
      </c>
      <c r="H1341" s="1" t="str">
        <f t="shared" si="40"/>
        <v>Sunday</v>
      </c>
      <c r="I1341">
        <v>41</v>
      </c>
      <c r="J1341" t="s">
        <v>10</v>
      </c>
      <c r="K1341">
        <v>1</v>
      </c>
      <c r="L1341">
        <v>0</v>
      </c>
      <c r="M1341">
        <v>0</v>
      </c>
      <c r="N1341">
        <v>0</v>
      </c>
      <c r="O1341">
        <v>0</v>
      </c>
      <c r="P1341" t="str">
        <f t="shared" si="41"/>
        <v>Non Chronic</v>
      </c>
      <c r="Q1341">
        <v>1</v>
      </c>
      <c r="R1341">
        <v>0</v>
      </c>
      <c r="S1341" t="s">
        <v>0</v>
      </c>
    </row>
    <row r="1342" spans="1:19" x14ac:dyDescent="0.3">
      <c r="A1342">
        <v>501341</v>
      </c>
      <c r="B1342">
        <v>50254</v>
      </c>
      <c r="C1342" t="s">
        <v>4</v>
      </c>
      <c r="D1342" t="s">
        <v>19</v>
      </c>
      <c r="E1342" s="1">
        <v>46125</v>
      </c>
      <c r="F1342" t="s">
        <v>174</v>
      </c>
      <c r="G1342" s="1">
        <v>46126</v>
      </c>
      <c r="H1342" s="1" t="str">
        <f t="shared" si="40"/>
        <v>Tuesday</v>
      </c>
      <c r="I1342">
        <v>41</v>
      </c>
      <c r="J1342" t="s">
        <v>17</v>
      </c>
      <c r="K1342">
        <v>0</v>
      </c>
      <c r="L1342">
        <v>0</v>
      </c>
      <c r="M1342">
        <v>1</v>
      </c>
      <c r="N1342">
        <v>0</v>
      </c>
      <c r="O1342">
        <v>0</v>
      </c>
      <c r="P1342" t="str">
        <f t="shared" si="41"/>
        <v>Chronic</v>
      </c>
      <c r="Q1342">
        <v>0</v>
      </c>
      <c r="R1342">
        <v>1</v>
      </c>
      <c r="S1342" t="s">
        <v>0</v>
      </c>
    </row>
    <row r="1343" spans="1:19" x14ac:dyDescent="0.3">
      <c r="A1343">
        <v>501342</v>
      </c>
      <c r="B1343">
        <v>99674</v>
      </c>
      <c r="C1343" t="s">
        <v>8</v>
      </c>
      <c r="D1343" t="s">
        <v>28</v>
      </c>
      <c r="E1343" s="1">
        <v>46048</v>
      </c>
      <c r="F1343" t="s">
        <v>173</v>
      </c>
      <c r="G1343" s="1">
        <v>46048</v>
      </c>
      <c r="H1343" s="1" t="str">
        <f t="shared" si="40"/>
        <v>Monday</v>
      </c>
      <c r="I1343">
        <v>38</v>
      </c>
      <c r="J1343" t="s">
        <v>12</v>
      </c>
      <c r="K1343">
        <v>1</v>
      </c>
      <c r="L1343">
        <v>0</v>
      </c>
      <c r="M1343">
        <v>0</v>
      </c>
      <c r="N1343">
        <v>0</v>
      </c>
      <c r="O1343">
        <v>0</v>
      </c>
      <c r="P1343" t="str">
        <f t="shared" si="41"/>
        <v>Non Chronic</v>
      </c>
      <c r="Q1343">
        <v>1</v>
      </c>
      <c r="R1343">
        <v>0</v>
      </c>
      <c r="S1343" t="s">
        <v>22</v>
      </c>
    </row>
    <row r="1344" spans="1:19" x14ac:dyDescent="0.3">
      <c r="A1344">
        <v>501343</v>
      </c>
      <c r="B1344">
        <v>34340</v>
      </c>
      <c r="C1344" t="s">
        <v>4</v>
      </c>
      <c r="D1344" t="s">
        <v>19</v>
      </c>
      <c r="E1344" s="1">
        <v>46069</v>
      </c>
      <c r="F1344" t="s">
        <v>172</v>
      </c>
      <c r="G1344" s="1">
        <v>46069</v>
      </c>
      <c r="H1344" s="1" t="str">
        <f t="shared" si="40"/>
        <v>Monday</v>
      </c>
      <c r="I1344">
        <v>46</v>
      </c>
      <c r="J1344" t="s">
        <v>15</v>
      </c>
      <c r="K1344">
        <v>0</v>
      </c>
      <c r="L1344">
        <v>0</v>
      </c>
      <c r="M1344">
        <v>0</v>
      </c>
      <c r="N1344">
        <v>0</v>
      </c>
      <c r="O1344">
        <v>0</v>
      </c>
      <c r="P1344" t="str">
        <f t="shared" si="41"/>
        <v>Non Chronic</v>
      </c>
      <c r="Q1344">
        <v>1</v>
      </c>
      <c r="R1344">
        <v>0</v>
      </c>
      <c r="S1344" t="s">
        <v>0</v>
      </c>
    </row>
    <row r="1345" spans="1:19" x14ac:dyDescent="0.3">
      <c r="A1345">
        <v>501344</v>
      </c>
      <c r="B1345">
        <v>25247</v>
      </c>
      <c r="C1345" t="s">
        <v>8</v>
      </c>
      <c r="D1345" t="s">
        <v>36</v>
      </c>
      <c r="E1345" s="1">
        <v>46161</v>
      </c>
      <c r="F1345" t="s">
        <v>155</v>
      </c>
      <c r="G1345" s="1">
        <v>46176</v>
      </c>
      <c r="H1345" s="1" t="str">
        <f t="shared" si="40"/>
        <v>Wednesday</v>
      </c>
      <c r="I1345">
        <v>61</v>
      </c>
      <c r="J1345" t="s">
        <v>45</v>
      </c>
      <c r="K1345">
        <v>1</v>
      </c>
      <c r="L1345">
        <v>0</v>
      </c>
      <c r="M1345">
        <v>0</v>
      </c>
      <c r="N1345">
        <v>0</v>
      </c>
      <c r="O1345">
        <v>0</v>
      </c>
      <c r="P1345" t="str">
        <f t="shared" si="41"/>
        <v>Non Chronic</v>
      </c>
      <c r="Q1345">
        <v>1</v>
      </c>
      <c r="R1345">
        <v>1</v>
      </c>
      <c r="S1345" t="s">
        <v>9</v>
      </c>
    </row>
    <row r="1346" spans="1:19" x14ac:dyDescent="0.3">
      <c r="A1346">
        <v>501345</v>
      </c>
      <c r="B1346">
        <v>42266</v>
      </c>
      <c r="C1346" t="s">
        <v>8</v>
      </c>
      <c r="D1346" t="s">
        <v>3</v>
      </c>
      <c r="E1346" s="1">
        <v>46009</v>
      </c>
      <c r="F1346" t="s">
        <v>171</v>
      </c>
      <c r="G1346" s="1">
        <v>46019</v>
      </c>
      <c r="H1346" s="1" t="str">
        <f t="shared" si="40"/>
        <v>Sunday</v>
      </c>
      <c r="I1346">
        <v>56</v>
      </c>
      <c r="J1346" t="s">
        <v>1</v>
      </c>
      <c r="K1346">
        <v>1</v>
      </c>
      <c r="L1346">
        <v>1</v>
      </c>
      <c r="M1346">
        <v>0</v>
      </c>
      <c r="N1346">
        <v>0</v>
      </c>
      <c r="O1346">
        <v>0</v>
      </c>
      <c r="P1346" t="str">
        <f t="shared" si="41"/>
        <v>Chronic</v>
      </c>
      <c r="Q1346">
        <v>1</v>
      </c>
      <c r="R1346">
        <v>0</v>
      </c>
      <c r="S1346" t="s">
        <v>0</v>
      </c>
    </row>
    <row r="1347" spans="1:19" x14ac:dyDescent="0.3">
      <c r="A1347">
        <v>501346</v>
      </c>
      <c r="B1347">
        <v>46449</v>
      </c>
      <c r="C1347" t="s">
        <v>4</v>
      </c>
      <c r="D1347" t="s">
        <v>7</v>
      </c>
      <c r="E1347" s="1">
        <v>45986</v>
      </c>
      <c r="F1347" t="s">
        <v>170</v>
      </c>
      <c r="G1347" s="1">
        <v>45993</v>
      </c>
      <c r="H1347" s="1" t="str">
        <f t="shared" ref="H1347:H1410" si="42">TEXT(G1347,"dddd")</f>
        <v>Tuesday</v>
      </c>
      <c r="I1347">
        <v>8</v>
      </c>
      <c r="J1347" t="s">
        <v>5</v>
      </c>
      <c r="K1347">
        <v>0</v>
      </c>
      <c r="L1347">
        <v>0</v>
      </c>
      <c r="M1347">
        <v>0</v>
      </c>
      <c r="N1347">
        <v>0</v>
      </c>
      <c r="O1347">
        <v>0</v>
      </c>
      <c r="P1347" t="str">
        <f t="shared" ref="P1347:P1410" si="43">IF(OR(L1347=1,M1347=1),"Chronic","Non Chronic")</f>
        <v>Non Chronic</v>
      </c>
      <c r="Q1347">
        <v>1</v>
      </c>
      <c r="R1347">
        <v>0</v>
      </c>
      <c r="S1347" t="s">
        <v>30</v>
      </c>
    </row>
    <row r="1348" spans="1:19" x14ac:dyDescent="0.3">
      <c r="A1348">
        <v>501347</v>
      </c>
      <c r="B1348">
        <v>68868</v>
      </c>
      <c r="C1348" t="s">
        <v>4</v>
      </c>
      <c r="D1348" t="s">
        <v>14</v>
      </c>
      <c r="E1348" s="1">
        <v>46033</v>
      </c>
      <c r="F1348" t="s">
        <v>169</v>
      </c>
      <c r="G1348" s="1">
        <v>46040</v>
      </c>
      <c r="H1348" s="1" t="str">
        <f t="shared" si="42"/>
        <v>Sunday</v>
      </c>
      <c r="I1348">
        <v>0</v>
      </c>
      <c r="J1348" t="s">
        <v>15</v>
      </c>
      <c r="K1348">
        <v>0</v>
      </c>
      <c r="L1348">
        <v>0</v>
      </c>
      <c r="M1348">
        <v>0</v>
      </c>
      <c r="N1348">
        <v>0</v>
      </c>
      <c r="O1348">
        <v>0</v>
      </c>
      <c r="P1348" t="str">
        <f t="shared" si="43"/>
        <v>Non Chronic</v>
      </c>
      <c r="Q1348">
        <v>1</v>
      </c>
      <c r="R1348">
        <v>0</v>
      </c>
      <c r="S1348" t="s">
        <v>30</v>
      </c>
    </row>
    <row r="1349" spans="1:19" x14ac:dyDescent="0.3">
      <c r="A1349">
        <v>501348</v>
      </c>
      <c r="B1349">
        <v>74033</v>
      </c>
      <c r="C1349" t="s">
        <v>4</v>
      </c>
      <c r="D1349" t="s">
        <v>28</v>
      </c>
      <c r="E1349" s="1">
        <v>46062</v>
      </c>
      <c r="F1349" t="s">
        <v>121</v>
      </c>
      <c r="G1349" s="1">
        <v>46072</v>
      </c>
      <c r="H1349" s="1" t="str">
        <f t="shared" si="42"/>
        <v>Thursday</v>
      </c>
      <c r="I1349">
        <v>56</v>
      </c>
      <c r="J1349" t="s">
        <v>12</v>
      </c>
      <c r="K1349">
        <v>1</v>
      </c>
      <c r="L1349">
        <v>1</v>
      </c>
      <c r="M1349">
        <v>0</v>
      </c>
      <c r="N1349">
        <v>0</v>
      </c>
      <c r="O1349">
        <v>0</v>
      </c>
      <c r="P1349" t="str">
        <f t="shared" si="43"/>
        <v>Chronic</v>
      </c>
      <c r="Q1349">
        <v>1</v>
      </c>
      <c r="R1349">
        <v>1</v>
      </c>
      <c r="S1349" t="s">
        <v>0</v>
      </c>
    </row>
    <row r="1350" spans="1:19" x14ac:dyDescent="0.3">
      <c r="A1350">
        <v>501349</v>
      </c>
      <c r="B1350">
        <v>84725</v>
      </c>
      <c r="C1350" t="s">
        <v>8</v>
      </c>
      <c r="D1350" t="s">
        <v>58</v>
      </c>
      <c r="E1350" s="1">
        <v>46094</v>
      </c>
      <c r="F1350" t="s">
        <v>168</v>
      </c>
      <c r="G1350" s="1">
        <v>46097</v>
      </c>
      <c r="H1350" s="1" t="str">
        <f t="shared" si="42"/>
        <v>Monday</v>
      </c>
      <c r="I1350">
        <v>10</v>
      </c>
      <c r="J1350" t="s">
        <v>15</v>
      </c>
      <c r="K1350">
        <v>0</v>
      </c>
      <c r="L1350">
        <v>0</v>
      </c>
      <c r="M1350">
        <v>0</v>
      </c>
      <c r="N1350">
        <v>0</v>
      </c>
      <c r="O1350">
        <v>0</v>
      </c>
      <c r="P1350" t="str">
        <f t="shared" si="43"/>
        <v>Non Chronic</v>
      </c>
      <c r="Q1350">
        <v>0</v>
      </c>
      <c r="R1350">
        <v>1</v>
      </c>
      <c r="S1350" t="s">
        <v>30</v>
      </c>
    </row>
    <row r="1351" spans="1:19" x14ac:dyDescent="0.3">
      <c r="A1351">
        <v>501350</v>
      </c>
      <c r="B1351">
        <v>21338</v>
      </c>
      <c r="C1351" t="s">
        <v>8</v>
      </c>
      <c r="D1351" t="s">
        <v>14</v>
      </c>
      <c r="E1351" s="1">
        <v>46155</v>
      </c>
      <c r="F1351" t="s">
        <v>167</v>
      </c>
      <c r="G1351" s="1">
        <v>46156</v>
      </c>
      <c r="H1351" s="1" t="str">
        <f t="shared" si="42"/>
        <v>Thursday</v>
      </c>
      <c r="I1351">
        <v>33</v>
      </c>
      <c r="J1351" t="s">
        <v>31</v>
      </c>
      <c r="K1351">
        <v>0</v>
      </c>
      <c r="L1351">
        <v>0</v>
      </c>
      <c r="M1351">
        <v>0</v>
      </c>
      <c r="N1351">
        <v>0</v>
      </c>
      <c r="O1351">
        <v>0</v>
      </c>
      <c r="P1351" t="str">
        <f t="shared" si="43"/>
        <v>Non Chronic</v>
      </c>
      <c r="Q1351">
        <v>1</v>
      </c>
      <c r="R1351">
        <v>0</v>
      </c>
      <c r="S1351" t="s">
        <v>22</v>
      </c>
    </row>
    <row r="1352" spans="1:19" x14ac:dyDescent="0.3">
      <c r="A1352">
        <v>501351</v>
      </c>
      <c r="B1352">
        <v>34179</v>
      </c>
      <c r="C1352" t="s">
        <v>4</v>
      </c>
      <c r="D1352" t="s">
        <v>58</v>
      </c>
      <c r="E1352" s="1">
        <v>46113</v>
      </c>
      <c r="F1352" t="s">
        <v>166</v>
      </c>
      <c r="G1352" s="1">
        <v>46116</v>
      </c>
      <c r="H1352" s="1" t="str">
        <f t="shared" si="42"/>
        <v>Saturday</v>
      </c>
      <c r="I1352">
        <v>14</v>
      </c>
      <c r="J1352" t="s">
        <v>45</v>
      </c>
      <c r="K1352">
        <v>0</v>
      </c>
      <c r="L1352">
        <v>0</v>
      </c>
      <c r="M1352">
        <v>0</v>
      </c>
      <c r="N1352">
        <v>0</v>
      </c>
      <c r="O1352">
        <v>0</v>
      </c>
      <c r="P1352" t="str">
        <f t="shared" si="43"/>
        <v>Non Chronic</v>
      </c>
      <c r="Q1352">
        <v>1</v>
      </c>
      <c r="R1352">
        <v>0</v>
      </c>
      <c r="S1352" t="s">
        <v>30</v>
      </c>
    </row>
    <row r="1353" spans="1:19" x14ac:dyDescent="0.3">
      <c r="A1353">
        <v>501352</v>
      </c>
      <c r="B1353">
        <v>67936</v>
      </c>
      <c r="C1353" t="s">
        <v>4</v>
      </c>
      <c r="D1353" t="s">
        <v>14</v>
      </c>
      <c r="E1353" s="1">
        <v>46027</v>
      </c>
      <c r="F1353" t="s">
        <v>165</v>
      </c>
      <c r="G1353" s="1">
        <v>46037</v>
      </c>
      <c r="H1353" s="1" t="str">
        <f t="shared" si="42"/>
        <v>Thursday</v>
      </c>
      <c r="I1353">
        <v>1</v>
      </c>
      <c r="J1353" t="s">
        <v>45</v>
      </c>
      <c r="K1353">
        <v>0</v>
      </c>
      <c r="L1353">
        <v>0</v>
      </c>
      <c r="M1353">
        <v>0</v>
      </c>
      <c r="N1353">
        <v>0</v>
      </c>
      <c r="O1353">
        <v>0</v>
      </c>
      <c r="P1353" t="str">
        <f t="shared" si="43"/>
        <v>Non Chronic</v>
      </c>
      <c r="Q1353">
        <v>1</v>
      </c>
      <c r="R1353">
        <v>1</v>
      </c>
      <c r="S1353" t="s">
        <v>30</v>
      </c>
    </row>
    <row r="1354" spans="1:19" x14ac:dyDescent="0.3">
      <c r="A1354">
        <v>501353</v>
      </c>
      <c r="B1354">
        <v>30016</v>
      </c>
      <c r="C1354" t="s">
        <v>8</v>
      </c>
      <c r="D1354" t="s">
        <v>25</v>
      </c>
      <c r="E1354" s="1">
        <v>46043</v>
      </c>
      <c r="F1354" t="s">
        <v>164</v>
      </c>
      <c r="G1354" s="1">
        <v>46046</v>
      </c>
      <c r="H1354" s="1" t="str">
        <f t="shared" si="42"/>
        <v>Saturday</v>
      </c>
      <c r="I1354">
        <v>48</v>
      </c>
      <c r="J1354" t="s">
        <v>31</v>
      </c>
      <c r="K1354">
        <v>1</v>
      </c>
      <c r="L1354">
        <v>0</v>
      </c>
      <c r="M1354">
        <v>0</v>
      </c>
      <c r="N1354">
        <v>1</v>
      </c>
      <c r="O1354">
        <v>0</v>
      </c>
      <c r="P1354" t="str">
        <f t="shared" si="43"/>
        <v>Non Chronic</v>
      </c>
      <c r="Q1354">
        <v>0</v>
      </c>
      <c r="R1354">
        <v>0</v>
      </c>
      <c r="S1354" t="s">
        <v>0</v>
      </c>
    </row>
    <row r="1355" spans="1:19" x14ac:dyDescent="0.3">
      <c r="A1355">
        <v>501354</v>
      </c>
      <c r="B1355">
        <v>39522</v>
      </c>
      <c r="C1355" t="s">
        <v>4</v>
      </c>
      <c r="D1355" t="s">
        <v>14</v>
      </c>
      <c r="E1355" s="1">
        <v>46113</v>
      </c>
      <c r="F1355" t="s">
        <v>160</v>
      </c>
      <c r="G1355" s="1">
        <v>46120</v>
      </c>
      <c r="H1355" s="1" t="str">
        <f t="shared" si="42"/>
        <v>Wednesday</v>
      </c>
      <c r="I1355">
        <v>53</v>
      </c>
      <c r="J1355" t="s">
        <v>20</v>
      </c>
      <c r="K1355">
        <v>1</v>
      </c>
      <c r="L1355">
        <v>1</v>
      </c>
      <c r="M1355">
        <v>0</v>
      </c>
      <c r="N1355">
        <v>0</v>
      </c>
      <c r="O1355">
        <v>0</v>
      </c>
      <c r="P1355" t="str">
        <f t="shared" si="43"/>
        <v>Chronic</v>
      </c>
      <c r="Q1355">
        <v>1</v>
      </c>
      <c r="R1355">
        <v>1</v>
      </c>
      <c r="S1355" t="s">
        <v>0</v>
      </c>
    </row>
    <row r="1356" spans="1:19" x14ac:dyDescent="0.3">
      <c r="A1356">
        <v>501355</v>
      </c>
      <c r="B1356">
        <v>81712</v>
      </c>
      <c r="C1356" t="s">
        <v>8</v>
      </c>
      <c r="D1356" t="s">
        <v>36</v>
      </c>
      <c r="E1356" s="1">
        <v>46045</v>
      </c>
      <c r="F1356" t="s">
        <v>163</v>
      </c>
      <c r="G1356" s="1">
        <v>46050</v>
      </c>
      <c r="H1356" s="1" t="str">
        <f t="shared" si="42"/>
        <v>Wednesday</v>
      </c>
      <c r="I1356">
        <v>26</v>
      </c>
      <c r="J1356" t="s">
        <v>15</v>
      </c>
      <c r="K1356">
        <v>0</v>
      </c>
      <c r="L1356">
        <v>0</v>
      </c>
      <c r="M1356">
        <v>0</v>
      </c>
      <c r="N1356">
        <v>0</v>
      </c>
      <c r="O1356">
        <v>0</v>
      </c>
      <c r="P1356" t="str">
        <f t="shared" si="43"/>
        <v>Non Chronic</v>
      </c>
      <c r="Q1356">
        <v>1</v>
      </c>
      <c r="R1356">
        <v>0</v>
      </c>
      <c r="S1356" t="s">
        <v>22</v>
      </c>
    </row>
    <row r="1357" spans="1:19" x14ac:dyDescent="0.3">
      <c r="A1357">
        <v>501356</v>
      </c>
      <c r="B1357">
        <v>52160</v>
      </c>
      <c r="C1357" t="s">
        <v>8</v>
      </c>
      <c r="D1357" t="s">
        <v>36</v>
      </c>
      <c r="E1357" s="1">
        <v>46119</v>
      </c>
      <c r="F1357" t="s">
        <v>162</v>
      </c>
      <c r="G1357" s="1">
        <v>46139</v>
      </c>
      <c r="H1357" s="1" t="str">
        <f t="shared" si="42"/>
        <v>Monday</v>
      </c>
      <c r="I1357">
        <v>0</v>
      </c>
      <c r="J1357" t="s">
        <v>31</v>
      </c>
      <c r="K1357">
        <v>0</v>
      </c>
      <c r="L1357">
        <v>0</v>
      </c>
      <c r="M1357">
        <v>0</v>
      </c>
      <c r="N1357">
        <v>0</v>
      </c>
      <c r="O1357">
        <v>0</v>
      </c>
      <c r="P1357" t="str">
        <f t="shared" si="43"/>
        <v>Non Chronic</v>
      </c>
      <c r="Q1357">
        <v>1</v>
      </c>
      <c r="R1357">
        <v>1</v>
      </c>
      <c r="S1357" t="s">
        <v>30</v>
      </c>
    </row>
    <row r="1358" spans="1:19" x14ac:dyDescent="0.3">
      <c r="A1358">
        <v>501357</v>
      </c>
      <c r="B1358">
        <v>10448</v>
      </c>
      <c r="C1358" t="s">
        <v>4</v>
      </c>
      <c r="D1358" t="s">
        <v>3</v>
      </c>
      <c r="E1358" s="1">
        <v>46039</v>
      </c>
      <c r="F1358" t="s">
        <v>84</v>
      </c>
      <c r="G1358" s="1">
        <v>46049</v>
      </c>
      <c r="H1358" s="1" t="str">
        <f t="shared" si="42"/>
        <v>Tuesday</v>
      </c>
      <c r="I1358">
        <v>27</v>
      </c>
      <c r="J1358" t="s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 t="str">
        <f t="shared" si="43"/>
        <v>Non Chronic</v>
      </c>
      <c r="Q1358">
        <v>1</v>
      </c>
      <c r="R1358">
        <v>0</v>
      </c>
      <c r="S1358" t="s">
        <v>22</v>
      </c>
    </row>
    <row r="1359" spans="1:19" x14ac:dyDescent="0.3">
      <c r="A1359">
        <v>501358</v>
      </c>
      <c r="B1359">
        <v>12594</v>
      </c>
      <c r="C1359" t="s">
        <v>8</v>
      </c>
      <c r="D1359" t="s">
        <v>3</v>
      </c>
      <c r="E1359" s="1">
        <v>46020</v>
      </c>
      <c r="F1359" t="s">
        <v>161</v>
      </c>
      <c r="G1359" s="1">
        <v>46030</v>
      </c>
      <c r="H1359" s="1" t="str">
        <f t="shared" si="42"/>
        <v>Thursday</v>
      </c>
      <c r="I1359">
        <v>45</v>
      </c>
      <c r="J1359" t="s">
        <v>5</v>
      </c>
      <c r="K1359">
        <v>1</v>
      </c>
      <c r="L1359">
        <v>0</v>
      </c>
      <c r="M1359">
        <v>0</v>
      </c>
      <c r="N1359">
        <v>0</v>
      </c>
      <c r="O1359">
        <v>0</v>
      </c>
      <c r="P1359" t="str">
        <f t="shared" si="43"/>
        <v>Non Chronic</v>
      </c>
      <c r="Q1359">
        <v>1</v>
      </c>
      <c r="R1359">
        <v>0</v>
      </c>
      <c r="S1359" t="s">
        <v>0</v>
      </c>
    </row>
    <row r="1360" spans="1:19" x14ac:dyDescent="0.3">
      <c r="A1360">
        <v>501359</v>
      </c>
      <c r="B1360">
        <v>93453</v>
      </c>
      <c r="C1360" t="s">
        <v>8</v>
      </c>
      <c r="D1360" t="s">
        <v>7</v>
      </c>
      <c r="E1360" s="1">
        <v>46047</v>
      </c>
      <c r="F1360" t="s">
        <v>160</v>
      </c>
      <c r="G1360" s="1">
        <v>46052</v>
      </c>
      <c r="H1360" s="1" t="str">
        <f t="shared" si="42"/>
        <v>Friday</v>
      </c>
      <c r="I1360">
        <v>8</v>
      </c>
      <c r="J1360" t="s">
        <v>31</v>
      </c>
      <c r="K1360">
        <v>0</v>
      </c>
      <c r="L1360">
        <v>0</v>
      </c>
      <c r="M1360">
        <v>0</v>
      </c>
      <c r="N1360">
        <v>0</v>
      </c>
      <c r="O1360">
        <v>0</v>
      </c>
      <c r="P1360" t="str">
        <f t="shared" si="43"/>
        <v>Non Chronic</v>
      </c>
      <c r="Q1360">
        <v>0</v>
      </c>
      <c r="R1360">
        <v>1</v>
      </c>
      <c r="S1360" t="s">
        <v>30</v>
      </c>
    </row>
    <row r="1361" spans="1:19" x14ac:dyDescent="0.3">
      <c r="A1361">
        <v>501360</v>
      </c>
      <c r="B1361">
        <v>47599</v>
      </c>
      <c r="C1361" t="s">
        <v>4</v>
      </c>
      <c r="D1361" t="s">
        <v>3</v>
      </c>
      <c r="E1361" s="1">
        <v>46022</v>
      </c>
      <c r="F1361" t="s">
        <v>159</v>
      </c>
      <c r="G1361" s="1">
        <v>46037</v>
      </c>
      <c r="H1361" s="1" t="str">
        <f t="shared" si="42"/>
        <v>Thursday</v>
      </c>
      <c r="I1361">
        <v>41</v>
      </c>
      <c r="J1361" t="s">
        <v>5</v>
      </c>
      <c r="K1361">
        <v>0</v>
      </c>
      <c r="L1361">
        <v>0</v>
      </c>
      <c r="M1361">
        <v>0</v>
      </c>
      <c r="N1361">
        <v>1</v>
      </c>
      <c r="O1361">
        <v>0</v>
      </c>
      <c r="P1361" t="str">
        <f t="shared" si="43"/>
        <v>Non Chronic</v>
      </c>
      <c r="Q1361">
        <v>1</v>
      </c>
      <c r="R1361">
        <v>0</v>
      </c>
      <c r="S1361" t="s">
        <v>0</v>
      </c>
    </row>
    <row r="1362" spans="1:19" x14ac:dyDescent="0.3">
      <c r="A1362">
        <v>501361</v>
      </c>
      <c r="B1362">
        <v>80975</v>
      </c>
      <c r="C1362" t="s">
        <v>4</v>
      </c>
      <c r="D1362" t="s">
        <v>3</v>
      </c>
      <c r="E1362" s="1">
        <v>46050</v>
      </c>
      <c r="F1362" t="s">
        <v>158</v>
      </c>
      <c r="G1362" s="1">
        <v>46053</v>
      </c>
      <c r="H1362" s="1" t="str">
        <f t="shared" si="42"/>
        <v>Saturday</v>
      </c>
      <c r="I1362">
        <v>37</v>
      </c>
      <c r="J1362" t="s">
        <v>31</v>
      </c>
      <c r="K1362">
        <v>1</v>
      </c>
      <c r="L1362">
        <v>0</v>
      </c>
      <c r="M1362">
        <v>0</v>
      </c>
      <c r="N1362">
        <v>0</v>
      </c>
      <c r="O1362">
        <v>0</v>
      </c>
      <c r="P1362" t="str">
        <f t="shared" si="43"/>
        <v>Non Chronic</v>
      </c>
      <c r="Q1362">
        <v>0</v>
      </c>
      <c r="R1362">
        <v>0</v>
      </c>
      <c r="S1362" t="s">
        <v>22</v>
      </c>
    </row>
    <row r="1363" spans="1:19" x14ac:dyDescent="0.3">
      <c r="A1363">
        <v>501362</v>
      </c>
      <c r="B1363">
        <v>69285</v>
      </c>
      <c r="C1363" t="s">
        <v>8</v>
      </c>
      <c r="D1363" t="s">
        <v>3</v>
      </c>
      <c r="E1363" s="1">
        <v>46060</v>
      </c>
      <c r="F1363" t="s">
        <v>157</v>
      </c>
      <c r="G1363" s="1">
        <v>46065</v>
      </c>
      <c r="H1363" s="1" t="str">
        <f t="shared" si="42"/>
        <v>Thursday</v>
      </c>
      <c r="I1363">
        <v>49</v>
      </c>
      <c r="J1363" t="s">
        <v>10</v>
      </c>
      <c r="K1363">
        <v>1</v>
      </c>
      <c r="L1363">
        <v>1</v>
      </c>
      <c r="M1363">
        <v>0</v>
      </c>
      <c r="N1363">
        <v>0</v>
      </c>
      <c r="O1363">
        <v>0</v>
      </c>
      <c r="P1363" t="str">
        <f t="shared" si="43"/>
        <v>Chronic</v>
      </c>
      <c r="Q1363">
        <v>1</v>
      </c>
      <c r="R1363">
        <v>0</v>
      </c>
      <c r="S1363" t="s">
        <v>0</v>
      </c>
    </row>
    <row r="1364" spans="1:19" x14ac:dyDescent="0.3">
      <c r="A1364">
        <v>501363</v>
      </c>
      <c r="B1364">
        <v>84499</v>
      </c>
      <c r="C1364" t="s">
        <v>4</v>
      </c>
      <c r="D1364" t="s">
        <v>19</v>
      </c>
      <c r="E1364" s="1">
        <v>46130</v>
      </c>
      <c r="F1364" t="s">
        <v>156</v>
      </c>
      <c r="G1364" s="1">
        <v>46132</v>
      </c>
      <c r="H1364" s="1" t="str">
        <f t="shared" si="42"/>
        <v>Monday</v>
      </c>
      <c r="I1364">
        <v>40</v>
      </c>
      <c r="J1364" t="s">
        <v>10</v>
      </c>
      <c r="K1364">
        <v>1</v>
      </c>
      <c r="L1364">
        <v>0</v>
      </c>
      <c r="M1364">
        <v>0</v>
      </c>
      <c r="N1364">
        <v>0</v>
      </c>
      <c r="O1364">
        <v>0</v>
      </c>
      <c r="P1364" t="str">
        <f t="shared" si="43"/>
        <v>Non Chronic</v>
      </c>
      <c r="Q1364">
        <v>1</v>
      </c>
      <c r="R1364">
        <v>0</v>
      </c>
      <c r="S1364" t="s">
        <v>22</v>
      </c>
    </row>
    <row r="1365" spans="1:19" x14ac:dyDescent="0.3">
      <c r="A1365">
        <v>501364</v>
      </c>
      <c r="B1365">
        <v>81149</v>
      </c>
      <c r="C1365" t="s">
        <v>8</v>
      </c>
      <c r="D1365" t="s">
        <v>25</v>
      </c>
      <c r="E1365" s="1">
        <v>46163</v>
      </c>
      <c r="F1365" t="s">
        <v>155</v>
      </c>
      <c r="G1365" s="1">
        <v>46166</v>
      </c>
      <c r="H1365" s="1" t="str">
        <f t="shared" si="42"/>
        <v>Sunday</v>
      </c>
      <c r="I1365">
        <v>18</v>
      </c>
      <c r="J1365" t="s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 t="str">
        <f t="shared" si="43"/>
        <v>Non Chronic</v>
      </c>
      <c r="Q1365">
        <v>1</v>
      </c>
      <c r="R1365">
        <v>0</v>
      </c>
      <c r="S1365" t="s">
        <v>30</v>
      </c>
    </row>
    <row r="1366" spans="1:19" x14ac:dyDescent="0.3">
      <c r="A1366">
        <v>501365</v>
      </c>
      <c r="B1366">
        <v>30541</v>
      </c>
      <c r="C1366" t="s">
        <v>8</v>
      </c>
      <c r="D1366" t="s">
        <v>3</v>
      </c>
      <c r="E1366" s="1">
        <v>46044</v>
      </c>
      <c r="F1366" t="s">
        <v>154</v>
      </c>
      <c r="G1366" s="1">
        <v>46074</v>
      </c>
      <c r="H1366" s="1" t="str">
        <f t="shared" si="42"/>
        <v>Saturday</v>
      </c>
      <c r="I1366">
        <v>61</v>
      </c>
      <c r="J1366" t="s">
        <v>31</v>
      </c>
      <c r="K1366">
        <v>1</v>
      </c>
      <c r="L1366">
        <v>1</v>
      </c>
      <c r="M1366">
        <v>1</v>
      </c>
      <c r="N1366">
        <v>0</v>
      </c>
      <c r="O1366">
        <v>0</v>
      </c>
      <c r="P1366" t="str">
        <f t="shared" si="43"/>
        <v>Chronic</v>
      </c>
      <c r="Q1366">
        <v>1</v>
      </c>
      <c r="R1366">
        <v>0</v>
      </c>
      <c r="S1366" t="s">
        <v>9</v>
      </c>
    </row>
    <row r="1367" spans="1:19" x14ac:dyDescent="0.3">
      <c r="A1367">
        <v>501366</v>
      </c>
      <c r="B1367">
        <v>94048</v>
      </c>
      <c r="C1367" t="s">
        <v>8</v>
      </c>
      <c r="D1367" t="s">
        <v>14</v>
      </c>
      <c r="E1367" s="1">
        <v>46143</v>
      </c>
      <c r="F1367" t="s">
        <v>153</v>
      </c>
      <c r="G1367" s="1">
        <v>46145</v>
      </c>
      <c r="H1367" s="1" t="str">
        <f t="shared" si="42"/>
        <v>Sunday</v>
      </c>
      <c r="I1367">
        <v>34</v>
      </c>
      <c r="J1367" t="s">
        <v>31</v>
      </c>
      <c r="K1367">
        <v>1</v>
      </c>
      <c r="L1367">
        <v>0</v>
      </c>
      <c r="M1367">
        <v>0</v>
      </c>
      <c r="N1367">
        <v>0</v>
      </c>
      <c r="O1367">
        <v>0</v>
      </c>
      <c r="P1367" t="str">
        <f t="shared" si="43"/>
        <v>Non Chronic</v>
      </c>
      <c r="Q1367">
        <v>0</v>
      </c>
      <c r="R1367">
        <v>0</v>
      </c>
      <c r="S1367" t="s">
        <v>22</v>
      </c>
    </row>
    <row r="1368" spans="1:19" x14ac:dyDescent="0.3">
      <c r="A1368">
        <v>501367</v>
      </c>
      <c r="B1368">
        <v>73790</v>
      </c>
      <c r="C1368" t="s">
        <v>8</v>
      </c>
      <c r="D1368" t="s">
        <v>36</v>
      </c>
      <c r="E1368" s="1">
        <v>45996</v>
      </c>
      <c r="F1368" t="s">
        <v>152</v>
      </c>
      <c r="G1368" s="1">
        <v>45996</v>
      </c>
      <c r="H1368" s="1" t="str">
        <f t="shared" si="42"/>
        <v>Friday</v>
      </c>
      <c r="I1368">
        <v>37</v>
      </c>
      <c r="J1368" t="s">
        <v>15</v>
      </c>
      <c r="K1368">
        <v>0</v>
      </c>
      <c r="L1368">
        <v>0</v>
      </c>
      <c r="M1368">
        <v>0</v>
      </c>
      <c r="N1368">
        <v>0</v>
      </c>
      <c r="O1368">
        <v>0</v>
      </c>
      <c r="P1368" t="str">
        <f t="shared" si="43"/>
        <v>Non Chronic</v>
      </c>
      <c r="Q1368">
        <v>0</v>
      </c>
      <c r="R1368">
        <v>1</v>
      </c>
      <c r="S1368" t="s">
        <v>22</v>
      </c>
    </row>
    <row r="1369" spans="1:19" x14ac:dyDescent="0.3">
      <c r="A1369">
        <v>501368</v>
      </c>
      <c r="B1369">
        <v>21789</v>
      </c>
      <c r="C1369" t="s">
        <v>8</v>
      </c>
      <c r="D1369" t="s">
        <v>19</v>
      </c>
      <c r="E1369" s="1">
        <v>46156</v>
      </c>
      <c r="F1369" t="s">
        <v>151</v>
      </c>
      <c r="G1369" s="1">
        <v>46186</v>
      </c>
      <c r="H1369" s="1" t="str">
        <f t="shared" si="42"/>
        <v>Saturday</v>
      </c>
      <c r="I1369">
        <v>19</v>
      </c>
      <c r="J1369" t="s">
        <v>45</v>
      </c>
      <c r="K1369">
        <v>0</v>
      </c>
      <c r="L1369">
        <v>0</v>
      </c>
      <c r="M1369">
        <v>0</v>
      </c>
      <c r="N1369">
        <v>0</v>
      </c>
      <c r="O1369">
        <v>0</v>
      </c>
      <c r="P1369" t="str">
        <f t="shared" si="43"/>
        <v>Non Chronic</v>
      </c>
      <c r="Q1369">
        <v>1</v>
      </c>
      <c r="R1369">
        <v>1</v>
      </c>
      <c r="S1369" t="s">
        <v>22</v>
      </c>
    </row>
    <row r="1370" spans="1:19" x14ac:dyDescent="0.3">
      <c r="A1370">
        <v>501369</v>
      </c>
      <c r="B1370">
        <v>91688</v>
      </c>
      <c r="C1370" t="s">
        <v>8</v>
      </c>
      <c r="D1370" t="s">
        <v>7</v>
      </c>
      <c r="E1370" s="1">
        <v>46124</v>
      </c>
      <c r="F1370" t="s">
        <v>150</v>
      </c>
      <c r="G1370" s="1">
        <v>46126</v>
      </c>
      <c r="H1370" s="1" t="str">
        <f t="shared" si="42"/>
        <v>Tuesday</v>
      </c>
      <c r="I1370">
        <v>29</v>
      </c>
      <c r="J1370" t="s">
        <v>10</v>
      </c>
      <c r="K1370">
        <v>1</v>
      </c>
      <c r="L1370">
        <v>0</v>
      </c>
      <c r="M1370">
        <v>0</v>
      </c>
      <c r="N1370">
        <v>0</v>
      </c>
      <c r="O1370">
        <v>0</v>
      </c>
      <c r="P1370" t="str">
        <f t="shared" si="43"/>
        <v>Non Chronic</v>
      </c>
      <c r="Q1370">
        <v>1</v>
      </c>
      <c r="R1370">
        <v>0</v>
      </c>
      <c r="S1370" t="s">
        <v>22</v>
      </c>
    </row>
    <row r="1371" spans="1:19" x14ac:dyDescent="0.3">
      <c r="A1371">
        <v>501370</v>
      </c>
      <c r="B1371">
        <v>29925</v>
      </c>
      <c r="C1371" t="s">
        <v>4</v>
      </c>
      <c r="D1371" t="s">
        <v>3</v>
      </c>
      <c r="E1371" s="1">
        <v>45988</v>
      </c>
      <c r="F1371" t="s">
        <v>24</v>
      </c>
      <c r="G1371" s="1">
        <v>45989</v>
      </c>
      <c r="H1371" s="1" t="str">
        <f t="shared" si="42"/>
        <v>Friday</v>
      </c>
      <c r="I1371">
        <v>20</v>
      </c>
      <c r="J1371" t="s">
        <v>15</v>
      </c>
      <c r="K1371">
        <v>1</v>
      </c>
      <c r="L1371">
        <v>0</v>
      </c>
      <c r="M1371">
        <v>0</v>
      </c>
      <c r="N1371">
        <v>0</v>
      </c>
      <c r="O1371">
        <v>0</v>
      </c>
      <c r="P1371" t="str">
        <f t="shared" si="43"/>
        <v>Non Chronic</v>
      </c>
      <c r="Q1371">
        <v>1</v>
      </c>
      <c r="R1371">
        <v>0</v>
      </c>
      <c r="S1371" t="s">
        <v>22</v>
      </c>
    </row>
    <row r="1372" spans="1:19" x14ac:dyDescent="0.3">
      <c r="A1372">
        <v>501371</v>
      </c>
      <c r="B1372">
        <v>46861</v>
      </c>
      <c r="C1372" t="s">
        <v>4</v>
      </c>
      <c r="D1372" t="s">
        <v>58</v>
      </c>
      <c r="E1372" s="1">
        <v>45999</v>
      </c>
      <c r="F1372" t="s">
        <v>149</v>
      </c>
      <c r="G1372" s="1">
        <v>45999</v>
      </c>
      <c r="H1372" s="1" t="str">
        <f t="shared" si="42"/>
        <v>Monday</v>
      </c>
      <c r="I1372">
        <v>34</v>
      </c>
      <c r="J1372" t="s">
        <v>31</v>
      </c>
      <c r="K1372">
        <v>1</v>
      </c>
      <c r="L1372">
        <v>0</v>
      </c>
      <c r="M1372">
        <v>0</v>
      </c>
      <c r="N1372">
        <v>0</v>
      </c>
      <c r="O1372">
        <v>0</v>
      </c>
      <c r="P1372" t="str">
        <f t="shared" si="43"/>
        <v>Non Chronic</v>
      </c>
      <c r="Q1372">
        <v>0</v>
      </c>
      <c r="R1372">
        <v>0</v>
      </c>
      <c r="S1372" t="s">
        <v>22</v>
      </c>
    </row>
    <row r="1373" spans="1:19" x14ac:dyDescent="0.3">
      <c r="A1373">
        <v>501372</v>
      </c>
      <c r="B1373">
        <v>72505</v>
      </c>
      <c r="C1373" t="s">
        <v>4</v>
      </c>
      <c r="D1373" t="s">
        <v>36</v>
      </c>
      <c r="E1373" s="1">
        <v>46024</v>
      </c>
      <c r="F1373" t="s">
        <v>148</v>
      </c>
      <c r="G1373" s="1">
        <v>46054</v>
      </c>
      <c r="H1373" s="1" t="str">
        <f t="shared" si="42"/>
        <v>Sunday</v>
      </c>
      <c r="I1373">
        <v>72</v>
      </c>
      <c r="J1373" t="s">
        <v>1</v>
      </c>
      <c r="K1373">
        <v>1</v>
      </c>
      <c r="L1373">
        <v>0</v>
      </c>
      <c r="M1373">
        <v>0</v>
      </c>
      <c r="N1373">
        <v>0</v>
      </c>
      <c r="O1373">
        <v>0</v>
      </c>
      <c r="P1373" t="str">
        <f t="shared" si="43"/>
        <v>Non Chronic</v>
      </c>
      <c r="Q1373">
        <v>0</v>
      </c>
      <c r="R1373">
        <v>0</v>
      </c>
      <c r="S1373" t="s">
        <v>9</v>
      </c>
    </row>
    <row r="1374" spans="1:19" x14ac:dyDescent="0.3">
      <c r="A1374">
        <v>501373</v>
      </c>
      <c r="B1374">
        <v>54535</v>
      </c>
      <c r="C1374" t="s">
        <v>4</v>
      </c>
      <c r="D1374" t="s">
        <v>19</v>
      </c>
      <c r="E1374" s="1">
        <v>45982</v>
      </c>
      <c r="F1374" t="s">
        <v>147</v>
      </c>
      <c r="G1374" s="1">
        <v>45983</v>
      </c>
      <c r="H1374" s="1" t="str">
        <f t="shared" si="42"/>
        <v>Saturday</v>
      </c>
      <c r="I1374">
        <v>10</v>
      </c>
      <c r="J1374" t="s">
        <v>15</v>
      </c>
      <c r="K1374">
        <v>0</v>
      </c>
      <c r="L1374">
        <v>0</v>
      </c>
      <c r="M1374">
        <v>0</v>
      </c>
      <c r="N1374">
        <v>0</v>
      </c>
      <c r="O1374">
        <v>0</v>
      </c>
      <c r="P1374" t="str">
        <f t="shared" si="43"/>
        <v>Non Chronic</v>
      </c>
      <c r="Q1374">
        <v>1</v>
      </c>
      <c r="R1374">
        <v>0</v>
      </c>
      <c r="S1374" t="s">
        <v>30</v>
      </c>
    </row>
    <row r="1375" spans="1:19" x14ac:dyDescent="0.3">
      <c r="A1375">
        <v>501374</v>
      </c>
      <c r="B1375">
        <v>29593</v>
      </c>
      <c r="C1375" t="s">
        <v>4</v>
      </c>
      <c r="D1375" t="s">
        <v>14</v>
      </c>
      <c r="E1375" s="1">
        <v>46139</v>
      </c>
      <c r="F1375" t="s">
        <v>146</v>
      </c>
      <c r="G1375" s="1">
        <v>46141</v>
      </c>
      <c r="H1375" s="1" t="str">
        <f t="shared" si="42"/>
        <v>Wednesday</v>
      </c>
      <c r="I1375">
        <v>5</v>
      </c>
      <c r="J1375" t="s">
        <v>20</v>
      </c>
      <c r="K1375">
        <v>0</v>
      </c>
      <c r="L1375">
        <v>0</v>
      </c>
      <c r="M1375">
        <v>0</v>
      </c>
      <c r="N1375">
        <v>0</v>
      </c>
      <c r="O1375">
        <v>0</v>
      </c>
      <c r="P1375" t="str">
        <f t="shared" si="43"/>
        <v>Non Chronic</v>
      </c>
      <c r="Q1375">
        <v>0</v>
      </c>
      <c r="R1375">
        <v>0</v>
      </c>
      <c r="S1375" t="s">
        <v>30</v>
      </c>
    </row>
    <row r="1376" spans="1:19" x14ac:dyDescent="0.3">
      <c r="A1376">
        <v>501375</v>
      </c>
      <c r="B1376">
        <v>56492</v>
      </c>
      <c r="C1376" t="s">
        <v>8</v>
      </c>
      <c r="D1376" t="s">
        <v>36</v>
      </c>
      <c r="E1376" s="1">
        <v>46078</v>
      </c>
      <c r="F1376" t="s">
        <v>145</v>
      </c>
      <c r="G1376" s="1">
        <v>46108</v>
      </c>
      <c r="H1376" s="1" t="str">
        <f t="shared" si="42"/>
        <v>Friday</v>
      </c>
      <c r="I1376">
        <v>67</v>
      </c>
      <c r="J1376" t="s">
        <v>1</v>
      </c>
      <c r="K1376">
        <v>1</v>
      </c>
      <c r="L1376">
        <v>0</v>
      </c>
      <c r="M1376">
        <v>0</v>
      </c>
      <c r="N1376">
        <v>0</v>
      </c>
      <c r="O1376">
        <v>0</v>
      </c>
      <c r="P1376" t="str">
        <f t="shared" si="43"/>
        <v>Non Chronic</v>
      </c>
      <c r="Q1376">
        <v>0</v>
      </c>
      <c r="R1376">
        <v>1</v>
      </c>
      <c r="S1376" t="s">
        <v>9</v>
      </c>
    </row>
    <row r="1377" spans="1:19" x14ac:dyDescent="0.3">
      <c r="A1377">
        <v>501376</v>
      </c>
      <c r="B1377">
        <v>51755</v>
      </c>
      <c r="C1377" t="s">
        <v>4</v>
      </c>
      <c r="D1377" t="s">
        <v>36</v>
      </c>
      <c r="E1377" s="1">
        <v>46044</v>
      </c>
      <c r="F1377" t="s">
        <v>144</v>
      </c>
      <c r="G1377" s="1">
        <v>46074</v>
      </c>
      <c r="H1377" s="1" t="str">
        <f t="shared" si="42"/>
        <v>Saturday</v>
      </c>
      <c r="I1377">
        <v>33</v>
      </c>
      <c r="J1377" t="s">
        <v>45</v>
      </c>
      <c r="K1377">
        <v>1</v>
      </c>
      <c r="L1377">
        <v>0</v>
      </c>
      <c r="M1377">
        <v>0</v>
      </c>
      <c r="N1377">
        <v>0</v>
      </c>
      <c r="O1377">
        <v>0</v>
      </c>
      <c r="P1377" t="str">
        <f t="shared" si="43"/>
        <v>Non Chronic</v>
      </c>
      <c r="Q1377">
        <v>1</v>
      </c>
      <c r="R1377">
        <v>1</v>
      </c>
      <c r="S1377" t="s">
        <v>22</v>
      </c>
    </row>
    <row r="1378" spans="1:19" x14ac:dyDescent="0.3">
      <c r="A1378">
        <v>501377</v>
      </c>
      <c r="B1378">
        <v>96074</v>
      </c>
      <c r="C1378" t="s">
        <v>8</v>
      </c>
      <c r="D1378" t="s">
        <v>58</v>
      </c>
      <c r="E1378" s="1">
        <v>46036</v>
      </c>
      <c r="F1378" t="s">
        <v>143</v>
      </c>
      <c r="G1378" s="1">
        <v>46066</v>
      </c>
      <c r="H1378" s="1" t="str">
        <f t="shared" si="42"/>
        <v>Friday</v>
      </c>
      <c r="I1378">
        <v>24</v>
      </c>
      <c r="J1378" t="s">
        <v>20</v>
      </c>
      <c r="K1378">
        <v>0</v>
      </c>
      <c r="L1378">
        <v>0</v>
      </c>
      <c r="M1378">
        <v>0</v>
      </c>
      <c r="N1378">
        <v>0</v>
      </c>
      <c r="O1378">
        <v>0</v>
      </c>
      <c r="P1378" t="str">
        <f t="shared" si="43"/>
        <v>Non Chronic</v>
      </c>
      <c r="Q1378">
        <v>1</v>
      </c>
      <c r="R1378">
        <v>0</v>
      </c>
      <c r="S1378" t="s">
        <v>22</v>
      </c>
    </row>
    <row r="1379" spans="1:19" x14ac:dyDescent="0.3">
      <c r="A1379">
        <v>501378</v>
      </c>
      <c r="B1379">
        <v>12518</v>
      </c>
      <c r="C1379" t="s">
        <v>8</v>
      </c>
      <c r="D1379" t="s">
        <v>3</v>
      </c>
      <c r="E1379" s="1">
        <v>46016</v>
      </c>
      <c r="F1379" t="s">
        <v>142</v>
      </c>
      <c r="G1379" s="1">
        <v>46019</v>
      </c>
      <c r="H1379" s="1" t="str">
        <f t="shared" si="42"/>
        <v>Sunday</v>
      </c>
      <c r="I1379">
        <v>58</v>
      </c>
      <c r="J1379" t="s">
        <v>45</v>
      </c>
      <c r="K1379">
        <v>1</v>
      </c>
      <c r="L1379">
        <v>0</v>
      </c>
      <c r="M1379">
        <v>1</v>
      </c>
      <c r="N1379">
        <v>0</v>
      </c>
      <c r="O1379">
        <v>0</v>
      </c>
      <c r="P1379" t="str">
        <f t="shared" si="43"/>
        <v>Chronic</v>
      </c>
      <c r="Q1379">
        <v>0</v>
      </c>
      <c r="R1379">
        <v>0</v>
      </c>
      <c r="S1379" t="s">
        <v>0</v>
      </c>
    </row>
    <row r="1380" spans="1:19" x14ac:dyDescent="0.3">
      <c r="A1380">
        <v>501379</v>
      </c>
      <c r="B1380">
        <v>65641</v>
      </c>
      <c r="C1380" t="s">
        <v>8</v>
      </c>
      <c r="D1380" t="s">
        <v>19</v>
      </c>
      <c r="E1380" s="1">
        <v>46060</v>
      </c>
      <c r="F1380" t="s">
        <v>141</v>
      </c>
      <c r="G1380" s="1">
        <v>46065</v>
      </c>
      <c r="H1380" s="1" t="str">
        <f t="shared" si="42"/>
        <v>Thursday</v>
      </c>
      <c r="I1380">
        <v>25</v>
      </c>
      <c r="J1380" t="s">
        <v>31</v>
      </c>
      <c r="K1380">
        <v>1</v>
      </c>
      <c r="L1380">
        <v>0</v>
      </c>
      <c r="M1380">
        <v>0</v>
      </c>
      <c r="N1380">
        <v>0</v>
      </c>
      <c r="O1380">
        <v>0</v>
      </c>
      <c r="P1380" t="str">
        <f t="shared" si="43"/>
        <v>Non Chronic</v>
      </c>
      <c r="Q1380">
        <v>1</v>
      </c>
      <c r="R1380">
        <v>0</v>
      </c>
      <c r="S1380" t="s">
        <v>22</v>
      </c>
    </row>
    <row r="1381" spans="1:19" x14ac:dyDescent="0.3">
      <c r="A1381">
        <v>501380</v>
      </c>
      <c r="B1381">
        <v>68965</v>
      </c>
      <c r="C1381" t="s">
        <v>4</v>
      </c>
      <c r="D1381" t="s">
        <v>19</v>
      </c>
      <c r="E1381" s="1">
        <v>46139</v>
      </c>
      <c r="F1381" t="s">
        <v>140</v>
      </c>
      <c r="G1381" s="1">
        <v>46140</v>
      </c>
      <c r="H1381" s="1" t="str">
        <f t="shared" si="42"/>
        <v>Tuesday</v>
      </c>
      <c r="I1381">
        <v>74</v>
      </c>
      <c r="J1381" t="s">
        <v>12</v>
      </c>
      <c r="K1381">
        <v>0</v>
      </c>
      <c r="L1381">
        <v>1</v>
      </c>
      <c r="M1381">
        <v>1</v>
      </c>
      <c r="N1381">
        <v>0</v>
      </c>
      <c r="O1381">
        <v>0</v>
      </c>
      <c r="P1381" t="str">
        <f t="shared" si="43"/>
        <v>Chronic</v>
      </c>
      <c r="Q1381">
        <v>1</v>
      </c>
      <c r="R1381">
        <v>0</v>
      </c>
      <c r="S1381" t="s">
        <v>9</v>
      </c>
    </row>
    <row r="1382" spans="1:19" x14ac:dyDescent="0.3">
      <c r="A1382">
        <v>501381</v>
      </c>
      <c r="B1382">
        <v>41056</v>
      </c>
      <c r="C1382" t="s">
        <v>4</v>
      </c>
      <c r="D1382" t="s">
        <v>58</v>
      </c>
      <c r="E1382" s="1">
        <v>46022</v>
      </c>
      <c r="F1382" t="s">
        <v>139</v>
      </c>
      <c r="G1382" s="1">
        <v>46022</v>
      </c>
      <c r="H1382" s="1" t="str">
        <f t="shared" si="42"/>
        <v>Wednesday</v>
      </c>
      <c r="I1382">
        <v>51</v>
      </c>
      <c r="J1382" t="s">
        <v>17</v>
      </c>
      <c r="K1382">
        <v>0</v>
      </c>
      <c r="L1382">
        <v>0</v>
      </c>
      <c r="M1382">
        <v>0</v>
      </c>
      <c r="N1382">
        <v>0</v>
      </c>
      <c r="O1382">
        <v>0</v>
      </c>
      <c r="P1382" t="str">
        <f t="shared" si="43"/>
        <v>Non Chronic</v>
      </c>
      <c r="Q1382">
        <v>1</v>
      </c>
      <c r="R1382">
        <v>0</v>
      </c>
      <c r="S1382" t="s">
        <v>0</v>
      </c>
    </row>
    <row r="1383" spans="1:19" x14ac:dyDescent="0.3">
      <c r="A1383">
        <v>501382</v>
      </c>
      <c r="B1383">
        <v>70393</v>
      </c>
      <c r="C1383" t="s">
        <v>8</v>
      </c>
      <c r="D1383" t="s">
        <v>58</v>
      </c>
      <c r="E1383" s="1">
        <v>46067</v>
      </c>
      <c r="F1383" t="s">
        <v>96</v>
      </c>
      <c r="G1383" s="1">
        <v>46068</v>
      </c>
      <c r="H1383" s="1" t="str">
        <f t="shared" si="42"/>
        <v>Sunday</v>
      </c>
      <c r="I1383">
        <v>28</v>
      </c>
      <c r="J1383" t="s">
        <v>1</v>
      </c>
      <c r="K1383">
        <v>0</v>
      </c>
      <c r="L1383">
        <v>0</v>
      </c>
      <c r="M1383">
        <v>0</v>
      </c>
      <c r="N1383">
        <v>1</v>
      </c>
      <c r="O1383">
        <v>0</v>
      </c>
      <c r="P1383" t="str">
        <f t="shared" si="43"/>
        <v>Non Chronic</v>
      </c>
      <c r="Q1383">
        <v>0</v>
      </c>
      <c r="R1383">
        <v>0</v>
      </c>
      <c r="S1383" t="s">
        <v>22</v>
      </c>
    </row>
    <row r="1384" spans="1:19" x14ac:dyDescent="0.3">
      <c r="A1384">
        <v>501383</v>
      </c>
      <c r="B1384">
        <v>34323</v>
      </c>
      <c r="C1384" t="s">
        <v>4</v>
      </c>
      <c r="D1384" t="s">
        <v>58</v>
      </c>
      <c r="E1384" s="1">
        <v>46094</v>
      </c>
      <c r="F1384" t="s">
        <v>138</v>
      </c>
      <c r="G1384" s="1">
        <v>46097</v>
      </c>
      <c r="H1384" s="1" t="str">
        <f t="shared" si="42"/>
        <v>Monday</v>
      </c>
      <c r="I1384">
        <v>81</v>
      </c>
      <c r="J1384" t="s">
        <v>17</v>
      </c>
      <c r="K1384">
        <v>1</v>
      </c>
      <c r="L1384">
        <v>0</v>
      </c>
      <c r="M1384">
        <v>0</v>
      </c>
      <c r="N1384">
        <v>1</v>
      </c>
      <c r="O1384">
        <v>0</v>
      </c>
      <c r="P1384" t="str">
        <f t="shared" si="43"/>
        <v>Non Chronic</v>
      </c>
      <c r="Q1384">
        <v>1</v>
      </c>
      <c r="R1384">
        <v>0</v>
      </c>
      <c r="S1384" t="s">
        <v>9</v>
      </c>
    </row>
    <row r="1385" spans="1:19" x14ac:dyDescent="0.3">
      <c r="A1385">
        <v>501384</v>
      </c>
      <c r="B1385">
        <v>35860</v>
      </c>
      <c r="C1385" t="s">
        <v>8</v>
      </c>
      <c r="D1385" t="s">
        <v>28</v>
      </c>
      <c r="E1385" s="1">
        <v>46115</v>
      </c>
      <c r="F1385" t="s">
        <v>137</v>
      </c>
      <c r="G1385" s="1">
        <v>46122</v>
      </c>
      <c r="H1385" s="1" t="str">
        <f t="shared" si="42"/>
        <v>Friday</v>
      </c>
      <c r="I1385">
        <v>25</v>
      </c>
      <c r="J1385" t="s">
        <v>10</v>
      </c>
      <c r="K1385">
        <v>1</v>
      </c>
      <c r="L1385">
        <v>0</v>
      </c>
      <c r="M1385">
        <v>0</v>
      </c>
      <c r="N1385">
        <v>0</v>
      </c>
      <c r="O1385">
        <v>0</v>
      </c>
      <c r="P1385" t="str">
        <f t="shared" si="43"/>
        <v>Non Chronic</v>
      </c>
      <c r="Q1385">
        <v>0</v>
      </c>
      <c r="R1385">
        <v>0</v>
      </c>
      <c r="S1385" t="s">
        <v>22</v>
      </c>
    </row>
    <row r="1386" spans="1:19" x14ac:dyDescent="0.3">
      <c r="A1386">
        <v>501385</v>
      </c>
      <c r="B1386">
        <v>76530</v>
      </c>
      <c r="C1386" t="s">
        <v>4</v>
      </c>
      <c r="D1386" t="s">
        <v>58</v>
      </c>
      <c r="E1386" s="1">
        <v>46039</v>
      </c>
      <c r="F1386" t="s">
        <v>136</v>
      </c>
      <c r="G1386" s="1">
        <v>46040</v>
      </c>
      <c r="H1386" s="1" t="str">
        <f t="shared" si="42"/>
        <v>Sunday</v>
      </c>
      <c r="I1386">
        <v>52</v>
      </c>
      <c r="J1386" t="s">
        <v>31</v>
      </c>
      <c r="K1386">
        <v>0</v>
      </c>
      <c r="L1386">
        <v>1</v>
      </c>
      <c r="M1386">
        <v>0</v>
      </c>
      <c r="N1386">
        <v>0</v>
      </c>
      <c r="O1386">
        <v>0</v>
      </c>
      <c r="P1386" t="str">
        <f t="shared" si="43"/>
        <v>Chronic</v>
      </c>
      <c r="Q1386">
        <v>1</v>
      </c>
      <c r="R1386">
        <v>0</v>
      </c>
      <c r="S1386" t="s">
        <v>0</v>
      </c>
    </row>
    <row r="1387" spans="1:19" x14ac:dyDescent="0.3">
      <c r="A1387">
        <v>501386</v>
      </c>
      <c r="B1387">
        <v>34667</v>
      </c>
      <c r="C1387" t="s">
        <v>4</v>
      </c>
      <c r="D1387" t="s">
        <v>19</v>
      </c>
      <c r="E1387" s="1">
        <v>46050</v>
      </c>
      <c r="F1387" t="s">
        <v>135</v>
      </c>
      <c r="G1387" s="1">
        <v>46052</v>
      </c>
      <c r="H1387" s="1" t="str">
        <f t="shared" si="42"/>
        <v>Friday</v>
      </c>
      <c r="I1387">
        <v>43</v>
      </c>
      <c r="J1387" t="s">
        <v>45</v>
      </c>
      <c r="K1387">
        <v>0</v>
      </c>
      <c r="L1387">
        <v>0</v>
      </c>
      <c r="M1387">
        <v>0</v>
      </c>
      <c r="N1387">
        <v>0</v>
      </c>
      <c r="O1387">
        <v>0</v>
      </c>
      <c r="P1387" t="str">
        <f t="shared" si="43"/>
        <v>Non Chronic</v>
      </c>
      <c r="Q1387">
        <v>1</v>
      </c>
      <c r="R1387">
        <v>0</v>
      </c>
      <c r="S1387" t="s">
        <v>0</v>
      </c>
    </row>
    <row r="1388" spans="1:19" x14ac:dyDescent="0.3">
      <c r="A1388">
        <v>501387</v>
      </c>
      <c r="B1388">
        <v>38607</v>
      </c>
      <c r="C1388" t="s">
        <v>8</v>
      </c>
      <c r="D1388" t="s">
        <v>25</v>
      </c>
      <c r="E1388" s="1">
        <v>46034</v>
      </c>
      <c r="F1388" t="s">
        <v>134</v>
      </c>
      <c r="G1388" s="1">
        <v>46044</v>
      </c>
      <c r="H1388" s="1" t="str">
        <f t="shared" si="42"/>
        <v>Thursday</v>
      </c>
      <c r="I1388">
        <v>64</v>
      </c>
      <c r="J1388" t="s">
        <v>20</v>
      </c>
      <c r="K1388">
        <v>0</v>
      </c>
      <c r="L1388">
        <v>0</v>
      </c>
      <c r="M1388">
        <v>0</v>
      </c>
      <c r="N1388">
        <v>0</v>
      </c>
      <c r="O1388">
        <v>0</v>
      </c>
      <c r="P1388" t="str">
        <f t="shared" si="43"/>
        <v>Non Chronic</v>
      </c>
      <c r="Q1388">
        <v>1</v>
      </c>
      <c r="R1388">
        <v>1</v>
      </c>
      <c r="S1388" t="s">
        <v>9</v>
      </c>
    </row>
    <row r="1389" spans="1:19" x14ac:dyDescent="0.3">
      <c r="A1389">
        <v>501388</v>
      </c>
      <c r="B1389">
        <v>55118</v>
      </c>
      <c r="C1389" t="s">
        <v>4</v>
      </c>
      <c r="D1389" t="s">
        <v>3</v>
      </c>
      <c r="E1389" s="1">
        <v>46016</v>
      </c>
      <c r="F1389" t="s">
        <v>133</v>
      </c>
      <c r="G1389" s="1">
        <v>46036</v>
      </c>
      <c r="H1389" s="1" t="str">
        <f t="shared" si="42"/>
        <v>Wednesday</v>
      </c>
      <c r="I1389">
        <v>69</v>
      </c>
      <c r="J1389" t="s">
        <v>15</v>
      </c>
      <c r="K1389">
        <v>1</v>
      </c>
      <c r="L1389">
        <v>1</v>
      </c>
      <c r="M1389">
        <v>0</v>
      </c>
      <c r="N1389">
        <v>0</v>
      </c>
      <c r="O1389">
        <v>0</v>
      </c>
      <c r="P1389" t="str">
        <f t="shared" si="43"/>
        <v>Chronic</v>
      </c>
      <c r="Q1389">
        <v>1</v>
      </c>
      <c r="R1389">
        <v>0</v>
      </c>
      <c r="S1389" t="s">
        <v>9</v>
      </c>
    </row>
    <row r="1390" spans="1:19" x14ac:dyDescent="0.3">
      <c r="A1390">
        <v>501389</v>
      </c>
      <c r="B1390">
        <v>98892</v>
      </c>
      <c r="C1390" t="s">
        <v>4</v>
      </c>
      <c r="D1390" t="s">
        <v>25</v>
      </c>
      <c r="E1390" s="1">
        <v>46132</v>
      </c>
      <c r="F1390" t="s">
        <v>132</v>
      </c>
      <c r="G1390" s="1">
        <v>46147</v>
      </c>
      <c r="H1390" s="1" t="str">
        <f t="shared" si="42"/>
        <v>Tuesday</v>
      </c>
      <c r="I1390">
        <v>38</v>
      </c>
      <c r="J1390" t="s">
        <v>20</v>
      </c>
      <c r="K1390">
        <v>1</v>
      </c>
      <c r="L1390">
        <v>0</v>
      </c>
      <c r="M1390">
        <v>0</v>
      </c>
      <c r="N1390">
        <v>0</v>
      </c>
      <c r="O1390">
        <v>0</v>
      </c>
      <c r="P1390" t="str">
        <f t="shared" si="43"/>
        <v>Non Chronic</v>
      </c>
      <c r="Q1390">
        <v>1</v>
      </c>
      <c r="R1390">
        <v>1</v>
      </c>
      <c r="S1390" t="s">
        <v>22</v>
      </c>
    </row>
    <row r="1391" spans="1:19" x14ac:dyDescent="0.3">
      <c r="A1391">
        <v>501390</v>
      </c>
      <c r="B1391">
        <v>74105</v>
      </c>
      <c r="C1391" t="s">
        <v>8</v>
      </c>
      <c r="D1391" t="s">
        <v>14</v>
      </c>
      <c r="E1391" s="1">
        <v>46134</v>
      </c>
      <c r="F1391" t="s">
        <v>131</v>
      </c>
      <c r="G1391" s="1">
        <v>46137</v>
      </c>
      <c r="H1391" s="1" t="str">
        <f t="shared" si="42"/>
        <v>Saturday</v>
      </c>
      <c r="I1391">
        <v>22</v>
      </c>
      <c r="J1391" t="s">
        <v>45</v>
      </c>
      <c r="K1391">
        <v>0</v>
      </c>
      <c r="L1391">
        <v>0</v>
      </c>
      <c r="M1391">
        <v>0</v>
      </c>
      <c r="N1391">
        <v>1</v>
      </c>
      <c r="O1391">
        <v>0</v>
      </c>
      <c r="P1391" t="str">
        <f t="shared" si="43"/>
        <v>Non Chronic</v>
      </c>
      <c r="Q1391">
        <v>1</v>
      </c>
      <c r="R1391">
        <v>0</v>
      </c>
      <c r="S1391" t="s">
        <v>22</v>
      </c>
    </row>
    <row r="1392" spans="1:19" x14ac:dyDescent="0.3">
      <c r="A1392">
        <v>501391</v>
      </c>
      <c r="B1392">
        <v>62853</v>
      </c>
      <c r="C1392" t="s">
        <v>8</v>
      </c>
      <c r="D1392" t="s">
        <v>7</v>
      </c>
      <c r="E1392" s="1">
        <v>46133</v>
      </c>
      <c r="F1392" t="s">
        <v>130</v>
      </c>
      <c r="G1392" s="1">
        <v>46133</v>
      </c>
      <c r="H1392" s="1" t="str">
        <f t="shared" si="42"/>
        <v>Tuesday</v>
      </c>
      <c r="I1392">
        <v>47</v>
      </c>
      <c r="J1392" t="s">
        <v>10</v>
      </c>
      <c r="K1392">
        <v>0</v>
      </c>
      <c r="L1392">
        <v>1</v>
      </c>
      <c r="M1392">
        <v>0</v>
      </c>
      <c r="N1392">
        <v>0</v>
      </c>
      <c r="O1392">
        <v>0</v>
      </c>
      <c r="P1392" t="str">
        <f t="shared" si="43"/>
        <v>Chronic</v>
      </c>
      <c r="Q1392">
        <v>1</v>
      </c>
      <c r="R1392">
        <v>0</v>
      </c>
      <c r="S1392" t="s">
        <v>0</v>
      </c>
    </row>
    <row r="1393" spans="1:19" x14ac:dyDescent="0.3">
      <c r="A1393">
        <v>501392</v>
      </c>
      <c r="B1393">
        <v>92862</v>
      </c>
      <c r="C1393" t="s">
        <v>4</v>
      </c>
      <c r="D1393" t="s">
        <v>3</v>
      </c>
      <c r="E1393" s="1">
        <v>46163</v>
      </c>
      <c r="F1393" t="s">
        <v>129</v>
      </c>
      <c r="G1393" s="1">
        <v>46178</v>
      </c>
      <c r="H1393" s="1" t="str">
        <f t="shared" si="42"/>
        <v>Friday</v>
      </c>
      <c r="I1393">
        <v>24</v>
      </c>
      <c r="J1393" t="s">
        <v>20</v>
      </c>
      <c r="K1393">
        <v>0</v>
      </c>
      <c r="L1393">
        <v>0</v>
      </c>
      <c r="M1393">
        <v>0</v>
      </c>
      <c r="N1393">
        <v>0</v>
      </c>
      <c r="O1393">
        <v>0</v>
      </c>
      <c r="P1393" t="str">
        <f t="shared" si="43"/>
        <v>Non Chronic</v>
      </c>
      <c r="Q1393">
        <v>0</v>
      </c>
      <c r="R1393">
        <v>1</v>
      </c>
      <c r="S1393" t="s">
        <v>22</v>
      </c>
    </row>
    <row r="1394" spans="1:19" x14ac:dyDescent="0.3">
      <c r="A1394">
        <v>501393</v>
      </c>
      <c r="B1394">
        <v>34105</v>
      </c>
      <c r="C1394" t="s">
        <v>4</v>
      </c>
      <c r="D1394" t="s">
        <v>58</v>
      </c>
      <c r="E1394" s="1">
        <v>46145</v>
      </c>
      <c r="F1394" t="s">
        <v>128</v>
      </c>
      <c r="G1394" s="1">
        <v>46146</v>
      </c>
      <c r="H1394" s="1" t="str">
        <f t="shared" si="42"/>
        <v>Monday</v>
      </c>
      <c r="I1394">
        <v>78</v>
      </c>
      <c r="J1394" t="s">
        <v>17</v>
      </c>
      <c r="K1394">
        <v>1</v>
      </c>
      <c r="L1394">
        <v>0</v>
      </c>
      <c r="M1394">
        <v>0</v>
      </c>
      <c r="N1394">
        <v>0</v>
      </c>
      <c r="O1394">
        <v>0</v>
      </c>
      <c r="P1394" t="str">
        <f t="shared" si="43"/>
        <v>Non Chronic</v>
      </c>
      <c r="Q1394">
        <v>0</v>
      </c>
      <c r="R1394">
        <v>0</v>
      </c>
      <c r="S1394" t="s">
        <v>9</v>
      </c>
    </row>
    <row r="1395" spans="1:19" x14ac:dyDescent="0.3">
      <c r="A1395">
        <v>501394</v>
      </c>
      <c r="B1395">
        <v>46394</v>
      </c>
      <c r="C1395" t="s">
        <v>4</v>
      </c>
      <c r="D1395" t="s">
        <v>14</v>
      </c>
      <c r="E1395" s="1">
        <v>46084</v>
      </c>
      <c r="F1395" t="s">
        <v>127</v>
      </c>
      <c r="G1395" s="1">
        <v>46104</v>
      </c>
      <c r="H1395" s="1" t="str">
        <f t="shared" si="42"/>
        <v>Monday</v>
      </c>
      <c r="I1395">
        <v>40</v>
      </c>
      <c r="J1395" t="s">
        <v>10</v>
      </c>
      <c r="K1395">
        <v>1</v>
      </c>
      <c r="L1395">
        <v>0</v>
      </c>
      <c r="M1395">
        <v>0</v>
      </c>
      <c r="N1395">
        <v>0</v>
      </c>
      <c r="O1395">
        <v>0</v>
      </c>
      <c r="P1395" t="str">
        <f t="shared" si="43"/>
        <v>Non Chronic</v>
      </c>
      <c r="Q1395">
        <v>1</v>
      </c>
      <c r="R1395">
        <v>0</v>
      </c>
      <c r="S1395" t="s">
        <v>22</v>
      </c>
    </row>
    <row r="1396" spans="1:19" x14ac:dyDescent="0.3">
      <c r="A1396">
        <v>501395</v>
      </c>
      <c r="B1396">
        <v>17832</v>
      </c>
      <c r="C1396" t="s">
        <v>8</v>
      </c>
      <c r="D1396" t="s">
        <v>58</v>
      </c>
      <c r="E1396" s="1">
        <v>46060</v>
      </c>
      <c r="F1396" t="s">
        <v>126</v>
      </c>
      <c r="G1396" s="1">
        <v>46067</v>
      </c>
      <c r="H1396" s="1" t="str">
        <f t="shared" si="42"/>
        <v>Saturday</v>
      </c>
      <c r="I1396">
        <v>30</v>
      </c>
      <c r="J1396" t="s">
        <v>15</v>
      </c>
      <c r="K1396">
        <v>1</v>
      </c>
      <c r="L1396">
        <v>0</v>
      </c>
      <c r="M1396">
        <v>0</v>
      </c>
      <c r="N1396">
        <v>0</v>
      </c>
      <c r="O1396">
        <v>0</v>
      </c>
      <c r="P1396" t="str">
        <f t="shared" si="43"/>
        <v>Non Chronic</v>
      </c>
      <c r="Q1396">
        <v>1</v>
      </c>
      <c r="R1396">
        <v>0</v>
      </c>
      <c r="S1396" t="s">
        <v>22</v>
      </c>
    </row>
    <row r="1397" spans="1:19" x14ac:dyDescent="0.3">
      <c r="A1397">
        <v>501396</v>
      </c>
      <c r="B1397">
        <v>74779</v>
      </c>
      <c r="C1397" t="s">
        <v>4</v>
      </c>
      <c r="D1397" t="s">
        <v>3</v>
      </c>
      <c r="E1397" s="1">
        <v>46113</v>
      </c>
      <c r="F1397" t="s">
        <v>125</v>
      </c>
      <c r="G1397" s="1">
        <v>46116</v>
      </c>
      <c r="H1397" s="1" t="str">
        <f t="shared" si="42"/>
        <v>Saturday</v>
      </c>
      <c r="I1397">
        <v>41</v>
      </c>
      <c r="J1397" t="s">
        <v>10</v>
      </c>
      <c r="K1397">
        <v>0</v>
      </c>
      <c r="L1397">
        <v>0</v>
      </c>
      <c r="M1397">
        <v>0</v>
      </c>
      <c r="N1397">
        <v>0</v>
      </c>
      <c r="O1397">
        <v>0</v>
      </c>
      <c r="P1397" t="str">
        <f t="shared" si="43"/>
        <v>Non Chronic</v>
      </c>
      <c r="Q1397">
        <v>1</v>
      </c>
      <c r="R1397">
        <v>0</v>
      </c>
      <c r="S1397" t="s">
        <v>0</v>
      </c>
    </row>
    <row r="1398" spans="1:19" x14ac:dyDescent="0.3">
      <c r="A1398">
        <v>501397</v>
      </c>
      <c r="B1398">
        <v>90167</v>
      </c>
      <c r="C1398" t="s">
        <v>4</v>
      </c>
      <c r="D1398" t="s">
        <v>28</v>
      </c>
      <c r="E1398" s="1">
        <v>46124</v>
      </c>
      <c r="F1398" t="s">
        <v>124</v>
      </c>
      <c r="G1398" s="1">
        <v>46126</v>
      </c>
      <c r="H1398" s="1" t="str">
        <f t="shared" si="42"/>
        <v>Tuesday</v>
      </c>
      <c r="I1398">
        <v>11</v>
      </c>
      <c r="J1398" t="s">
        <v>12</v>
      </c>
      <c r="K1398">
        <v>0</v>
      </c>
      <c r="L1398">
        <v>0</v>
      </c>
      <c r="M1398">
        <v>0</v>
      </c>
      <c r="N1398">
        <v>0</v>
      </c>
      <c r="O1398">
        <v>0</v>
      </c>
      <c r="P1398" t="str">
        <f t="shared" si="43"/>
        <v>Non Chronic</v>
      </c>
      <c r="Q1398">
        <v>0</v>
      </c>
      <c r="R1398">
        <v>0</v>
      </c>
      <c r="S1398" t="s">
        <v>30</v>
      </c>
    </row>
    <row r="1399" spans="1:19" x14ac:dyDescent="0.3">
      <c r="A1399">
        <v>501398</v>
      </c>
      <c r="B1399">
        <v>26794</v>
      </c>
      <c r="C1399" t="s">
        <v>8</v>
      </c>
      <c r="D1399" t="s">
        <v>7</v>
      </c>
      <c r="E1399" s="1">
        <v>46047</v>
      </c>
      <c r="F1399" t="s">
        <v>123</v>
      </c>
      <c r="G1399" s="1">
        <v>46047</v>
      </c>
      <c r="H1399" s="1" t="str">
        <f t="shared" si="42"/>
        <v>Sunday</v>
      </c>
      <c r="I1399">
        <v>18</v>
      </c>
      <c r="J1399" t="s">
        <v>15</v>
      </c>
      <c r="K1399">
        <v>0</v>
      </c>
      <c r="L1399">
        <v>0</v>
      </c>
      <c r="M1399">
        <v>0</v>
      </c>
      <c r="N1399">
        <v>0</v>
      </c>
      <c r="O1399">
        <v>0</v>
      </c>
      <c r="P1399" t="str">
        <f t="shared" si="43"/>
        <v>Non Chronic</v>
      </c>
      <c r="Q1399">
        <v>1</v>
      </c>
      <c r="R1399">
        <v>0</v>
      </c>
      <c r="S1399" t="s">
        <v>30</v>
      </c>
    </row>
    <row r="1400" spans="1:19" x14ac:dyDescent="0.3">
      <c r="A1400">
        <v>501399</v>
      </c>
      <c r="B1400">
        <v>52755</v>
      </c>
      <c r="C1400" t="s">
        <v>4</v>
      </c>
      <c r="D1400" t="s">
        <v>19</v>
      </c>
      <c r="E1400" s="1">
        <v>46015</v>
      </c>
      <c r="F1400" t="s">
        <v>122</v>
      </c>
      <c r="G1400" s="1">
        <v>46016</v>
      </c>
      <c r="H1400" s="1" t="str">
        <f t="shared" si="42"/>
        <v>Thursday</v>
      </c>
      <c r="I1400">
        <v>62</v>
      </c>
      <c r="J1400" t="s">
        <v>10</v>
      </c>
      <c r="K1400">
        <v>1</v>
      </c>
      <c r="L1400">
        <v>0</v>
      </c>
      <c r="M1400">
        <v>0</v>
      </c>
      <c r="N1400">
        <v>0</v>
      </c>
      <c r="O1400">
        <v>0</v>
      </c>
      <c r="P1400" t="str">
        <f t="shared" si="43"/>
        <v>Non Chronic</v>
      </c>
      <c r="Q1400">
        <v>1</v>
      </c>
      <c r="R1400">
        <v>0</v>
      </c>
      <c r="S1400" t="s">
        <v>9</v>
      </c>
    </row>
    <row r="1401" spans="1:19" x14ac:dyDescent="0.3">
      <c r="A1401">
        <v>501400</v>
      </c>
      <c r="B1401">
        <v>40005</v>
      </c>
      <c r="C1401" t="s">
        <v>4</v>
      </c>
      <c r="D1401" t="s">
        <v>14</v>
      </c>
      <c r="E1401" s="1">
        <v>46113</v>
      </c>
      <c r="F1401" t="s">
        <v>121</v>
      </c>
      <c r="G1401" s="1">
        <v>46115</v>
      </c>
      <c r="H1401" s="1" t="str">
        <f t="shared" si="42"/>
        <v>Friday</v>
      </c>
      <c r="I1401">
        <v>24</v>
      </c>
      <c r="J1401" t="s">
        <v>10</v>
      </c>
      <c r="K1401">
        <v>1</v>
      </c>
      <c r="L1401">
        <v>0</v>
      </c>
      <c r="M1401">
        <v>0</v>
      </c>
      <c r="N1401">
        <v>0</v>
      </c>
      <c r="O1401">
        <v>0</v>
      </c>
      <c r="P1401" t="str">
        <f t="shared" si="43"/>
        <v>Non Chronic</v>
      </c>
      <c r="Q1401">
        <v>0</v>
      </c>
      <c r="R1401">
        <v>0</v>
      </c>
      <c r="S1401" t="s">
        <v>22</v>
      </c>
    </row>
    <row r="1402" spans="1:19" x14ac:dyDescent="0.3">
      <c r="A1402">
        <v>501401</v>
      </c>
      <c r="B1402">
        <v>29445</v>
      </c>
      <c r="C1402" t="s">
        <v>8</v>
      </c>
      <c r="D1402" t="s">
        <v>58</v>
      </c>
      <c r="E1402" s="1">
        <v>46151</v>
      </c>
      <c r="F1402" t="s">
        <v>120</v>
      </c>
      <c r="G1402" s="1">
        <v>46156</v>
      </c>
      <c r="H1402" s="1" t="str">
        <f t="shared" si="42"/>
        <v>Thursday</v>
      </c>
      <c r="I1402">
        <v>17</v>
      </c>
      <c r="J1402" t="s">
        <v>12</v>
      </c>
      <c r="K1402">
        <v>0</v>
      </c>
      <c r="L1402">
        <v>0</v>
      </c>
      <c r="M1402">
        <v>0</v>
      </c>
      <c r="N1402">
        <v>0</v>
      </c>
      <c r="O1402">
        <v>0</v>
      </c>
      <c r="P1402" t="str">
        <f t="shared" si="43"/>
        <v>Non Chronic</v>
      </c>
      <c r="Q1402">
        <v>1</v>
      </c>
      <c r="R1402">
        <v>0</v>
      </c>
      <c r="S1402" t="s">
        <v>30</v>
      </c>
    </row>
    <row r="1403" spans="1:19" x14ac:dyDescent="0.3">
      <c r="A1403">
        <v>501402</v>
      </c>
      <c r="B1403">
        <v>44866</v>
      </c>
      <c r="C1403" t="s">
        <v>4</v>
      </c>
      <c r="D1403" t="s">
        <v>7</v>
      </c>
      <c r="E1403" s="1">
        <v>46098</v>
      </c>
      <c r="F1403" t="s">
        <v>67</v>
      </c>
      <c r="G1403" s="1">
        <v>46113</v>
      </c>
      <c r="H1403" s="1" t="str">
        <f t="shared" si="42"/>
        <v>Wednesday</v>
      </c>
      <c r="I1403">
        <v>48</v>
      </c>
      <c r="J1403" t="s">
        <v>23</v>
      </c>
      <c r="K1403">
        <v>0</v>
      </c>
      <c r="L1403">
        <v>0</v>
      </c>
      <c r="M1403">
        <v>0</v>
      </c>
      <c r="N1403">
        <v>0</v>
      </c>
      <c r="O1403">
        <v>0</v>
      </c>
      <c r="P1403" t="str">
        <f t="shared" si="43"/>
        <v>Non Chronic</v>
      </c>
      <c r="Q1403">
        <v>1</v>
      </c>
      <c r="R1403">
        <v>0</v>
      </c>
      <c r="S1403" t="s">
        <v>0</v>
      </c>
    </row>
    <row r="1404" spans="1:19" x14ac:dyDescent="0.3">
      <c r="A1404">
        <v>501403</v>
      </c>
      <c r="B1404">
        <v>92977</v>
      </c>
      <c r="C1404" t="s">
        <v>4</v>
      </c>
      <c r="D1404" t="s">
        <v>19</v>
      </c>
      <c r="E1404" s="1">
        <v>46079</v>
      </c>
      <c r="F1404" t="s">
        <v>119</v>
      </c>
      <c r="G1404" s="1">
        <v>46081</v>
      </c>
      <c r="H1404" s="1" t="str">
        <f t="shared" si="42"/>
        <v>Saturday</v>
      </c>
      <c r="I1404">
        <v>61</v>
      </c>
      <c r="J1404" t="s">
        <v>20</v>
      </c>
      <c r="K1404">
        <v>1</v>
      </c>
      <c r="L1404">
        <v>0</v>
      </c>
      <c r="M1404">
        <v>0</v>
      </c>
      <c r="N1404">
        <v>0</v>
      </c>
      <c r="O1404">
        <v>0</v>
      </c>
      <c r="P1404" t="str">
        <f t="shared" si="43"/>
        <v>Non Chronic</v>
      </c>
      <c r="Q1404">
        <v>0</v>
      </c>
      <c r="R1404">
        <v>1</v>
      </c>
      <c r="S1404" t="s">
        <v>9</v>
      </c>
    </row>
    <row r="1405" spans="1:19" x14ac:dyDescent="0.3">
      <c r="A1405">
        <v>501404</v>
      </c>
      <c r="B1405">
        <v>94651</v>
      </c>
      <c r="C1405" t="s">
        <v>4</v>
      </c>
      <c r="D1405" t="s">
        <v>58</v>
      </c>
      <c r="E1405" s="1">
        <v>46056</v>
      </c>
      <c r="F1405" t="s">
        <v>118</v>
      </c>
      <c r="G1405" s="1">
        <v>46058</v>
      </c>
      <c r="H1405" s="1" t="str">
        <f t="shared" si="42"/>
        <v>Thursday</v>
      </c>
      <c r="I1405">
        <v>52</v>
      </c>
      <c r="J1405" t="s">
        <v>5</v>
      </c>
      <c r="K1405">
        <v>0</v>
      </c>
      <c r="L1405">
        <v>0</v>
      </c>
      <c r="M1405">
        <v>1</v>
      </c>
      <c r="N1405">
        <v>0</v>
      </c>
      <c r="O1405">
        <v>0</v>
      </c>
      <c r="P1405" t="str">
        <f t="shared" si="43"/>
        <v>Chronic</v>
      </c>
      <c r="Q1405">
        <v>0</v>
      </c>
      <c r="R1405">
        <v>0</v>
      </c>
      <c r="S1405" t="s">
        <v>0</v>
      </c>
    </row>
    <row r="1406" spans="1:19" x14ac:dyDescent="0.3">
      <c r="A1406">
        <v>501405</v>
      </c>
      <c r="B1406">
        <v>11430</v>
      </c>
      <c r="C1406" t="s">
        <v>8</v>
      </c>
      <c r="D1406" t="s">
        <v>25</v>
      </c>
      <c r="E1406" s="1">
        <v>46122</v>
      </c>
      <c r="F1406" t="s">
        <v>117</v>
      </c>
      <c r="G1406" s="1">
        <v>46125</v>
      </c>
      <c r="H1406" s="1" t="str">
        <f t="shared" si="42"/>
        <v>Monday</v>
      </c>
      <c r="I1406">
        <v>57</v>
      </c>
      <c r="J1406" t="s">
        <v>45</v>
      </c>
      <c r="K1406">
        <v>0</v>
      </c>
      <c r="L1406">
        <v>1</v>
      </c>
      <c r="M1406">
        <v>1</v>
      </c>
      <c r="N1406">
        <v>0</v>
      </c>
      <c r="O1406">
        <v>0</v>
      </c>
      <c r="P1406" t="str">
        <f t="shared" si="43"/>
        <v>Chronic</v>
      </c>
      <c r="Q1406">
        <v>0</v>
      </c>
      <c r="R1406">
        <v>0</v>
      </c>
      <c r="S1406" t="s">
        <v>0</v>
      </c>
    </row>
    <row r="1407" spans="1:19" x14ac:dyDescent="0.3">
      <c r="A1407">
        <v>501406</v>
      </c>
      <c r="B1407">
        <v>68547</v>
      </c>
      <c r="C1407" t="s">
        <v>8</v>
      </c>
      <c r="D1407" t="s">
        <v>28</v>
      </c>
      <c r="E1407" s="1">
        <v>46013</v>
      </c>
      <c r="F1407" t="s">
        <v>116</v>
      </c>
      <c r="G1407" s="1">
        <v>46014</v>
      </c>
      <c r="H1407" s="1" t="str">
        <f t="shared" si="42"/>
        <v>Tuesday</v>
      </c>
      <c r="I1407">
        <v>22</v>
      </c>
      <c r="J1407" t="s">
        <v>1</v>
      </c>
      <c r="K1407">
        <v>1</v>
      </c>
      <c r="L1407">
        <v>0</v>
      </c>
      <c r="M1407">
        <v>0</v>
      </c>
      <c r="N1407">
        <v>0</v>
      </c>
      <c r="O1407">
        <v>0</v>
      </c>
      <c r="P1407" t="str">
        <f t="shared" si="43"/>
        <v>Non Chronic</v>
      </c>
      <c r="Q1407">
        <v>1</v>
      </c>
      <c r="R1407">
        <v>1</v>
      </c>
      <c r="S1407" t="s">
        <v>22</v>
      </c>
    </row>
    <row r="1408" spans="1:19" x14ac:dyDescent="0.3">
      <c r="A1408">
        <v>501407</v>
      </c>
      <c r="B1408">
        <v>89500</v>
      </c>
      <c r="C1408" t="s">
        <v>8</v>
      </c>
      <c r="D1408" t="s">
        <v>25</v>
      </c>
      <c r="E1408" s="1">
        <v>46066</v>
      </c>
      <c r="F1408" t="s">
        <v>115</v>
      </c>
      <c r="G1408" s="1">
        <v>46073</v>
      </c>
      <c r="H1408" s="1" t="str">
        <f t="shared" si="42"/>
        <v>Friday</v>
      </c>
      <c r="I1408">
        <v>9</v>
      </c>
      <c r="J1408" t="s">
        <v>31</v>
      </c>
      <c r="K1408">
        <v>0</v>
      </c>
      <c r="L1408">
        <v>0</v>
      </c>
      <c r="M1408">
        <v>0</v>
      </c>
      <c r="N1408">
        <v>0</v>
      </c>
      <c r="O1408">
        <v>0</v>
      </c>
      <c r="P1408" t="str">
        <f t="shared" si="43"/>
        <v>Non Chronic</v>
      </c>
      <c r="Q1408">
        <v>1</v>
      </c>
      <c r="R1408">
        <v>1</v>
      </c>
      <c r="S1408" t="s">
        <v>30</v>
      </c>
    </row>
    <row r="1409" spans="1:19" x14ac:dyDescent="0.3">
      <c r="A1409">
        <v>501408</v>
      </c>
      <c r="B1409">
        <v>16871</v>
      </c>
      <c r="C1409" t="s">
        <v>8</v>
      </c>
      <c r="D1409" t="s">
        <v>7</v>
      </c>
      <c r="E1409" s="1">
        <v>46087</v>
      </c>
      <c r="F1409" t="s">
        <v>114</v>
      </c>
      <c r="G1409" s="1">
        <v>46094</v>
      </c>
      <c r="H1409" s="1" t="str">
        <f t="shared" si="42"/>
        <v>Friday</v>
      </c>
      <c r="I1409">
        <v>68</v>
      </c>
      <c r="J1409" t="s">
        <v>20</v>
      </c>
      <c r="K1409">
        <v>0</v>
      </c>
      <c r="L1409">
        <v>1</v>
      </c>
      <c r="M1409">
        <v>0</v>
      </c>
      <c r="N1409">
        <v>0</v>
      </c>
      <c r="O1409">
        <v>0</v>
      </c>
      <c r="P1409" t="str">
        <f t="shared" si="43"/>
        <v>Chronic</v>
      </c>
      <c r="Q1409">
        <v>1</v>
      </c>
      <c r="R1409">
        <v>0</v>
      </c>
      <c r="S1409" t="s">
        <v>9</v>
      </c>
    </row>
    <row r="1410" spans="1:19" x14ac:dyDescent="0.3">
      <c r="A1410">
        <v>501409</v>
      </c>
      <c r="B1410">
        <v>14526</v>
      </c>
      <c r="C1410" t="s">
        <v>8</v>
      </c>
      <c r="D1410" t="s">
        <v>19</v>
      </c>
      <c r="E1410" s="1">
        <v>46017</v>
      </c>
      <c r="F1410" t="s">
        <v>113</v>
      </c>
      <c r="G1410" s="1">
        <v>46017</v>
      </c>
      <c r="H1410" s="1" t="str">
        <f t="shared" si="42"/>
        <v>Friday</v>
      </c>
      <c r="I1410">
        <v>31</v>
      </c>
      <c r="J1410" t="s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 t="str">
        <f t="shared" si="43"/>
        <v>Non Chronic</v>
      </c>
      <c r="Q1410">
        <v>1</v>
      </c>
      <c r="R1410">
        <v>0</v>
      </c>
      <c r="S1410" t="s">
        <v>22</v>
      </c>
    </row>
    <row r="1411" spans="1:19" x14ac:dyDescent="0.3">
      <c r="A1411">
        <v>501410</v>
      </c>
      <c r="B1411">
        <v>18372</v>
      </c>
      <c r="C1411" t="s">
        <v>4</v>
      </c>
      <c r="D1411" t="s">
        <v>28</v>
      </c>
      <c r="E1411" s="1">
        <v>46008</v>
      </c>
      <c r="F1411" t="s">
        <v>112</v>
      </c>
      <c r="G1411" s="1">
        <v>46028</v>
      </c>
      <c r="H1411" s="1" t="str">
        <f t="shared" ref="H1411:H1474" si="44">TEXT(G1411,"dddd")</f>
        <v>Tuesday</v>
      </c>
      <c r="I1411">
        <v>32</v>
      </c>
      <c r="J1411" t="s">
        <v>31</v>
      </c>
      <c r="K1411">
        <v>0</v>
      </c>
      <c r="L1411">
        <v>0</v>
      </c>
      <c r="M1411">
        <v>0</v>
      </c>
      <c r="N1411">
        <v>0</v>
      </c>
      <c r="O1411">
        <v>0</v>
      </c>
      <c r="P1411" t="str">
        <f t="shared" ref="P1411:P1474" si="45">IF(OR(L1411=1,M1411=1),"Chronic","Non Chronic")</f>
        <v>Non Chronic</v>
      </c>
      <c r="Q1411">
        <v>1</v>
      </c>
      <c r="R1411">
        <v>0</v>
      </c>
      <c r="S1411" t="s">
        <v>22</v>
      </c>
    </row>
    <row r="1412" spans="1:19" x14ac:dyDescent="0.3">
      <c r="A1412">
        <v>501411</v>
      </c>
      <c r="B1412">
        <v>56803</v>
      </c>
      <c r="C1412" t="s">
        <v>8</v>
      </c>
      <c r="D1412" t="s">
        <v>58</v>
      </c>
      <c r="E1412" s="1">
        <v>46055</v>
      </c>
      <c r="F1412" t="s">
        <v>111</v>
      </c>
      <c r="G1412" s="1">
        <v>46062</v>
      </c>
      <c r="H1412" s="1" t="str">
        <f t="shared" si="44"/>
        <v>Monday</v>
      </c>
      <c r="I1412">
        <v>64</v>
      </c>
      <c r="J1412" t="s">
        <v>23</v>
      </c>
      <c r="K1412">
        <v>1</v>
      </c>
      <c r="L1412">
        <v>0</v>
      </c>
      <c r="M1412">
        <v>0</v>
      </c>
      <c r="N1412">
        <v>0</v>
      </c>
      <c r="O1412">
        <v>0</v>
      </c>
      <c r="P1412" t="str">
        <f t="shared" si="45"/>
        <v>Non Chronic</v>
      </c>
      <c r="Q1412">
        <v>1</v>
      </c>
      <c r="R1412">
        <v>1</v>
      </c>
      <c r="S1412" t="s">
        <v>9</v>
      </c>
    </row>
    <row r="1413" spans="1:19" x14ac:dyDescent="0.3">
      <c r="A1413">
        <v>501412</v>
      </c>
      <c r="B1413">
        <v>21727</v>
      </c>
      <c r="C1413" t="s">
        <v>4</v>
      </c>
      <c r="D1413" t="s">
        <v>7</v>
      </c>
      <c r="E1413" s="1">
        <v>46029</v>
      </c>
      <c r="F1413" t="s">
        <v>110</v>
      </c>
      <c r="G1413" s="1">
        <v>46029</v>
      </c>
      <c r="H1413" s="1" t="str">
        <f t="shared" si="44"/>
        <v>Wednesday</v>
      </c>
      <c r="I1413">
        <v>49</v>
      </c>
      <c r="J1413" t="s">
        <v>31</v>
      </c>
      <c r="K1413">
        <v>0</v>
      </c>
      <c r="L1413">
        <v>0</v>
      </c>
      <c r="M1413">
        <v>0</v>
      </c>
      <c r="N1413">
        <v>0</v>
      </c>
      <c r="O1413">
        <v>0</v>
      </c>
      <c r="P1413" t="str">
        <f t="shared" si="45"/>
        <v>Non Chronic</v>
      </c>
      <c r="Q1413">
        <v>1</v>
      </c>
      <c r="R1413">
        <v>1</v>
      </c>
      <c r="S1413" t="s">
        <v>0</v>
      </c>
    </row>
    <row r="1414" spans="1:19" x14ac:dyDescent="0.3">
      <c r="A1414">
        <v>501413</v>
      </c>
      <c r="B1414">
        <v>94266</v>
      </c>
      <c r="C1414" t="s">
        <v>4</v>
      </c>
      <c r="D1414" t="s">
        <v>7</v>
      </c>
      <c r="E1414" s="1">
        <v>46148</v>
      </c>
      <c r="F1414" t="s">
        <v>109</v>
      </c>
      <c r="G1414" s="1">
        <v>46168</v>
      </c>
      <c r="H1414" s="1" t="str">
        <f t="shared" si="44"/>
        <v>Tuesday</v>
      </c>
      <c r="I1414">
        <v>47</v>
      </c>
      <c r="J1414" t="s">
        <v>17</v>
      </c>
      <c r="K1414">
        <v>0</v>
      </c>
      <c r="L1414">
        <v>1</v>
      </c>
      <c r="M1414">
        <v>0</v>
      </c>
      <c r="N1414">
        <v>0</v>
      </c>
      <c r="O1414">
        <v>0</v>
      </c>
      <c r="P1414" t="str">
        <f t="shared" si="45"/>
        <v>Chronic</v>
      </c>
      <c r="Q1414">
        <v>1</v>
      </c>
      <c r="R1414">
        <v>0</v>
      </c>
      <c r="S1414" t="s">
        <v>0</v>
      </c>
    </row>
    <row r="1415" spans="1:19" x14ac:dyDescent="0.3">
      <c r="A1415">
        <v>501414</v>
      </c>
      <c r="B1415">
        <v>93142</v>
      </c>
      <c r="C1415" t="s">
        <v>8</v>
      </c>
      <c r="D1415" t="s">
        <v>36</v>
      </c>
      <c r="E1415" s="1">
        <v>46119</v>
      </c>
      <c r="F1415" t="s">
        <v>108</v>
      </c>
      <c r="G1415" s="1">
        <v>46119</v>
      </c>
      <c r="H1415" s="1" t="str">
        <f t="shared" si="44"/>
        <v>Tuesday</v>
      </c>
      <c r="I1415">
        <v>81</v>
      </c>
      <c r="J1415" t="s">
        <v>12</v>
      </c>
      <c r="K1415">
        <v>1</v>
      </c>
      <c r="L1415">
        <v>0</v>
      </c>
      <c r="M1415">
        <v>0</v>
      </c>
      <c r="N1415">
        <v>0</v>
      </c>
      <c r="O1415">
        <v>0</v>
      </c>
      <c r="P1415" t="str">
        <f t="shared" si="45"/>
        <v>Non Chronic</v>
      </c>
      <c r="Q1415">
        <v>1</v>
      </c>
      <c r="R1415">
        <v>1</v>
      </c>
      <c r="S1415" t="s">
        <v>9</v>
      </c>
    </row>
    <row r="1416" spans="1:19" x14ac:dyDescent="0.3">
      <c r="A1416">
        <v>501415</v>
      </c>
      <c r="B1416">
        <v>86380</v>
      </c>
      <c r="C1416" t="s">
        <v>8</v>
      </c>
      <c r="D1416" t="s">
        <v>36</v>
      </c>
      <c r="E1416" s="1">
        <v>46025</v>
      </c>
      <c r="F1416" t="s">
        <v>107</v>
      </c>
      <c r="G1416" s="1">
        <v>46028</v>
      </c>
      <c r="H1416" s="1" t="str">
        <f t="shared" si="44"/>
        <v>Tuesday</v>
      </c>
      <c r="I1416">
        <v>25</v>
      </c>
      <c r="J1416" t="s">
        <v>20</v>
      </c>
      <c r="K1416">
        <v>0</v>
      </c>
      <c r="L1416">
        <v>0</v>
      </c>
      <c r="M1416">
        <v>0</v>
      </c>
      <c r="N1416">
        <v>0</v>
      </c>
      <c r="O1416">
        <v>0</v>
      </c>
      <c r="P1416" t="str">
        <f t="shared" si="45"/>
        <v>Non Chronic</v>
      </c>
      <c r="Q1416">
        <v>0</v>
      </c>
      <c r="R1416">
        <v>1</v>
      </c>
      <c r="S1416" t="s">
        <v>22</v>
      </c>
    </row>
    <row r="1417" spans="1:19" x14ac:dyDescent="0.3">
      <c r="A1417">
        <v>501416</v>
      </c>
      <c r="B1417">
        <v>37889</v>
      </c>
      <c r="C1417" t="s">
        <v>4</v>
      </c>
      <c r="D1417" t="s">
        <v>36</v>
      </c>
      <c r="E1417" s="1">
        <v>46049</v>
      </c>
      <c r="F1417" t="s">
        <v>106</v>
      </c>
      <c r="G1417" s="1">
        <v>46059</v>
      </c>
      <c r="H1417" s="1" t="str">
        <f t="shared" si="44"/>
        <v>Friday</v>
      </c>
      <c r="I1417">
        <v>56</v>
      </c>
      <c r="J1417" t="s">
        <v>1</v>
      </c>
      <c r="K1417">
        <v>1</v>
      </c>
      <c r="L1417">
        <v>1</v>
      </c>
      <c r="M1417">
        <v>0</v>
      </c>
      <c r="N1417">
        <v>0</v>
      </c>
      <c r="O1417">
        <v>0</v>
      </c>
      <c r="P1417" t="str">
        <f t="shared" si="45"/>
        <v>Chronic</v>
      </c>
      <c r="Q1417">
        <v>1</v>
      </c>
      <c r="R1417">
        <v>0</v>
      </c>
      <c r="S1417" t="s">
        <v>0</v>
      </c>
    </row>
    <row r="1418" spans="1:19" x14ac:dyDescent="0.3">
      <c r="A1418">
        <v>501417</v>
      </c>
      <c r="B1418">
        <v>44123</v>
      </c>
      <c r="C1418" t="s">
        <v>8</v>
      </c>
      <c r="D1418" t="s">
        <v>58</v>
      </c>
      <c r="E1418" s="1">
        <v>46049</v>
      </c>
      <c r="F1418" t="s">
        <v>105</v>
      </c>
      <c r="G1418" s="1">
        <v>46056</v>
      </c>
      <c r="H1418" s="1" t="str">
        <f t="shared" si="44"/>
        <v>Tuesday</v>
      </c>
      <c r="I1418">
        <v>39</v>
      </c>
      <c r="J1418" t="s">
        <v>5</v>
      </c>
      <c r="K1418">
        <v>1</v>
      </c>
      <c r="L1418">
        <v>0</v>
      </c>
      <c r="M1418">
        <v>0</v>
      </c>
      <c r="N1418">
        <v>1</v>
      </c>
      <c r="O1418">
        <v>0</v>
      </c>
      <c r="P1418" t="str">
        <f t="shared" si="45"/>
        <v>Non Chronic</v>
      </c>
      <c r="Q1418">
        <v>1</v>
      </c>
      <c r="R1418">
        <v>0</v>
      </c>
      <c r="S1418" t="s">
        <v>22</v>
      </c>
    </row>
    <row r="1419" spans="1:19" x14ac:dyDescent="0.3">
      <c r="A1419">
        <v>501418</v>
      </c>
      <c r="B1419">
        <v>63174</v>
      </c>
      <c r="C1419" t="s">
        <v>4</v>
      </c>
      <c r="D1419" t="s">
        <v>28</v>
      </c>
      <c r="E1419" s="1">
        <v>45985</v>
      </c>
      <c r="F1419" t="s">
        <v>104</v>
      </c>
      <c r="G1419" s="1">
        <v>46005</v>
      </c>
      <c r="H1419" s="1" t="str">
        <f t="shared" si="44"/>
        <v>Sunday</v>
      </c>
      <c r="I1419">
        <v>43</v>
      </c>
      <c r="J1419" t="s">
        <v>15</v>
      </c>
      <c r="K1419">
        <v>0</v>
      </c>
      <c r="L1419">
        <v>0</v>
      </c>
      <c r="M1419">
        <v>0</v>
      </c>
      <c r="N1419">
        <v>0</v>
      </c>
      <c r="O1419">
        <v>0</v>
      </c>
      <c r="P1419" t="str">
        <f t="shared" si="45"/>
        <v>Non Chronic</v>
      </c>
      <c r="Q1419">
        <v>1</v>
      </c>
      <c r="R1419">
        <v>0</v>
      </c>
      <c r="S1419" t="s">
        <v>0</v>
      </c>
    </row>
    <row r="1420" spans="1:19" x14ac:dyDescent="0.3">
      <c r="A1420">
        <v>501419</v>
      </c>
      <c r="B1420">
        <v>49139</v>
      </c>
      <c r="C1420" t="s">
        <v>4</v>
      </c>
      <c r="D1420" t="s">
        <v>25</v>
      </c>
      <c r="E1420" s="1">
        <v>45991</v>
      </c>
      <c r="F1420" t="s">
        <v>103</v>
      </c>
      <c r="G1420" s="1">
        <v>45993</v>
      </c>
      <c r="H1420" s="1" t="str">
        <f t="shared" si="44"/>
        <v>Tuesday</v>
      </c>
      <c r="I1420">
        <v>68</v>
      </c>
      <c r="J1420" t="s">
        <v>20</v>
      </c>
      <c r="K1420">
        <v>1</v>
      </c>
      <c r="L1420">
        <v>1</v>
      </c>
      <c r="M1420">
        <v>0</v>
      </c>
      <c r="N1420">
        <v>0</v>
      </c>
      <c r="O1420">
        <v>0</v>
      </c>
      <c r="P1420" t="str">
        <f t="shared" si="45"/>
        <v>Chronic</v>
      </c>
      <c r="Q1420">
        <v>1</v>
      </c>
      <c r="R1420">
        <v>0</v>
      </c>
      <c r="S1420" t="s">
        <v>9</v>
      </c>
    </row>
    <row r="1421" spans="1:19" x14ac:dyDescent="0.3">
      <c r="A1421">
        <v>501420</v>
      </c>
      <c r="B1421">
        <v>38367</v>
      </c>
      <c r="C1421" t="s">
        <v>4</v>
      </c>
      <c r="D1421" t="s">
        <v>19</v>
      </c>
      <c r="E1421" s="1">
        <v>46027</v>
      </c>
      <c r="F1421" t="s">
        <v>102</v>
      </c>
      <c r="G1421" s="1">
        <v>46057</v>
      </c>
      <c r="H1421" s="1" t="str">
        <f t="shared" si="44"/>
        <v>Wednesday</v>
      </c>
      <c r="I1421">
        <v>48</v>
      </c>
      <c r="J1421" t="s">
        <v>45</v>
      </c>
      <c r="K1421">
        <v>1</v>
      </c>
      <c r="L1421">
        <v>0</v>
      </c>
      <c r="M1421">
        <v>0</v>
      </c>
      <c r="N1421">
        <v>0</v>
      </c>
      <c r="O1421">
        <v>0</v>
      </c>
      <c r="P1421" t="str">
        <f t="shared" si="45"/>
        <v>Non Chronic</v>
      </c>
      <c r="Q1421">
        <v>1</v>
      </c>
      <c r="R1421">
        <v>1</v>
      </c>
      <c r="S1421" t="s">
        <v>0</v>
      </c>
    </row>
    <row r="1422" spans="1:19" x14ac:dyDescent="0.3">
      <c r="A1422">
        <v>501421</v>
      </c>
      <c r="B1422">
        <v>74445</v>
      </c>
      <c r="C1422" t="s">
        <v>8</v>
      </c>
      <c r="D1422" t="s">
        <v>25</v>
      </c>
      <c r="E1422" s="1">
        <v>46053</v>
      </c>
      <c r="F1422" t="s">
        <v>101</v>
      </c>
      <c r="G1422" s="1">
        <v>46060</v>
      </c>
      <c r="H1422" s="1" t="str">
        <f t="shared" si="44"/>
        <v>Saturday</v>
      </c>
      <c r="I1422">
        <v>48</v>
      </c>
      <c r="J1422" t="s">
        <v>45</v>
      </c>
      <c r="K1422">
        <v>0</v>
      </c>
      <c r="L1422">
        <v>0</v>
      </c>
      <c r="M1422">
        <v>0</v>
      </c>
      <c r="N1422">
        <v>0</v>
      </c>
      <c r="O1422">
        <v>0</v>
      </c>
      <c r="P1422" t="str">
        <f t="shared" si="45"/>
        <v>Non Chronic</v>
      </c>
      <c r="Q1422">
        <v>0</v>
      </c>
      <c r="R1422">
        <v>0</v>
      </c>
      <c r="S1422" t="s">
        <v>0</v>
      </c>
    </row>
    <row r="1423" spans="1:19" x14ac:dyDescent="0.3">
      <c r="A1423">
        <v>501422</v>
      </c>
      <c r="B1423">
        <v>10001</v>
      </c>
      <c r="C1423" t="s">
        <v>8</v>
      </c>
      <c r="D1423" t="s">
        <v>7</v>
      </c>
      <c r="E1423" s="1">
        <v>46125</v>
      </c>
      <c r="F1423" t="s">
        <v>100</v>
      </c>
      <c r="G1423" s="1">
        <v>46135</v>
      </c>
      <c r="H1423" s="1" t="str">
        <f t="shared" si="44"/>
        <v>Thursday</v>
      </c>
      <c r="I1423">
        <v>59</v>
      </c>
      <c r="J1423" t="s">
        <v>23</v>
      </c>
      <c r="K1423">
        <v>0</v>
      </c>
      <c r="L1423">
        <v>1</v>
      </c>
      <c r="M1423">
        <v>0</v>
      </c>
      <c r="N1423">
        <v>0</v>
      </c>
      <c r="O1423">
        <v>0</v>
      </c>
      <c r="P1423" t="str">
        <f t="shared" si="45"/>
        <v>Chronic</v>
      </c>
      <c r="Q1423">
        <v>1</v>
      </c>
      <c r="R1423">
        <v>0</v>
      </c>
      <c r="S1423" t="s">
        <v>0</v>
      </c>
    </row>
    <row r="1424" spans="1:19" x14ac:dyDescent="0.3">
      <c r="A1424">
        <v>501423</v>
      </c>
      <c r="B1424">
        <v>95672</v>
      </c>
      <c r="C1424" t="s">
        <v>4</v>
      </c>
      <c r="D1424" t="s">
        <v>25</v>
      </c>
      <c r="E1424" s="1">
        <v>46067</v>
      </c>
      <c r="F1424" t="s">
        <v>99</v>
      </c>
      <c r="G1424" s="1">
        <v>46069</v>
      </c>
      <c r="H1424" s="1" t="str">
        <f t="shared" si="44"/>
        <v>Monday</v>
      </c>
      <c r="I1424">
        <v>30</v>
      </c>
      <c r="J1424" t="s">
        <v>17</v>
      </c>
      <c r="K1424">
        <v>0</v>
      </c>
      <c r="L1424">
        <v>0</v>
      </c>
      <c r="M1424">
        <v>0</v>
      </c>
      <c r="N1424">
        <v>0</v>
      </c>
      <c r="O1424">
        <v>0</v>
      </c>
      <c r="P1424" t="str">
        <f t="shared" si="45"/>
        <v>Non Chronic</v>
      </c>
      <c r="Q1424">
        <v>0</v>
      </c>
      <c r="R1424">
        <v>0</v>
      </c>
      <c r="S1424" t="s">
        <v>22</v>
      </c>
    </row>
    <row r="1425" spans="1:19" x14ac:dyDescent="0.3">
      <c r="A1425">
        <v>501424</v>
      </c>
      <c r="B1425">
        <v>36825</v>
      </c>
      <c r="C1425" t="s">
        <v>4</v>
      </c>
      <c r="D1425" t="s">
        <v>36</v>
      </c>
      <c r="E1425" s="1">
        <v>46105</v>
      </c>
      <c r="F1425" t="s">
        <v>98</v>
      </c>
      <c r="G1425" s="1">
        <v>46106</v>
      </c>
      <c r="H1425" s="1" t="str">
        <f t="shared" si="44"/>
        <v>Wednesday</v>
      </c>
      <c r="I1425">
        <v>21</v>
      </c>
      <c r="J1425" t="s">
        <v>10</v>
      </c>
      <c r="K1425">
        <v>0</v>
      </c>
      <c r="L1425">
        <v>0</v>
      </c>
      <c r="M1425">
        <v>0</v>
      </c>
      <c r="N1425">
        <v>1</v>
      </c>
      <c r="O1425">
        <v>0</v>
      </c>
      <c r="P1425" t="str">
        <f t="shared" si="45"/>
        <v>Non Chronic</v>
      </c>
      <c r="Q1425">
        <v>1</v>
      </c>
      <c r="R1425">
        <v>0</v>
      </c>
      <c r="S1425" t="s">
        <v>22</v>
      </c>
    </row>
    <row r="1426" spans="1:19" x14ac:dyDescent="0.3">
      <c r="A1426">
        <v>501425</v>
      </c>
      <c r="B1426">
        <v>85992</v>
      </c>
      <c r="C1426" t="s">
        <v>8</v>
      </c>
      <c r="D1426" t="s">
        <v>25</v>
      </c>
      <c r="E1426" s="1">
        <v>45993</v>
      </c>
      <c r="F1426" t="s">
        <v>97</v>
      </c>
      <c r="G1426" s="1">
        <v>46003</v>
      </c>
      <c r="H1426" s="1" t="str">
        <f t="shared" si="44"/>
        <v>Friday</v>
      </c>
      <c r="I1426">
        <v>17</v>
      </c>
      <c r="J1426" t="s">
        <v>17</v>
      </c>
      <c r="K1426">
        <v>0</v>
      </c>
      <c r="L1426">
        <v>0</v>
      </c>
      <c r="M1426">
        <v>0</v>
      </c>
      <c r="N1426">
        <v>0</v>
      </c>
      <c r="O1426">
        <v>0</v>
      </c>
      <c r="P1426" t="str">
        <f t="shared" si="45"/>
        <v>Non Chronic</v>
      </c>
      <c r="Q1426">
        <v>1</v>
      </c>
      <c r="R1426">
        <v>0</v>
      </c>
      <c r="S1426" t="s">
        <v>30</v>
      </c>
    </row>
    <row r="1427" spans="1:19" x14ac:dyDescent="0.3">
      <c r="A1427">
        <v>501426</v>
      </c>
      <c r="B1427">
        <v>30092</v>
      </c>
      <c r="C1427" t="s">
        <v>4</v>
      </c>
      <c r="D1427" t="s">
        <v>58</v>
      </c>
      <c r="E1427" s="1">
        <v>46002</v>
      </c>
      <c r="F1427" t="s">
        <v>96</v>
      </c>
      <c r="G1427" s="1">
        <v>46012</v>
      </c>
      <c r="H1427" s="1" t="str">
        <f t="shared" si="44"/>
        <v>Sunday</v>
      </c>
      <c r="I1427">
        <v>0</v>
      </c>
      <c r="J1427" t="s">
        <v>23</v>
      </c>
      <c r="K1427">
        <v>0</v>
      </c>
      <c r="L1427">
        <v>0</v>
      </c>
      <c r="M1427">
        <v>0</v>
      </c>
      <c r="N1427">
        <v>0</v>
      </c>
      <c r="O1427">
        <v>0</v>
      </c>
      <c r="P1427" t="str">
        <f t="shared" si="45"/>
        <v>Non Chronic</v>
      </c>
      <c r="Q1427">
        <v>1</v>
      </c>
      <c r="R1427">
        <v>0</v>
      </c>
      <c r="S1427" t="s">
        <v>30</v>
      </c>
    </row>
    <row r="1428" spans="1:19" x14ac:dyDescent="0.3">
      <c r="A1428">
        <v>501427</v>
      </c>
      <c r="B1428">
        <v>71040</v>
      </c>
      <c r="C1428" t="s">
        <v>8</v>
      </c>
      <c r="D1428" t="s">
        <v>28</v>
      </c>
      <c r="E1428" s="1">
        <v>46017</v>
      </c>
      <c r="F1428" t="s">
        <v>95</v>
      </c>
      <c r="G1428" s="1">
        <v>46027</v>
      </c>
      <c r="H1428" s="1" t="str">
        <f t="shared" si="44"/>
        <v>Monday</v>
      </c>
      <c r="I1428">
        <v>79</v>
      </c>
      <c r="J1428" t="s">
        <v>17</v>
      </c>
      <c r="K1428">
        <v>0</v>
      </c>
      <c r="L1428">
        <v>0</v>
      </c>
      <c r="M1428">
        <v>0</v>
      </c>
      <c r="N1428">
        <v>0</v>
      </c>
      <c r="O1428">
        <v>0</v>
      </c>
      <c r="P1428" t="str">
        <f t="shared" si="45"/>
        <v>Non Chronic</v>
      </c>
      <c r="Q1428">
        <v>1</v>
      </c>
      <c r="R1428">
        <v>0</v>
      </c>
      <c r="S1428" t="s">
        <v>9</v>
      </c>
    </row>
    <row r="1429" spans="1:19" x14ac:dyDescent="0.3">
      <c r="A1429">
        <v>501428</v>
      </c>
      <c r="B1429">
        <v>97981</v>
      </c>
      <c r="C1429" t="s">
        <v>8</v>
      </c>
      <c r="D1429" t="s">
        <v>14</v>
      </c>
      <c r="E1429" s="1">
        <v>45998</v>
      </c>
      <c r="F1429" t="s">
        <v>94</v>
      </c>
      <c r="G1429" s="1">
        <v>46008</v>
      </c>
      <c r="H1429" s="1" t="str">
        <f t="shared" si="44"/>
        <v>Wednesday</v>
      </c>
      <c r="I1429">
        <v>15</v>
      </c>
      <c r="J1429" t="s">
        <v>45</v>
      </c>
      <c r="K1429">
        <v>0</v>
      </c>
      <c r="L1429">
        <v>0</v>
      </c>
      <c r="M1429">
        <v>0</v>
      </c>
      <c r="N1429">
        <v>0</v>
      </c>
      <c r="O1429">
        <v>0</v>
      </c>
      <c r="P1429" t="str">
        <f t="shared" si="45"/>
        <v>Non Chronic</v>
      </c>
      <c r="Q1429">
        <v>0</v>
      </c>
      <c r="R1429">
        <v>0</v>
      </c>
      <c r="S1429" t="s">
        <v>30</v>
      </c>
    </row>
    <row r="1430" spans="1:19" x14ac:dyDescent="0.3">
      <c r="A1430">
        <v>501429</v>
      </c>
      <c r="B1430">
        <v>15783</v>
      </c>
      <c r="C1430" t="s">
        <v>8</v>
      </c>
      <c r="D1430" t="s">
        <v>7</v>
      </c>
      <c r="E1430" s="1">
        <v>45985</v>
      </c>
      <c r="F1430" t="s">
        <v>93</v>
      </c>
      <c r="G1430" s="1">
        <v>45986</v>
      </c>
      <c r="H1430" s="1" t="str">
        <f t="shared" si="44"/>
        <v>Tuesday</v>
      </c>
      <c r="I1430">
        <v>33</v>
      </c>
      <c r="J1430" t="s">
        <v>45</v>
      </c>
      <c r="K1430">
        <v>0</v>
      </c>
      <c r="L1430">
        <v>0</v>
      </c>
      <c r="M1430">
        <v>0</v>
      </c>
      <c r="N1430">
        <v>0</v>
      </c>
      <c r="O1430">
        <v>0</v>
      </c>
      <c r="P1430" t="str">
        <f t="shared" si="45"/>
        <v>Non Chronic</v>
      </c>
      <c r="Q1430">
        <v>1</v>
      </c>
      <c r="R1430">
        <v>0</v>
      </c>
      <c r="S1430" t="s">
        <v>22</v>
      </c>
    </row>
    <row r="1431" spans="1:19" x14ac:dyDescent="0.3">
      <c r="A1431">
        <v>501430</v>
      </c>
      <c r="B1431">
        <v>81380</v>
      </c>
      <c r="C1431" t="s">
        <v>4</v>
      </c>
      <c r="D1431" t="s">
        <v>19</v>
      </c>
      <c r="E1431" s="1">
        <v>46019</v>
      </c>
      <c r="F1431" t="s">
        <v>92</v>
      </c>
      <c r="G1431" s="1">
        <v>46026</v>
      </c>
      <c r="H1431" s="1" t="str">
        <f t="shared" si="44"/>
        <v>Sunday</v>
      </c>
      <c r="I1431">
        <v>32</v>
      </c>
      <c r="J1431" t="s">
        <v>20</v>
      </c>
      <c r="K1431">
        <v>0</v>
      </c>
      <c r="L1431">
        <v>0</v>
      </c>
      <c r="M1431">
        <v>0</v>
      </c>
      <c r="N1431">
        <v>0</v>
      </c>
      <c r="O1431">
        <v>0</v>
      </c>
      <c r="P1431" t="str">
        <f t="shared" si="45"/>
        <v>Non Chronic</v>
      </c>
      <c r="Q1431">
        <v>1</v>
      </c>
      <c r="R1431">
        <v>0</v>
      </c>
      <c r="S1431" t="s">
        <v>22</v>
      </c>
    </row>
    <row r="1432" spans="1:19" x14ac:dyDescent="0.3">
      <c r="A1432">
        <v>501431</v>
      </c>
      <c r="B1432">
        <v>58773</v>
      </c>
      <c r="C1432" t="s">
        <v>8</v>
      </c>
      <c r="D1432" t="s">
        <v>19</v>
      </c>
      <c r="E1432" s="1">
        <v>45990</v>
      </c>
      <c r="F1432" t="s">
        <v>91</v>
      </c>
      <c r="G1432" s="1">
        <v>45995</v>
      </c>
      <c r="H1432" s="1" t="str">
        <f t="shared" si="44"/>
        <v>Thursday</v>
      </c>
      <c r="I1432">
        <v>44</v>
      </c>
      <c r="J1432" t="s">
        <v>5</v>
      </c>
      <c r="K1432">
        <v>0</v>
      </c>
      <c r="L1432">
        <v>0</v>
      </c>
      <c r="M1432">
        <v>0</v>
      </c>
      <c r="N1432">
        <v>0</v>
      </c>
      <c r="O1432">
        <v>0</v>
      </c>
      <c r="P1432" t="str">
        <f t="shared" si="45"/>
        <v>Non Chronic</v>
      </c>
      <c r="Q1432">
        <v>1</v>
      </c>
      <c r="R1432">
        <v>0</v>
      </c>
      <c r="S1432" t="s">
        <v>0</v>
      </c>
    </row>
    <row r="1433" spans="1:19" x14ac:dyDescent="0.3">
      <c r="A1433">
        <v>501432</v>
      </c>
      <c r="B1433">
        <v>66585</v>
      </c>
      <c r="C1433" t="s">
        <v>4</v>
      </c>
      <c r="D1433" t="s">
        <v>25</v>
      </c>
      <c r="E1433" s="1">
        <v>46075</v>
      </c>
      <c r="F1433" t="s">
        <v>90</v>
      </c>
      <c r="G1433" s="1">
        <v>46080</v>
      </c>
      <c r="H1433" s="1" t="str">
        <f t="shared" si="44"/>
        <v>Friday</v>
      </c>
      <c r="I1433">
        <v>54</v>
      </c>
      <c r="J1433" t="s">
        <v>31</v>
      </c>
      <c r="K1433">
        <v>1</v>
      </c>
      <c r="L1433">
        <v>0</v>
      </c>
      <c r="M1433">
        <v>0</v>
      </c>
      <c r="N1433">
        <v>0</v>
      </c>
      <c r="O1433">
        <v>0</v>
      </c>
      <c r="P1433" t="str">
        <f t="shared" si="45"/>
        <v>Non Chronic</v>
      </c>
      <c r="Q1433">
        <v>1</v>
      </c>
      <c r="R1433">
        <v>0</v>
      </c>
      <c r="S1433" t="s">
        <v>0</v>
      </c>
    </row>
    <row r="1434" spans="1:19" x14ac:dyDescent="0.3">
      <c r="A1434">
        <v>501433</v>
      </c>
      <c r="B1434">
        <v>55017</v>
      </c>
      <c r="C1434" t="s">
        <v>4</v>
      </c>
      <c r="D1434" t="s">
        <v>19</v>
      </c>
      <c r="E1434" s="1">
        <v>46023</v>
      </c>
      <c r="F1434" t="s">
        <v>89</v>
      </c>
      <c r="G1434" s="1">
        <v>46038</v>
      </c>
      <c r="H1434" s="1" t="str">
        <f t="shared" si="44"/>
        <v>Friday</v>
      </c>
      <c r="I1434">
        <v>55</v>
      </c>
      <c r="J1434" t="s">
        <v>12</v>
      </c>
      <c r="K1434">
        <v>0</v>
      </c>
      <c r="L1434">
        <v>0</v>
      </c>
      <c r="M1434">
        <v>0</v>
      </c>
      <c r="N1434">
        <v>0</v>
      </c>
      <c r="O1434">
        <v>0</v>
      </c>
      <c r="P1434" t="str">
        <f t="shared" si="45"/>
        <v>Non Chronic</v>
      </c>
      <c r="Q1434">
        <v>0</v>
      </c>
      <c r="R1434">
        <v>0</v>
      </c>
      <c r="S1434" t="s">
        <v>0</v>
      </c>
    </row>
    <row r="1435" spans="1:19" x14ac:dyDescent="0.3">
      <c r="A1435">
        <v>501434</v>
      </c>
      <c r="B1435">
        <v>64916</v>
      </c>
      <c r="C1435" t="s">
        <v>4</v>
      </c>
      <c r="D1435" t="s">
        <v>36</v>
      </c>
      <c r="E1435" s="1">
        <v>46127</v>
      </c>
      <c r="F1435" t="s">
        <v>88</v>
      </c>
      <c r="G1435" s="1">
        <v>46129</v>
      </c>
      <c r="H1435" s="1" t="str">
        <f t="shared" si="44"/>
        <v>Friday</v>
      </c>
      <c r="I1435">
        <v>26</v>
      </c>
      <c r="J1435" t="s">
        <v>12</v>
      </c>
      <c r="K1435">
        <v>0</v>
      </c>
      <c r="L1435">
        <v>0</v>
      </c>
      <c r="M1435">
        <v>0</v>
      </c>
      <c r="N1435">
        <v>0</v>
      </c>
      <c r="O1435">
        <v>0</v>
      </c>
      <c r="P1435" t="str">
        <f t="shared" si="45"/>
        <v>Non Chronic</v>
      </c>
      <c r="Q1435">
        <v>1</v>
      </c>
      <c r="R1435">
        <v>0</v>
      </c>
      <c r="S1435" t="s">
        <v>22</v>
      </c>
    </row>
    <row r="1436" spans="1:19" x14ac:dyDescent="0.3">
      <c r="A1436">
        <v>501435</v>
      </c>
      <c r="B1436">
        <v>39724</v>
      </c>
      <c r="C1436" t="s">
        <v>8</v>
      </c>
      <c r="D1436" t="s">
        <v>7</v>
      </c>
      <c r="E1436" s="1">
        <v>46101</v>
      </c>
      <c r="F1436" t="s">
        <v>87</v>
      </c>
      <c r="G1436" s="1">
        <v>46116</v>
      </c>
      <c r="H1436" s="1" t="str">
        <f t="shared" si="44"/>
        <v>Saturday</v>
      </c>
      <c r="I1436">
        <v>34</v>
      </c>
      <c r="J1436" t="s">
        <v>15</v>
      </c>
      <c r="K1436">
        <v>1</v>
      </c>
      <c r="L1436">
        <v>0</v>
      </c>
      <c r="M1436">
        <v>0</v>
      </c>
      <c r="N1436">
        <v>0</v>
      </c>
      <c r="O1436">
        <v>0</v>
      </c>
      <c r="P1436" t="str">
        <f t="shared" si="45"/>
        <v>Non Chronic</v>
      </c>
      <c r="Q1436">
        <v>1</v>
      </c>
      <c r="R1436">
        <v>0</v>
      </c>
      <c r="S1436" t="s">
        <v>22</v>
      </c>
    </row>
    <row r="1437" spans="1:19" x14ac:dyDescent="0.3">
      <c r="A1437">
        <v>501436</v>
      </c>
      <c r="B1437">
        <v>96100</v>
      </c>
      <c r="C1437" t="s">
        <v>8</v>
      </c>
      <c r="D1437" t="s">
        <v>14</v>
      </c>
      <c r="E1437" s="1">
        <v>46058</v>
      </c>
      <c r="F1437" t="s">
        <v>86</v>
      </c>
      <c r="G1437" s="1">
        <v>46088</v>
      </c>
      <c r="H1437" s="1" t="str">
        <f t="shared" si="44"/>
        <v>Saturday</v>
      </c>
      <c r="I1437">
        <v>43</v>
      </c>
      <c r="J1437" t="s">
        <v>1</v>
      </c>
      <c r="K1437">
        <v>1</v>
      </c>
      <c r="L1437">
        <v>0</v>
      </c>
      <c r="M1437">
        <v>0</v>
      </c>
      <c r="N1437">
        <v>0</v>
      </c>
      <c r="O1437">
        <v>0</v>
      </c>
      <c r="P1437" t="str">
        <f t="shared" si="45"/>
        <v>Non Chronic</v>
      </c>
      <c r="Q1437">
        <v>1</v>
      </c>
      <c r="R1437">
        <v>0</v>
      </c>
      <c r="S1437" t="s">
        <v>0</v>
      </c>
    </row>
    <row r="1438" spans="1:19" x14ac:dyDescent="0.3">
      <c r="A1438">
        <v>501437</v>
      </c>
      <c r="B1438">
        <v>30408</v>
      </c>
      <c r="C1438" t="s">
        <v>4</v>
      </c>
      <c r="D1438" t="s">
        <v>36</v>
      </c>
      <c r="E1438" s="1">
        <v>46056</v>
      </c>
      <c r="F1438" t="s">
        <v>85</v>
      </c>
      <c r="G1438" s="1">
        <v>46076</v>
      </c>
      <c r="H1438" s="1" t="str">
        <f t="shared" si="44"/>
        <v>Monday</v>
      </c>
      <c r="I1438">
        <v>33</v>
      </c>
      <c r="J1438" t="s">
        <v>12</v>
      </c>
      <c r="K1438">
        <v>0</v>
      </c>
      <c r="L1438">
        <v>0</v>
      </c>
      <c r="M1438">
        <v>0</v>
      </c>
      <c r="N1438">
        <v>0</v>
      </c>
      <c r="O1438">
        <v>0</v>
      </c>
      <c r="P1438" t="str">
        <f t="shared" si="45"/>
        <v>Non Chronic</v>
      </c>
      <c r="Q1438">
        <v>1</v>
      </c>
      <c r="R1438">
        <v>0</v>
      </c>
      <c r="S1438" t="s">
        <v>22</v>
      </c>
    </row>
    <row r="1439" spans="1:19" x14ac:dyDescent="0.3">
      <c r="A1439">
        <v>501438</v>
      </c>
      <c r="B1439">
        <v>63230</v>
      </c>
      <c r="C1439" t="s">
        <v>8</v>
      </c>
      <c r="D1439" t="s">
        <v>14</v>
      </c>
      <c r="E1439" s="1">
        <v>46000</v>
      </c>
      <c r="F1439" t="s">
        <v>84</v>
      </c>
      <c r="G1439" s="1">
        <v>46002</v>
      </c>
      <c r="H1439" s="1" t="str">
        <f t="shared" si="44"/>
        <v>Thursday</v>
      </c>
      <c r="I1439">
        <v>70</v>
      </c>
      <c r="J1439" t="s">
        <v>12</v>
      </c>
      <c r="K1439">
        <v>0</v>
      </c>
      <c r="L1439">
        <v>0</v>
      </c>
      <c r="M1439">
        <v>1</v>
      </c>
      <c r="N1439">
        <v>1</v>
      </c>
      <c r="O1439">
        <v>0</v>
      </c>
      <c r="P1439" t="str">
        <f t="shared" si="45"/>
        <v>Chronic</v>
      </c>
      <c r="Q1439">
        <v>0</v>
      </c>
      <c r="R1439">
        <v>0</v>
      </c>
      <c r="S1439" t="s">
        <v>9</v>
      </c>
    </row>
    <row r="1440" spans="1:19" x14ac:dyDescent="0.3">
      <c r="A1440">
        <v>501439</v>
      </c>
      <c r="B1440">
        <v>18784</v>
      </c>
      <c r="C1440" t="s">
        <v>8</v>
      </c>
      <c r="D1440" t="s">
        <v>7</v>
      </c>
      <c r="E1440" s="1">
        <v>46031</v>
      </c>
      <c r="F1440" t="s">
        <v>83</v>
      </c>
      <c r="G1440" s="1">
        <v>46038</v>
      </c>
      <c r="H1440" s="1" t="str">
        <f t="shared" si="44"/>
        <v>Friday</v>
      </c>
      <c r="I1440">
        <v>47</v>
      </c>
      <c r="J1440" t="s">
        <v>15</v>
      </c>
      <c r="K1440">
        <v>1</v>
      </c>
      <c r="L1440">
        <v>0</v>
      </c>
      <c r="M1440">
        <v>0</v>
      </c>
      <c r="N1440">
        <v>1</v>
      </c>
      <c r="O1440">
        <v>0</v>
      </c>
      <c r="P1440" t="str">
        <f t="shared" si="45"/>
        <v>Non Chronic</v>
      </c>
      <c r="Q1440">
        <v>1</v>
      </c>
      <c r="R1440">
        <v>0</v>
      </c>
      <c r="S1440" t="s">
        <v>0</v>
      </c>
    </row>
    <row r="1441" spans="1:19" x14ac:dyDescent="0.3">
      <c r="A1441">
        <v>501440</v>
      </c>
      <c r="B1441">
        <v>49817</v>
      </c>
      <c r="C1441" t="s">
        <v>8</v>
      </c>
      <c r="D1441" t="s">
        <v>7</v>
      </c>
      <c r="E1441" s="1">
        <v>46016</v>
      </c>
      <c r="F1441" t="s">
        <v>82</v>
      </c>
      <c r="G1441" s="1">
        <v>46019</v>
      </c>
      <c r="H1441" s="1" t="str">
        <f t="shared" si="44"/>
        <v>Sunday</v>
      </c>
      <c r="I1441">
        <v>52</v>
      </c>
      <c r="J1441" t="s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 t="str">
        <f t="shared" si="45"/>
        <v>Non Chronic</v>
      </c>
      <c r="Q1441">
        <v>1</v>
      </c>
      <c r="R1441">
        <v>0</v>
      </c>
      <c r="S1441" t="s">
        <v>0</v>
      </c>
    </row>
    <row r="1442" spans="1:19" x14ac:dyDescent="0.3">
      <c r="A1442">
        <v>501441</v>
      </c>
      <c r="B1442">
        <v>60299</v>
      </c>
      <c r="C1442" t="s">
        <v>4</v>
      </c>
      <c r="D1442" t="s">
        <v>3</v>
      </c>
      <c r="E1442" s="1">
        <v>46028</v>
      </c>
      <c r="F1442" t="s">
        <v>81</v>
      </c>
      <c r="G1442" s="1">
        <v>46031</v>
      </c>
      <c r="H1442" s="1" t="str">
        <f t="shared" si="44"/>
        <v>Friday</v>
      </c>
      <c r="I1442">
        <v>51</v>
      </c>
      <c r="J1442" t="s">
        <v>1</v>
      </c>
      <c r="K1442">
        <v>1</v>
      </c>
      <c r="L1442">
        <v>0</v>
      </c>
      <c r="M1442">
        <v>0</v>
      </c>
      <c r="N1442">
        <v>0</v>
      </c>
      <c r="O1442">
        <v>0</v>
      </c>
      <c r="P1442" t="str">
        <f t="shared" si="45"/>
        <v>Non Chronic</v>
      </c>
      <c r="Q1442">
        <v>0</v>
      </c>
      <c r="R1442">
        <v>0</v>
      </c>
      <c r="S1442" t="s">
        <v>0</v>
      </c>
    </row>
    <row r="1443" spans="1:19" x14ac:dyDescent="0.3">
      <c r="A1443">
        <v>501442</v>
      </c>
      <c r="B1443">
        <v>21380</v>
      </c>
      <c r="C1443" t="s">
        <v>8</v>
      </c>
      <c r="D1443" t="s">
        <v>25</v>
      </c>
      <c r="E1443" s="1">
        <v>45995</v>
      </c>
      <c r="F1443" t="s">
        <v>37</v>
      </c>
      <c r="G1443" s="1">
        <v>46000</v>
      </c>
      <c r="H1443" s="1" t="str">
        <f t="shared" si="44"/>
        <v>Tuesday</v>
      </c>
      <c r="I1443">
        <v>61</v>
      </c>
      <c r="J1443" t="s">
        <v>12</v>
      </c>
      <c r="K1443">
        <v>0</v>
      </c>
      <c r="L1443">
        <v>1</v>
      </c>
      <c r="M1443">
        <v>0</v>
      </c>
      <c r="N1443">
        <v>0</v>
      </c>
      <c r="O1443">
        <v>0</v>
      </c>
      <c r="P1443" t="str">
        <f t="shared" si="45"/>
        <v>Chronic</v>
      </c>
      <c r="Q1443">
        <v>0</v>
      </c>
      <c r="R1443">
        <v>0</v>
      </c>
      <c r="S1443" t="s">
        <v>9</v>
      </c>
    </row>
    <row r="1444" spans="1:19" x14ac:dyDescent="0.3">
      <c r="A1444">
        <v>501443</v>
      </c>
      <c r="B1444">
        <v>71509</v>
      </c>
      <c r="C1444" t="s">
        <v>4</v>
      </c>
      <c r="D1444" t="s">
        <v>19</v>
      </c>
      <c r="E1444" s="1">
        <v>46060</v>
      </c>
      <c r="F1444" t="s">
        <v>80</v>
      </c>
      <c r="G1444" s="1">
        <v>46060</v>
      </c>
      <c r="H1444" s="1" t="str">
        <f t="shared" si="44"/>
        <v>Saturday</v>
      </c>
      <c r="I1444">
        <v>41</v>
      </c>
      <c r="J1444" t="s">
        <v>5</v>
      </c>
      <c r="K1444">
        <v>1</v>
      </c>
      <c r="L1444">
        <v>0</v>
      </c>
      <c r="M1444">
        <v>1</v>
      </c>
      <c r="N1444">
        <v>0</v>
      </c>
      <c r="O1444">
        <v>0</v>
      </c>
      <c r="P1444" t="str">
        <f t="shared" si="45"/>
        <v>Chronic</v>
      </c>
      <c r="Q1444">
        <v>1</v>
      </c>
      <c r="R1444">
        <v>0</v>
      </c>
      <c r="S1444" t="s">
        <v>0</v>
      </c>
    </row>
    <row r="1445" spans="1:19" x14ac:dyDescent="0.3">
      <c r="A1445">
        <v>501444</v>
      </c>
      <c r="B1445">
        <v>13700</v>
      </c>
      <c r="C1445" t="s">
        <v>8</v>
      </c>
      <c r="D1445" t="s">
        <v>58</v>
      </c>
      <c r="E1445" s="1">
        <v>46071</v>
      </c>
      <c r="F1445" t="s">
        <v>79</v>
      </c>
      <c r="G1445" s="1">
        <v>46072</v>
      </c>
      <c r="H1445" s="1" t="str">
        <f t="shared" si="44"/>
        <v>Thursday</v>
      </c>
      <c r="I1445">
        <v>12</v>
      </c>
      <c r="J1445" t="s">
        <v>12</v>
      </c>
      <c r="K1445">
        <v>0</v>
      </c>
      <c r="L1445">
        <v>0</v>
      </c>
      <c r="M1445">
        <v>0</v>
      </c>
      <c r="N1445">
        <v>0</v>
      </c>
      <c r="O1445">
        <v>0</v>
      </c>
      <c r="P1445" t="str">
        <f t="shared" si="45"/>
        <v>Non Chronic</v>
      </c>
      <c r="Q1445">
        <v>1</v>
      </c>
      <c r="R1445">
        <v>0</v>
      </c>
      <c r="S1445" t="s">
        <v>30</v>
      </c>
    </row>
    <row r="1446" spans="1:19" x14ac:dyDescent="0.3">
      <c r="A1446">
        <v>501445</v>
      </c>
      <c r="B1446">
        <v>80210</v>
      </c>
      <c r="C1446" t="s">
        <v>4</v>
      </c>
      <c r="D1446" t="s">
        <v>25</v>
      </c>
      <c r="E1446" s="1">
        <v>46149</v>
      </c>
      <c r="F1446" t="s">
        <v>78</v>
      </c>
      <c r="G1446" s="1">
        <v>46169</v>
      </c>
      <c r="H1446" s="1" t="str">
        <f t="shared" si="44"/>
        <v>Wednesday</v>
      </c>
      <c r="I1446">
        <v>45</v>
      </c>
      <c r="J1446" t="s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 t="str">
        <f t="shared" si="45"/>
        <v>Non Chronic</v>
      </c>
      <c r="Q1446">
        <v>1</v>
      </c>
      <c r="R1446">
        <v>1</v>
      </c>
      <c r="S1446" t="s">
        <v>0</v>
      </c>
    </row>
    <row r="1447" spans="1:19" x14ac:dyDescent="0.3">
      <c r="A1447">
        <v>501446</v>
      </c>
      <c r="B1447">
        <v>48048</v>
      </c>
      <c r="C1447" t="s">
        <v>8</v>
      </c>
      <c r="D1447" t="s">
        <v>3</v>
      </c>
      <c r="E1447" s="1">
        <v>46012</v>
      </c>
      <c r="F1447" t="s">
        <v>77</v>
      </c>
      <c r="G1447" s="1">
        <v>46012</v>
      </c>
      <c r="H1447" s="1" t="str">
        <f t="shared" si="44"/>
        <v>Sunday</v>
      </c>
      <c r="I1447">
        <v>24</v>
      </c>
      <c r="J1447" t="s">
        <v>15</v>
      </c>
      <c r="K1447">
        <v>0</v>
      </c>
      <c r="L1447">
        <v>0</v>
      </c>
      <c r="M1447">
        <v>0</v>
      </c>
      <c r="N1447">
        <v>0</v>
      </c>
      <c r="O1447">
        <v>0</v>
      </c>
      <c r="P1447" t="str">
        <f t="shared" si="45"/>
        <v>Non Chronic</v>
      </c>
      <c r="Q1447">
        <v>1</v>
      </c>
      <c r="R1447">
        <v>0</v>
      </c>
      <c r="S1447" t="s">
        <v>22</v>
      </c>
    </row>
    <row r="1448" spans="1:19" x14ac:dyDescent="0.3">
      <c r="A1448">
        <v>501447</v>
      </c>
      <c r="B1448">
        <v>60764</v>
      </c>
      <c r="C1448" t="s">
        <v>4</v>
      </c>
      <c r="D1448" t="s">
        <v>3</v>
      </c>
      <c r="E1448" s="1">
        <v>46074</v>
      </c>
      <c r="F1448" t="s">
        <v>76</v>
      </c>
      <c r="G1448" s="1">
        <v>46077</v>
      </c>
      <c r="H1448" s="1" t="str">
        <f t="shared" si="44"/>
        <v>Tuesday</v>
      </c>
      <c r="I1448">
        <v>27</v>
      </c>
      <c r="J1448" t="s">
        <v>17</v>
      </c>
      <c r="K1448">
        <v>1</v>
      </c>
      <c r="L1448">
        <v>0</v>
      </c>
      <c r="M1448">
        <v>0</v>
      </c>
      <c r="N1448">
        <v>0</v>
      </c>
      <c r="O1448">
        <v>0</v>
      </c>
      <c r="P1448" t="str">
        <f t="shared" si="45"/>
        <v>Non Chronic</v>
      </c>
      <c r="Q1448">
        <v>1</v>
      </c>
      <c r="R1448">
        <v>0</v>
      </c>
      <c r="S1448" t="s">
        <v>22</v>
      </c>
    </row>
    <row r="1449" spans="1:19" x14ac:dyDescent="0.3">
      <c r="A1449">
        <v>501448</v>
      </c>
      <c r="B1449">
        <v>39980</v>
      </c>
      <c r="C1449" t="s">
        <v>8</v>
      </c>
      <c r="D1449" t="s">
        <v>58</v>
      </c>
      <c r="E1449" s="1">
        <v>46109</v>
      </c>
      <c r="F1449" t="s">
        <v>75</v>
      </c>
      <c r="G1449" s="1">
        <v>46116</v>
      </c>
      <c r="H1449" s="1" t="str">
        <f t="shared" si="44"/>
        <v>Saturday</v>
      </c>
      <c r="I1449">
        <v>49</v>
      </c>
      <c r="J1449" t="s">
        <v>15</v>
      </c>
      <c r="K1449">
        <v>0</v>
      </c>
      <c r="L1449">
        <v>1</v>
      </c>
      <c r="M1449">
        <v>0</v>
      </c>
      <c r="N1449">
        <v>0</v>
      </c>
      <c r="O1449">
        <v>0</v>
      </c>
      <c r="P1449" t="str">
        <f t="shared" si="45"/>
        <v>Chronic</v>
      </c>
      <c r="Q1449">
        <v>1</v>
      </c>
      <c r="R1449">
        <v>0</v>
      </c>
      <c r="S1449" t="s">
        <v>0</v>
      </c>
    </row>
    <row r="1450" spans="1:19" x14ac:dyDescent="0.3">
      <c r="A1450">
        <v>501449</v>
      </c>
      <c r="B1450">
        <v>66357</v>
      </c>
      <c r="C1450" t="s">
        <v>4</v>
      </c>
      <c r="D1450" t="s">
        <v>19</v>
      </c>
      <c r="E1450" s="1">
        <v>46021</v>
      </c>
      <c r="F1450" t="s">
        <v>66</v>
      </c>
      <c r="G1450" s="1">
        <v>46021</v>
      </c>
      <c r="H1450" s="1" t="str">
        <f t="shared" si="44"/>
        <v>Tuesday</v>
      </c>
      <c r="I1450">
        <v>62</v>
      </c>
      <c r="J1450" t="s">
        <v>12</v>
      </c>
      <c r="K1450">
        <v>0</v>
      </c>
      <c r="L1450">
        <v>0</v>
      </c>
      <c r="M1450">
        <v>1</v>
      </c>
      <c r="N1450">
        <v>0</v>
      </c>
      <c r="O1450">
        <v>0</v>
      </c>
      <c r="P1450" t="str">
        <f t="shared" si="45"/>
        <v>Chronic</v>
      </c>
      <c r="Q1450">
        <v>1</v>
      </c>
      <c r="R1450">
        <v>0</v>
      </c>
      <c r="S1450" t="s">
        <v>9</v>
      </c>
    </row>
    <row r="1451" spans="1:19" x14ac:dyDescent="0.3">
      <c r="A1451">
        <v>501450</v>
      </c>
      <c r="B1451">
        <v>97123</v>
      </c>
      <c r="C1451" t="s">
        <v>8</v>
      </c>
      <c r="D1451" t="s">
        <v>7</v>
      </c>
      <c r="E1451" s="1">
        <v>46022</v>
      </c>
      <c r="F1451" t="s">
        <v>74</v>
      </c>
      <c r="G1451" s="1">
        <v>46042</v>
      </c>
      <c r="H1451" s="1" t="str">
        <f t="shared" si="44"/>
        <v>Tuesday</v>
      </c>
      <c r="I1451">
        <v>38</v>
      </c>
      <c r="J1451" t="s">
        <v>23</v>
      </c>
      <c r="K1451">
        <v>0</v>
      </c>
      <c r="L1451">
        <v>0</v>
      </c>
      <c r="M1451">
        <v>0</v>
      </c>
      <c r="N1451">
        <v>0</v>
      </c>
      <c r="O1451">
        <v>0</v>
      </c>
      <c r="P1451" t="str">
        <f t="shared" si="45"/>
        <v>Non Chronic</v>
      </c>
      <c r="Q1451">
        <v>1</v>
      </c>
      <c r="R1451">
        <v>1</v>
      </c>
      <c r="S1451" t="s">
        <v>22</v>
      </c>
    </row>
    <row r="1452" spans="1:19" x14ac:dyDescent="0.3">
      <c r="A1452">
        <v>501451</v>
      </c>
      <c r="B1452">
        <v>84766</v>
      </c>
      <c r="C1452" t="s">
        <v>4</v>
      </c>
      <c r="D1452" t="s">
        <v>14</v>
      </c>
      <c r="E1452" s="1">
        <v>46136</v>
      </c>
      <c r="F1452" t="s">
        <v>73</v>
      </c>
      <c r="G1452" s="1">
        <v>46166</v>
      </c>
      <c r="H1452" s="1" t="str">
        <f t="shared" si="44"/>
        <v>Sunday</v>
      </c>
      <c r="I1452">
        <v>44</v>
      </c>
      <c r="J1452" t="s">
        <v>10</v>
      </c>
      <c r="K1452">
        <v>1</v>
      </c>
      <c r="L1452">
        <v>0</v>
      </c>
      <c r="M1452">
        <v>0</v>
      </c>
      <c r="N1452">
        <v>0</v>
      </c>
      <c r="O1452">
        <v>0</v>
      </c>
      <c r="P1452" t="str">
        <f t="shared" si="45"/>
        <v>Non Chronic</v>
      </c>
      <c r="Q1452">
        <v>1</v>
      </c>
      <c r="R1452">
        <v>0</v>
      </c>
      <c r="S1452" t="s">
        <v>0</v>
      </c>
    </row>
    <row r="1453" spans="1:19" x14ac:dyDescent="0.3">
      <c r="A1453">
        <v>501452</v>
      </c>
      <c r="B1453">
        <v>25184</v>
      </c>
      <c r="C1453" t="s">
        <v>4</v>
      </c>
      <c r="D1453" t="s">
        <v>14</v>
      </c>
      <c r="E1453" s="1">
        <v>45992</v>
      </c>
      <c r="F1453" t="s">
        <v>72</v>
      </c>
      <c r="G1453" s="1">
        <v>45997</v>
      </c>
      <c r="H1453" s="1" t="str">
        <f t="shared" si="44"/>
        <v>Saturday</v>
      </c>
      <c r="I1453">
        <v>72</v>
      </c>
      <c r="J1453" t="s">
        <v>45</v>
      </c>
      <c r="K1453">
        <v>0</v>
      </c>
      <c r="L1453">
        <v>1</v>
      </c>
      <c r="M1453">
        <v>0</v>
      </c>
      <c r="N1453">
        <v>0</v>
      </c>
      <c r="O1453">
        <v>0</v>
      </c>
      <c r="P1453" t="str">
        <f t="shared" si="45"/>
        <v>Chronic</v>
      </c>
      <c r="Q1453">
        <v>1</v>
      </c>
      <c r="R1453">
        <v>0</v>
      </c>
      <c r="S1453" t="s">
        <v>9</v>
      </c>
    </row>
    <row r="1454" spans="1:19" x14ac:dyDescent="0.3">
      <c r="A1454">
        <v>501453</v>
      </c>
      <c r="B1454">
        <v>44850</v>
      </c>
      <c r="C1454" t="s">
        <v>4</v>
      </c>
      <c r="D1454" t="s">
        <v>25</v>
      </c>
      <c r="E1454" s="1">
        <v>46056</v>
      </c>
      <c r="F1454" t="s">
        <v>71</v>
      </c>
      <c r="G1454" s="1">
        <v>46071</v>
      </c>
      <c r="H1454" s="1" t="str">
        <f t="shared" si="44"/>
        <v>Wednesday</v>
      </c>
      <c r="I1454">
        <v>42</v>
      </c>
      <c r="J1454" t="s">
        <v>31</v>
      </c>
      <c r="K1454">
        <v>1</v>
      </c>
      <c r="L1454">
        <v>0</v>
      </c>
      <c r="M1454">
        <v>0</v>
      </c>
      <c r="N1454">
        <v>0</v>
      </c>
      <c r="O1454">
        <v>0</v>
      </c>
      <c r="P1454" t="str">
        <f t="shared" si="45"/>
        <v>Non Chronic</v>
      </c>
      <c r="Q1454">
        <v>1</v>
      </c>
      <c r="R1454">
        <v>0</v>
      </c>
      <c r="S1454" t="s">
        <v>0</v>
      </c>
    </row>
    <row r="1455" spans="1:19" x14ac:dyDescent="0.3">
      <c r="A1455">
        <v>501454</v>
      </c>
      <c r="B1455">
        <v>72748</v>
      </c>
      <c r="C1455" t="s">
        <v>4</v>
      </c>
      <c r="D1455" t="s">
        <v>58</v>
      </c>
      <c r="E1455" s="1">
        <v>46072</v>
      </c>
      <c r="F1455" t="s">
        <v>70</v>
      </c>
      <c r="G1455" s="1">
        <v>46082</v>
      </c>
      <c r="H1455" s="1" t="str">
        <f t="shared" si="44"/>
        <v>Sunday</v>
      </c>
      <c r="I1455">
        <v>90</v>
      </c>
      <c r="J1455" t="s">
        <v>31</v>
      </c>
      <c r="K1455">
        <v>1</v>
      </c>
      <c r="L1455">
        <v>0</v>
      </c>
      <c r="M1455">
        <v>0</v>
      </c>
      <c r="N1455">
        <v>0</v>
      </c>
      <c r="O1455">
        <v>0</v>
      </c>
      <c r="P1455" t="str">
        <f t="shared" si="45"/>
        <v>Non Chronic</v>
      </c>
      <c r="Q1455">
        <v>0</v>
      </c>
      <c r="R1455">
        <v>1</v>
      </c>
      <c r="S1455" t="s">
        <v>9</v>
      </c>
    </row>
    <row r="1456" spans="1:19" x14ac:dyDescent="0.3">
      <c r="A1456">
        <v>501455</v>
      </c>
      <c r="B1456">
        <v>18912</v>
      </c>
      <c r="C1456" t="s">
        <v>8</v>
      </c>
      <c r="D1456" t="s">
        <v>58</v>
      </c>
      <c r="E1456" s="1">
        <v>46032</v>
      </c>
      <c r="F1456" t="s">
        <v>69</v>
      </c>
      <c r="G1456" s="1">
        <v>46035</v>
      </c>
      <c r="H1456" s="1" t="str">
        <f t="shared" si="44"/>
        <v>Tuesday</v>
      </c>
      <c r="I1456">
        <v>49</v>
      </c>
      <c r="J1456" t="s">
        <v>1</v>
      </c>
      <c r="K1456">
        <v>0</v>
      </c>
      <c r="L1456">
        <v>1</v>
      </c>
      <c r="M1456">
        <v>0</v>
      </c>
      <c r="N1456">
        <v>0</v>
      </c>
      <c r="O1456">
        <v>0</v>
      </c>
      <c r="P1456" t="str">
        <f t="shared" si="45"/>
        <v>Chronic</v>
      </c>
      <c r="Q1456">
        <v>1</v>
      </c>
      <c r="R1456">
        <v>0</v>
      </c>
      <c r="S1456" t="s">
        <v>0</v>
      </c>
    </row>
    <row r="1457" spans="1:19" x14ac:dyDescent="0.3">
      <c r="A1457">
        <v>501456</v>
      </c>
      <c r="B1457">
        <v>17821</v>
      </c>
      <c r="C1457" t="s">
        <v>8</v>
      </c>
      <c r="D1457" t="s">
        <v>36</v>
      </c>
      <c r="E1457" s="1">
        <v>46122</v>
      </c>
      <c r="F1457" t="s">
        <v>68</v>
      </c>
      <c r="G1457" s="1">
        <v>46137</v>
      </c>
      <c r="H1457" s="1" t="str">
        <f t="shared" si="44"/>
        <v>Saturday</v>
      </c>
      <c r="I1457">
        <v>2</v>
      </c>
      <c r="J1457" t="s">
        <v>20</v>
      </c>
      <c r="K1457">
        <v>0</v>
      </c>
      <c r="L1457">
        <v>0</v>
      </c>
      <c r="M1457">
        <v>0</v>
      </c>
      <c r="N1457">
        <v>0</v>
      </c>
      <c r="O1457">
        <v>0</v>
      </c>
      <c r="P1457" t="str">
        <f t="shared" si="45"/>
        <v>Non Chronic</v>
      </c>
      <c r="Q1457">
        <v>1</v>
      </c>
      <c r="R1457">
        <v>0</v>
      </c>
      <c r="S1457" t="s">
        <v>30</v>
      </c>
    </row>
    <row r="1458" spans="1:19" x14ac:dyDescent="0.3">
      <c r="A1458">
        <v>501457</v>
      </c>
      <c r="B1458">
        <v>58979</v>
      </c>
      <c r="C1458" t="s">
        <v>8</v>
      </c>
      <c r="D1458" t="s">
        <v>7</v>
      </c>
      <c r="E1458" s="1">
        <v>46048</v>
      </c>
      <c r="F1458" t="s">
        <v>67</v>
      </c>
      <c r="G1458" s="1">
        <v>46063</v>
      </c>
      <c r="H1458" s="1" t="str">
        <f t="shared" si="44"/>
        <v>Tuesday</v>
      </c>
      <c r="I1458">
        <v>53</v>
      </c>
      <c r="J1458" t="s">
        <v>1</v>
      </c>
      <c r="K1458">
        <v>0</v>
      </c>
      <c r="L1458">
        <v>0</v>
      </c>
      <c r="M1458">
        <v>1</v>
      </c>
      <c r="N1458">
        <v>0</v>
      </c>
      <c r="O1458">
        <v>0</v>
      </c>
      <c r="P1458" t="str">
        <f t="shared" si="45"/>
        <v>Chronic</v>
      </c>
      <c r="Q1458">
        <v>0</v>
      </c>
      <c r="R1458">
        <v>0</v>
      </c>
      <c r="S1458" t="s">
        <v>0</v>
      </c>
    </row>
    <row r="1459" spans="1:19" x14ac:dyDescent="0.3">
      <c r="A1459">
        <v>501458</v>
      </c>
      <c r="B1459">
        <v>93275</v>
      </c>
      <c r="C1459" t="s">
        <v>4</v>
      </c>
      <c r="D1459" t="s">
        <v>14</v>
      </c>
      <c r="E1459" s="1">
        <v>46143</v>
      </c>
      <c r="F1459" t="s">
        <v>66</v>
      </c>
      <c r="G1459" s="1">
        <v>46150</v>
      </c>
      <c r="H1459" s="1" t="str">
        <f t="shared" si="44"/>
        <v>Friday</v>
      </c>
      <c r="I1459">
        <v>45</v>
      </c>
      <c r="J1459" t="s">
        <v>1</v>
      </c>
      <c r="K1459">
        <v>1</v>
      </c>
      <c r="L1459">
        <v>0</v>
      </c>
      <c r="M1459">
        <v>0</v>
      </c>
      <c r="N1459">
        <v>1</v>
      </c>
      <c r="O1459">
        <v>0</v>
      </c>
      <c r="P1459" t="str">
        <f t="shared" si="45"/>
        <v>Non Chronic</v>
      </c>
      <c r="Q1459">
        <v>1</v>
      </c>
      <c r="R1459">
        <v>0</v>
      </c>
      <c r="S1459" t="s">
        <v>0</v>
      </c>
    </row>
    <row r="1460" spans="1:19" x14ac:dyDescent="0.3">
      <c r="A1460">
        <v>501459</v>
      </c>
      <c r="B1460">
        <v>29079</v>
      </c>
      <c r="C1460" t="s">
        <v>4</v>
      </c>
      <c r="D1460" t="s">
        <v>19</v>
      </c>
      <c r="E1460" s="1">
        <v>45991</v>
      </c>
      <c r="F1460" t="s">
        <v>65</v>
      </c>
      <c r="G1460" s="1">
        <v>46006</v>
      </c>
      <c r="H1460" s="1" t="str">
        <f t="shared" si="44"/>
        <v>Monday</v>
      </c>
      <c r="I1460">
        <v>63</v>
      </c>
      <c r="J1460" t="s">
        <v>5</v>
      </c>
      <c r="K1460">
        <v>1</v>
      </c>
      <c r="L1460">
        <v>1</v>
      </c>
      <c r="M1460">
        <v>0</v>
      </c>
      <c r="N1460">
        <v>0</v>
      </c>
      <c r="O1460">
        <v>0</v>
      </c>
      <c r="P1460" t="str">
        <f t="shared" si="45"/>
        <v>Chronic</v>
      </c>
      <c r="Q1460">
        <v>1</v>
      </c>
      <c r="R1460">
        <v>0</v>
      </c>
      <c r="S1460" t="s">
        <v>9</v>
      </c>
    </row>
    <row r="1461" spans="1:19" x14ac:dyDescent="0.3">
      <c r="A1461">
        <v>501460</v>
      </c>
      <c r="B1461">
        <v>71592</v>
      </c>
      <c r="C1461" t="s">
        <v>8</v>
      </c>
      <c r="D1461" t="s">
        <v>3</v>
      </c>
      <c r="E1461" s="1">
        <v>46018</v>
      </c>
      <c r="F1461" t="s">
        <v>64</v>
      </c>
      <c r="G1461" s="1">
        <v>46021</v>
      </c>
      <c r="H1461" s="1" t="str">
        <f t="shared" si="44"/>
        <v>Tuesday</v>
      </c>
      <c r="I1461">
        <v>51</v>
      </c>
      <c r="J1461" t="s">
        <v>1</v>
      </c>
      <c r="K1461">
        <v>0</v>
      </c>
      <c r="L1461">
        <v>0</v>
      </c>
      <c r="M1461">
        <v>1</v>
      </c>
      <c r="N1461">
        <v>0</v>
      </c>
      <c r="O1461">
        <v>0</v>
      </c>
      <c r="P1461" t="str">
        <f t="shared" si="45"/>
        <v>Chronic</v>
      </c>
      <c r="Q1461">
        <v>1</v>
      </c>
      <c r="R1461">
        <v>0</v>
      </c>
      <c r="S1461" t="s">
        <v>0</v>
      </c>
    </row>
    <row r="1462" spans="1:19" x14ac:dyDescent="0.3">
      <c r="A1462">
        <v>501461</v>
      </c>
      <c r="B1462">
        <v>42976</v>
      </c>
      <c r="C1462" t="s">
        <v>8</v>
      </c>
      <c r="D1462" t="s">
        <v>25</v>
      </c>
      <c r="E1462" s="1">
        <v>45992</v>
      </c>
      <c r="F1462" t="s">
        <v>63</v>
      </c>
      <c r="G1462" s="1">
        <v>46012</v>
      </c>
      <c r="H1462" s="1" t="str">
        <f t="shared" si="44"/>
        <v>Sunday</v>
      </c>
      <c r="I1462">
        <v>35</v>
      </c>
      <c r="J1462" t="s">
        <v>5</v>
      </c>
      <c r="K1462">
        <v>0</v>
      </c>
      <c r="L1462">
        <v>0</v>
      </c>
      <c r="M1462">
        <v>0</v>
      </c>
      <c r="N1462">
        <v>0</v>
      </c>
      <c r="O1462">
        <v>0</v>
      </c>
      <c r="P1462" t="str">
        <f t="shared" si="45"/>
        <v>Non Chronic</v>
      </c>
      <c r="Q1462">
        <v>0</v>
      </c>
      <c r="R1462">
        <v>0</v>
      </c>
      <c r="S1462" t="s">
        <v>22</v>
      </c>
    </row>
    <row r="1463" spans="1:19" x14ac:dyDescent="0.3">
      <c r="A1463">
        <v>501462</v>
      </c>
      <c r="B1463">
        <v>55680</v>
      </c>
      <c r="C1463" t="s">
        <v>8</v>
      </c>
      <c r="D1463" t="s">
        <v>14</v>
      </c>
      <c r="E1463" s="1">
        <v>46130</v>
      </c>
      <c r="F1463" t="s">
        <v>62</v>
      </c>
      <c r="G1463" s="1">
        <v>46135</v>
      </c>
      <c r="H1463" s="1" t="str">
        <f t="shared" si="44"/>
        <v>Thursday</v>
      </c>
      <c r="I1463">
        <v>13</v>
      </c>
      <c r="J1463" t="s">
        <v>20</v>
      </c>
      <c r="K1463">
        <v>0</v>
      </c>
      <c r="L1463">
        <v>0</v>
      </c>
      <c r="M1463">
        <v>0</v>
      </c>
      <c r="N1463">
        <v>0</v>
      </c>
      <c r="O1463">
        <v>0</v>
      </c>
      <c r="P1463" t="str">
        <f t="shared" si="45"/>
        <v>Non Chronic</v>
      </c>
      <c r="Q1463">
        <v>1</v>
      </c>
      <c r="R1463">
        <v>0</v>
      </c>
      <c r="S1463" t="s">
        <v>30</v>
      </c>
    </row>
    <row r="1464" spans="1:19" x14ac:dyDescent="0.3">
      <c r="A1464">
        <v>501463</v>
      </c>
      <c r="B1464">
        <v>65554</v>
      </c>
      <c r="C1464" t="s">
        <v>4</v>
      </c>
      <c r="D1464" t="s">
        <v>28</v>
      </c>
      <c r="E1464" s="1">
        <v>46113</v>
      </c>
      <c r="F1464" t="s">
        <v>61</v>
      </c>
      <c r="G1464" s="1">
        <v>46116</v>
      </c>
      <c r="H1464" s="1" t="str">
        <f t="shared" si="44"/>
        <v>Saturday</v>
      </c>
      <c r="I1464">
        <v>33</v>
      </c>
      <c r="J1464" t="s">
        <v>5</v>
      </c>
      <c r="K1464">
        <v>0</v>
      </c>
      <c r="L1464">
        <v>0</v>
      </c>
      <c r="M1464">
        <v>0</v>
      </c>
      <c r="N1464">
        <v>0</v>
      </c>
      <c r="O1464">
        <v>0</v>
      </c>
      <c r="P1464" t="str">
        <f t="shared" si="45"/>
        <v>Non Chronic</v>
      </c>
      <c r="Q1464">
        <v>1</v>
      </c>
      <c r="R1464">
        <v>0</v>
      </c>
      <c r="S1464" t="s">
        <v>22</v>
      </c>
    </row>
    <row r="1465" spans="1:19" x14ac:dyDescent="0.3">
      <c r="A1465">
        <v>501464</v>
      </c>
      <c r="B1465">
        <v>70645</v>
      </c>
      <c r="C1465" t="s">
        <v>4</v>
      </c>
      <c r="D1465" t="s">
        <v>58</v>
      </c>
      <c r="E1465" s="1">
        <v>46113</v>
      </c>
      <c r="F1465" t="s">
        <v>60</v>
      </c>
      <c r="G1465" s="1">
        <v>46115</v>
      </c>
      <c r="H1465" s="1" t="str">
        <f t="shared" si="44"/>
        <v>Friday</v>
      </c>
      <c r="I1465">
        <v>20</v>
      </c>
      <c r="J1465" t="s">
        <v>5</v>
      </c>
      <c r="K1465">
        <v>0</v>
      </c>
      <c r="L1465">
        <v>0</v>
      </c>
      <c r="M1465">
        <v>0</v>
      </c>
      <c r="N1465">
        <v>0</v>
      </c>
      <c r="O1465">
        <v>0</v>
      </c>
      <c r="P1465" t="str">
        <f t="shared" si="45"/>
        <v>Non Chronic</v>
      </c>
      <c r="Q1465">
        <v>0</v>
      </c>
      <c r="R1465">
        <v>0</v>
      </c>
      <c r="S1465" t="s">
        <v>22</v>
      </c>
    </row>
    <row r="1466" spans="1:19" x14ac:dyDescent="0.3">
      <c r="A1466">
        <v>501465</v>
      </c>
      <c r="B1466">
        <v>33996</v>
      </c>
      <c r="C1466" t="s">
        <v>8</v>
      </c>
      <c r="D1466" t="s">
        <v>19</v>
      </c>
      <c r="E1466" s="1">
        <v>46075</v>
      </c>
      <c r="F1466" t="s">
        <v>59</v>
      </c>
      <c r="G1466" s="1">
        <v>46077</v>
      </c>
      <c r="H1466" s="1" t="str">
        <f t="shared" si="44"/>
        <v>Tuesday</v>
      </c>
      <c r="I1466">
        <v>26</v>
      </c>
      <c r="J1466" t="s">
        <v>45</v>
      </c>
      <c r="K1466">
        <v>1</v>
      </c>
      <c r="L1466">
        <v>0</v>
      </c>
      <c r="M1466">
        <v>0</v>
      </c>
      <c r="N1466">
        <v>0</v>
      </c>
      <c r="O1466">
        <v>0</v>
      </c>
      <c r="P1466" t="str">
        <f t="shared" si="45"/>
        <v>Non Chronic</v>
      </c>
      <c r="Q1466">
        <v>1</v>
      </c>
      <c r="R1466">
        <v>0</v>
      </c>
      <c r="S1466" t="s">
        <v>22</v>
      </c>
    </row>
    <row r="1467" spans="1:19" x14ac:dyDescent="0.3">
      <c r="A1467">
        <v>501466</v>
      </c>
      <c r="B1467">
        <v>29181</v>
      </c>
      <c r="C1467" t="s">
        <v>8</v>
      </c>
      <c r="D1467" t="s">
        <v>58</v>
      </c>
      <c r="E1467" s="1">
        <v>46047</v>
      </c>
      <c r="F1467" t="s">
        <v>57</v>
      </c>
      <c r="G1467" s="1">
        <v>46047</v>
      </c>
      <c r="H1467" s="1" t="str">
        <f t="shared" si="44"/>
        <v>Sunday</v>
      </c>
      <c r="I1467">
        <v>49</v>
      </c>
      <c r="J1467" t="s">
        <v>5</v>
      </c>
      <c r="K1467">
        <v>0</v>
      </c>
      <c r="L1467">
        <v>0</v>
      </c>
      <c r="M1467">
        <v>0</v>
      </c>
      <c r="N1467">
        <v>0</v>
      </c>
      <c r="O1467">
        <v>0</v>
      </c>
      <c r="P1467" t="str">
        <f t="shared" si="45"/>
        <v>Non Chronic</v>
      </c>
      <c r="Q1467">
        <v>1</v>
      </c>
      <c r="R1467">
        <v>0</v>
      </c>
      <c r="S1467" t="s">
        <v>0</v>
      </c>
    </row>
    <row r="1468" spans="1:19" x14ac:dyDescent="0.3">
      <c r="A1468">
        <v>501467</v>
      </c>
      <c r="B1468">
        <v>74887</v>
      </c>
      <c r="C1468" t="s">
        <v>8</v>
      </c>
      <c r="D1468" t="s">
        <v>25</v>
      </c>
      <c r="E1468" s="1">
        <v>46057</v>
      </c>
      <c r="F1468" t="s">
        <v>56</v>
      </c>
      <c r="G1468" s="1">
        <v>46064</v>
      </c>
      <c r="H1468" s="1" t="str">
        <f t="shared" si="44"/>
        <v>Wednesday</v>
      </c>
      <c r="I1468">
        <v>71</v>
      </c>
      <c r="J1468" t="s">
        <v>12</v>
      </c>
      <c r="K1468">
        <v>1</v>
      </c>
      <c r="L1468">
        <v>1</v>
      </c>
      <c r="M1468">
        <v>1</v>
      </c>
      <c r="N1468">
        <v>0</v>
      </c>
      <c r="O1468">
        <v>0</v>
      </c>
      <c r="P1468" t="str">
        <f t="shared" si="45"/>
        <v>Chronic</v>
      </c>
      <c r="Q1468">
        <v>1</v>
      </c>
      <c r="R1468">
        <v>0</v>
      </c>
      <c r="S1468" t="s">
        <v>9</v>
      </c>
    </row>
    <row r="1469" spans="1:19" x14ac:dyDescent="0.3">
      <c r="A1469">
        <v>501468</v>
      </c>
      <c r="B1469">
        <v>25655</v>
      </c>
      <c r="C1469" t="s">
        <v>4</v>
      </c>
      <c r="D1469" t="s">
        <v>28</v>
      </c>
      <c r="E1469" s="1">
        <v>45992</v>
      </c>
      <c r="F1469" t="s">
        <v>55</v>
      </c>
      <c r="G1469" s="1">
        <v>45992</v>
      </c>
      <c r="H1469" s="1" t="str">
        <f t="shared" si="44"/>
        <v>Monday</v>
      </c>
      <c r="I1469">
        <v>45</v>
      </c>
      <c r="J1469" t="s">
        <v>15</v>
      </c>
      <c r="K1469">
        <v>1</v>
      </c>
      <c r="L1469">
        <v>0</v>
      </c>
      <c r="M1469">
        <v>0</v>
      </c>
      <c r="N1469">
        <v>0</v>
      </c>
      <c r="O1469">
        <v>0</v>
      </c>
      <c r="P1469" t="str">
        <f t="shared" si="45"/>
        <v>Non Chronic</v>
      </c>
      <c r="Q1469">
        <v>1</v>
      </c>
      <c r="R1469">
        <v>1</v>
      </c>
      <c r="S1469" t="s">
        <v>0</v>
      </c>
    </row>
    <row r="1470" spans="1:19" x14ac:dyDescent="0.3">
      <c r="A1470">
        <v>501469</v>
      </c>
      <c r="B1470">
        <v>80152</v>
      </c>
      <c r="C1470" t="s">
        <v>8</v>
      </c>
      <c r="D1470" t="s">
        <v>28</v>
      </c>
      <c r="E1470" s="1">
        <v>46038</v>
      </c>
      <c r="F1470" t="s">
        <v>54</v>
      </c>
      <c r="G1470" s="1">
        <v>46058</v>
      </c>
      <c r="H1470" s="1" t="str">
        <f t="shared" si="44"/>
        <v>Thursday</v>
      </c>
      <c r="I1470">
        <v>14</v>
      </c>
      <c r="J1470" t="s">
        <v>15</v>
      </c>
      <c r="K1470">
        <v>0</v>
      </c>
      <c r="L1470">
        <v>0</v>
      </c>
      <c r="M1470">
        <v>0</v>
      </c>
      <c r="N1470">
        <v>0</v>
      </c>
      <c r="O1470">
        <v>0</v>
      </c>
      <c r="P1470" t="str">
        <f t="shared" si="45"/>
        <v>Non Chronic</v>
      </c>
      <c r="Q1470">
        <v>1</v>
      </c>
      <c r="R1470">
        <v>1</v>
      </c>
      <c r="S1470" t="s">
        <v>30</v>
      </c>
    </row>
    <row r="1471" spans="1:19" x14ac:dyDescent="0.3">
      <c r="A1471">
        <v>501470</v>
      </c>
      <c r="B1471">
        <v>96546</v>
      </c>
      <c r="C1471" t="s">
        <v>4</v>
      </c>
      <c r="D1471" t="s">
        <v>36</v>
      </c>
      <c r="E1471" s="1">
        <v>46062</v>
      </c>
      <c r="F1471" t="s">
        <v>53</v>
      </c>
      <c r="G1471" s="1">
        <v>46064</v>
      </c>
      <c r="H1471" s="1" t="str">
        <f t="shared" si="44"/>
        <v>Wednesday</v>
      </c>
      <c r="I1471">
        <v>46</v>
      </c>
      <c r="J1471" t="s">
        <v>15</v>
      </c>
      <c r="K1471">
        <v>1</v>
      </c>
      <c r="L1471">
        <v>0</v>
      </c>
      <c r="M1471">
        <v>0</v>
      </c>
      <c r="N1471">
        <v>0</v>
      </c>
      <c r="O1471">
        <v>0</v>
      </c>
      <c r="P1471" t="str">
        <f t="shared" si="45"/>
        <v>Non Chronic</v>
      </c>
      <c r="Q1471">
        <v>1</v>
      </c>
      <c r="R1471">
        <v>0</v>
      </c>
      <c r="S1471" t="s">
        <v>0</v>
      </c>
    </row>
    <row r="1472" spans="1:19" x14ac:dyDescent="0.3">
      <c r="A1472">
        <v>501471</v>
      </c>
      <c r="B1472">
        <v>44961</v>
      </c>
      <c r="C1472" t="s">
        <v>8</v>
      </c>
      <c r="D1472" t="s">
        <v>14</v>
      </c>
      <c r="E1472" s="1">
        <v>46035</v>
      </c>
      <c r="F1472" t="s">
        <v>52</v>
      </c>
      <c r="G1472" s="1">
        <v>46050</v>
      </c>
      <c r="H1472" s="1" t="str">
        <f t="shared" si="44"/>
        <v>Wednesday</v>
      </c>
      <c r="I1472">
        <v>61</v>
      </c>
      <c r="J1472" t="s">
        <v>31</v>
      </c>
      <c r="K1472">
        <v>0</v>
      </c>
      <c r="L1472">
        <v>0</v>
      </c>
      <c r="M1472">
        <v>0</v>
      </c>
      <c r="N1472">
        <v>0</v>
      </c>
      <c r="O1472">
        <v>0</v>
      </c>
      <c r="P1472" t="str">
        <f t="shared" si="45"/>
        <v>Non Chronic</v>
      </c>
      <c r="Q1472">
        <v>1</v>
      </c>
      <c r="R1472">
        <v>0</v>
      </c>
      <c r="S1472" t="s">
        <v>9</v>
      </c>
    </row>
    <row r="1473" spans="1:19" x14ac:dyDescent="0.3">
      <c r="A1473">
        <v>501472</v>
      </c>
      <c r="B1473">
        <v>31023</v>
      </c>
      <c r="C1473" t="s">
        <v>4</v>
      </c>
      <c r="D1473" t="s">
        <v>25</v>
      </c>
      <c r="E1473" s="1">
        <v>46117</v>
      </c>
      <c r="F1473" t="s">
        <v>51</v>
      </c>
      <c r="G1473" s="1">
        <v>46132</v>
      </c>
      <c r="H1473" s="1" t="str">
        <f t="shared" si="44"/>
        <v>Monday</v>
      </c>
      <c r="I1473">
        <v>25</v>
      </c>
      <c r="J1473" t="s">
        <v>10</v>
      </c>
      <c r="K1473">
        <v>0</v>
      </c>
      <c r="L1473">
        <v>0</v>
      </c>
      <c r="M1473">
        <v>0</v>
      </c>
      <c r="N1473">
        <v>0</v>
      </c>
      <c r="O1473">
        <v>0</v>
      </c>
      <c r="P1473" t="str">
        <f t="shared" si="45"/>
        <v>Non Chronic</v>
      </c>
      <c r="Q1473">
        <v>1</v>
      </c>
      <c r="R1473">
        <v>0</v>
      </c>
      <c r="S1473" t="s">
        <v>22</v>
      </c>
    </row>
    <row r="1474" spans="1:19" x14ac:dyDescent="0.3">
      <c r="A1474">
        <v>501473</v>
      </c>
      <c r="B1474">
        <v>31711</v>
      </c>
      <c r="C1474" t="s">
        <v>4</v>
      </c>
      <c r="D1474" t="s">
        <v>14</v>
      </c>
      <c r="E1474" s="1">
        <v>46100</v>
      </c>
      <c r="F1474" t="s">
        <v>50</v>
      </c>
      <c r="G1474" s="1">
        <v>46110</v>
      </c>
      <c r="H1474" s="1" t="str">
        <f t="shared" si="44"/>
        <v>Sunday</v>
      </c>
      <c r="I1474">
        <v>35</v>
      </c>
      <c r="J1474" t="s">
        <v>5</v>
      </c>
      <c r="K1474">
        <v>0</v>
      </c>
      <c r="L1474">
        <v>0</v>
      </c>
      <c r="M1474">
        <v>0</v>
      </c>
      <c r="N1474">
        <v>1</v>
      </c>
      <c r="O1474">
        <v>0</v>
      </c>
      <c r="P1474" t="str">
        <f t="shared" si="45"/>
        <v>Non Chronic</v>
      </c>
      <c r="Q1474">
        <v>1</v>
      </c>
      <c r="R1474">
        <v>0</v>
      </c>
      <c r="S1474" t="s">
        <v>22</v>
      </c>
    </row>
    <row r="1475" spans="1:19" x14ac:dyDescent="0.3">
      <c r="A1475">
        <v>501474</v>
      </c>
      <c r="B1475">
        <v>60685</v>
      </c>
      <c r="C1475" t="s">
        <v>8</v>
      </c>
      <c r="D1475" t="s">
        <v>14</v>
      </c>
      <c r="E1475" s="1">
        <v>46028</v>
      </c>
      <c r="F1475" t="s">
        <v>49</v>
      </c>
      <c r="G1475" s="1">
        <v>46031</v>
      </c>
      <c r="H1475" s="1" t="str">
        <f t="shared" ref="H1475:H1501" si="46">TEXT(G1475,"dddd")</f>
        <v>Friday</v>
      </c>
      <c r="I1475">
        <v>38</v>
      </c>
      <c r="J1475" t="s">
        <v>45</v>
      </c>
      <c r="K1475">
        <v>0</v>
      </c>
      <c r="L1475">
        <v>0</v>
      </c>
      <c r="M1475">
        <v>0</v>
      </c>
      <c r="N1475">
        <v>0</v>
      </c>
      <c r="O1475">
        <v>0</v>
      </c>
      <c r="P1475" t="str">
        <f t="shared" ref="P1475:P1501" si="47">IF(OR(L1475=1,M1475=1),"Chronic","Non Chronic")</f>
        <v>Non Chronic</v>
      </c>
      <c r="Q1475">
        <v>1</v>
      </c>
      <c r="R1475">
        <v>0</v>
      </c>
      <c r="S1475" t="s">
        <v>22</v>
      </c>
    </row>
    <row r="1476" spans="1:19" x14ac:dyDescent="0.3">
      <c r="A1476">
        <v>501475</v>
      </c>
      <c r="B1476">
        <v>60393</v>
      </c>
      <c r="C1476" t="s">
        <v>8</v>
      </c>
      <c r="D1476" t="s">
        <v>36</v>
      </c>
      <c r="E1476" s="1">
        <v>46056</v>
      </c>
      <c r="F1476" t="s">
        <v>48</v>
      </c>
      <c r="G1476" s="1">
        <v>46066</v>
      </c>
      <c r="H1476" s="1" t="str">
        <f t="shared" si="46"/>
        <v>Friday</v>
      </c>
      <c r="I1476">
        <v>22</v>
      </c>
      <c r="J1476" t="s">
        <v>12</v>
      </c>
      <c r="K1476">
        <v>1</v>
      </c>
      <c r="L1476">
        <v>0</v>
      </c>
      <c r="M1476">
        <v>0</v>
      </c>
      <c r="N1476">
        <v>0</v>
      </c>
      <c r="O1476">
        <v>0</v>
      </c>
      <c r="P1476" t="str">
        <f t="shared" si="47"/>
        <v>Non Chronic</v>
      </c>
      <c r="Q1476">
        <v>1</v>
      </c>
      <c r="R1476">
        <v>0</v>
      </c>
      <c r="S1476" t="s">
        <v>22</v>
      </c>
    </row>
    <row r="1477" spans="1:19" x14ac:dyDescent="0.3">
      <c r="A1477">
        <v>501476</v>
      </c>
      <c r="B1477">
        <v>54864</v>
      </c>
      <c r="C1477" t="s">
        <v>8</v>
      </c>
      <c r="D1477" t="s">
        <v>36</v>
      </c>
      <c r="E1477" s="1">
        <v>46153</v>
      </c>
      <c r="F1477" t="s">
        <v>47</v>
      </c>
      <c r="G1477" s="1">
        <v>46163</v>
      </c>
      <c r="H1477" s="1" t="str">
        <f t="shared" si="46"/>
        <v>Thursday</v>
      </c>
      <c r="I1477">
        <v>50</v>
      </c>
      <c r="J1477" t="s">
        <v>10</v>
      </c>
      <c r="K1477">
        <v>1</v>
      </c>
      <c r="L1477">
        <v>0</v>
      </c>
      <c r="M1477">
        <v>0</v>
      </c>
      <c r="N1477">
        <v>0</v>
      </c>
      <c r="O1477">
        <v>0</v>
      </c>
      <c r="P1477" t="str">
        <f t="shared" si="47"/>
        <v>Non Chronic</v>
      </c>
      <c r="Q1477">
        <v>1</v>
      </c>
      <c r="R1477">
        <v>0</v>
      </c>
      <c r="S1477" t="s">
        <v>0</v>
      </c>
    </row>
    <row r="1478" spans="1:19" x14ac:dyDescent="0.3">
      <c r="A1478">
        <v>501477</v>
      </c>
      <c r="B1478">
        <v>59501</v>
      </c>
      <c r="C1478" t="s">
        <v>4</v>
      </c>
      <c r="D1478" t="s">
        <v>3</v>
      </c>
      <c r="E1478" s="1">
        <v>46026</v>
      </c>
      <c r="F1478" t="s">
        <v>46</v>
      </c>
      <c r="G1478" s="1">
        <v>46029</v>
      </c>
      <c r="H1478" s="1" t="str">
        <f t="shared" si="46"/>
        <v>Wednesday</v>
      </c>
      <c r="I1478">
        <v>35</v>
      </c>
      <c r="J1478" t="s">
        <v>45</v>
      </c>
      <c r="K1478">
        <v>0</v>
      </c>
      <c r="L1478">
        <v>0</v>
      </c>
      <c r="M1478">
        <v>0</v>
      </c>
      <c r="N1478">
        <v>0</v>
      </c>
      <c r="O1478">
        <v>0</v>
      </c>
      <c r="P1478" t="str">
        <f t="shared" si="47"/>
        <v>Non Chronic</v>
      </c>
      <c r="Q1478">
        <v>1</v>
      </c>
      <c r="R1478">
        <v>0</v>
      </c>
      <c r="S1478" t="s">
        <v>22</v>
      </c>
    </row>
    <row r="1479" spans="1:19" x14ac:dyDescent="0.3">
      <c r="A1479">
        <v>501478</v>
      </c>
      <c r="B1479">
        <v>40263</v>
      </c>
      <c r="C1479" t="s">
        <v>8</v>
      </c>
      <c r="D1479" t="s">
        <v>7</v>
      </c>
      <c r="E1479" s="1">
        <v>46025</v>
      </c>
      <c r="F1479" t="s">
        <v>44</v>
      </c>
      <c r="G1479" s="1">
        <v>46025</v>
      </c>
      <c r="H1479" s="1" t="str">
        <f t="shared" si="46"/>
        <v>Saturday</v>
      </c>
      <c r="I1479">
        <v>46</v>
      </c>
      <c r="J1479" t="s">
        <v>17</v>
      </c>
      <c r="K1479">
        <v>0</v>
      </c>
      <c r="L1479">
        <v>0</v>
      </c>
      <c r="M1479">
        <v>1</v>
      </c>
      <c r="N1479">
        <v>0</v>
      </c>
      <c r="O1479">
        <v>0</v>
      </c>
      <c r="P1479" t="str">
        <f t="shared" si="47"/>
        <v>Chronic</v>
      </c>
      <c r="Q1479">
        <v>1</v>
      </c>
      <c r="R1479">
        <v>0</v>
      </c>
      <c r="S1479" t="s">
        <v>0</v>
      </c>
    </row>
    <row r="1480" spans="1:19" x14ac:dyDescent="0.3">
      <c r="A1480">
        <v>501479</v>
      </c>
      <c r="B1480">
        <v>12686</v>
      </c>
      <c r="C1480" t="s">
        <v>8</v>
      </c>
      <c r="D1480" t="s">
        <v>3</v>
      </c>
      <c r="E1480" s="1">
        <v>46088</v>
      </c>
      <c r="F1480" t="s">
        <v>43</v>
      </c>
      <c r="G1480" s="1">
        <v>46089</v>
      </c>
      <c r="H1480" s="1" t="str">
        <f t="shared" si="46"/>
        <v>Sunday</v>
      </c>
      <c r="I1480">
        <v>20</v>
      </c>
      <c r="J1480" t="s">
        <v>10</v>
      </c>
      <c r="K1480">
        <v>1</v>
      </c>
      <c r="L1480">
        <v>0</v>
      </c>
      <c r="M1480">
        <v>0</v>
      </c>
      <c r="N1480">
        <v>0</v>
      </c>
      <c r="O1480">
        <v>0</v>
      </c>
      <c r="P1480" t="str">
        <f t="shared" si="47"/>
        <v>Non Chronic</v>
      </c>
      <c r="Q1480">
        <v>1</v>
      </c>
      <c r="R1480">
        <v>1</v>
      </c>
      <c r="S1480" t="s">
        <v>22</v>
      </c>
    </row>
    <row r="1481" spans="1:19" x14ac:dyDescent="0.3">
      <c r="A1481">
        <v>501480</v>
      </c>
      <c r="B1481">
        <v>58050</v>
      </c>
      <c r="C1481" t="s">
        <v>8</v>
      </c>
      <c r="D1481" t="s">
        <v>7</v>
      </c>
      <c r="E1481" s="1">
        <v>46127</v>
      </c>
      <c r="F1481" t="s">
        <v>42</v>
      </c>
      <c r="G1481" s="1">
        <v>46134</v>
      </c>
      <c r="H1481" s="1" t="str">
        <f t="shared" si="46"/>
        <v>Wednesday</v>
      </c>
      <c r="I1481">
        <v>29</v>
      </c>
      <c r="J1481" t="s">
        <v>31</v>
      </c>
      <c r="K1481">
        <v>0</v>
      </c>
      <c r="L1481">
        <v>0</v>
      </c>
      <c r="M1481">
        <v>0</v>
      </c>
      <c r="N1481">
        <v>0</v>
      </c>
      <c r="O1481">
        <v>0</v>
      </c>
      <c r="P1481" t="str">
        <f t="shared" si="47"/>
        <v>Non Chronic</v>
      </c>
      <c r="Q1481">
        <v>1</v>
      </c>
      <c r="R1481">
        <v>0</v>
      </c>
      <c r="S1481" t="s">
        <v>22</v>
      </c>
    </row>
    <row r="1482" spans="1:19" x14ac:dyDescent="0.3">
      <c r="A1482">
        <v>501481</v>
      </c>
      <c r="B1482">
        <v>35652</v>
      </c>
      <c r="C1482" t="s">
        <v>4</v>
      </c>
      <c r="D1482" t="s">
        <v>3</v>
      </c>
      <c r="E1482" s="1">
        <v>46106</v>
      </c>
      <c r="F1482" t="s">
        <v>41</v>
      </c>
      <c r="G1482" s="1">
        <v>46107</v>
      </c>
      <c r="H1482" s="1" t="str">
        <f t="shared" si="46"/>
        <v>Thursday</v>
      </c>
      <c r="I1482">
        <v>52</v>
      </c>
      <c r="J1482" t="s">
        <v>20</v>
      </c>
      <c r="K1482">
        <v>0</v>
      </c>
      <c r="L1482">
        <v>0</v>
      </c>
      <c r="M1482">
        <v>1</v>
      </c>
      <c r="N1482">
        <v>0</v>
      </c>
      <c r="O1482">
        <v>0</v>
      </c>
      <c r="P1482" t="str">
        <f t="shared" si="47"/>
        <v>Chronic</v>
      </c>
      <c r="Q1482">
        <v>1</v>
      </c>
      <c r="R1482">
        <v>1</v>
      </c>
      <c r="S1482" t="s">
        <v>0</v>
      </c>
    </row>
    <row r="1483" spans="1:19" x14ac:dyDescent="0.3">
      <c r="A1483">
        <v>501482</v>
      </c>
      <c r="B1483">
        <v>20388</v>
      </c>
      <c r="C1483" t="s">
        <v>8</v>
      </c>
      <c r="D1483" t="s">
        <v>7</v>
      </c>
      <c r="E1483" s="1">
        <v>46062</v>
      </c>
      <c r="F1483" t="s">
        <v>40</v>
      </c>
      <c r="G1483" s="1">
        <v>46065</v>
      </c>
      <c r="H1483" s="1" t="str">
        <f t="shared" si="46"/>
        <v>Thursday</v>
      </c>
      <c r="I1483">
        <v>30</v>
      </c>
      <c r="J1483" t="s">
        <v>31</v>
      </c>
      <c r="K1483">
        <v>1</v>
      </c>
      <c r="L1483">
        <v>0</v>
      </c>
      <c r="M1483">
        <v>0</v>
      </c>
      <c r="N1483">
        <v>0</v>
      </c>
      <c r="O1483">
        <v>0</v>
      </c>
      <c r="P1483" t="str">
        <f t="shared" si="47"/>
        <v>Non Chronic</v>
      </c>
      <c r="Q1483">
        <v>0</v>
      </c>
      <c r="R1483">
        <v>1</v>
      </c>
      <c r="S1483" t="s">
        <v>22</v>
      </c>
    </row>
    <row r="1484" spans="1:19" x14ac:dyDescent="0.3">
      <c r="A1484">
        <v>501483</v>
      </c>
      <c r="B1484">
        <v>63669</v>
      </c>
      <c r="C1484" t="s">
        <v>8</v>
      </c>
      <c r="D1484" t="s">
        <v>28</v>
      </c>
      <c r="E1484" s="1">
        <v>46027</v>
      </c>
      <c r="F1484" t="s">
        <v>39</v>
      </c>
      <c r="G1484" s="1">
        <v>46042</v>
      </c>
      <c r="H1484" s="1" t="str">
        <f t="shared" si="46"/>
        <v>Tuesday</v>
      </c>
      <c r="I1484">
        <v>72</v>
      </c>
      <c r="J1484" t="s">
        <v>12</v>
      </c>
      <c r="K1484">
        <v>0</v>
      </c>
      <c r="L1484">
        <v>1</v>
      </c>
      <c r="M1484">
        <v>1</v>
      </c>
      <c r="N1484">
        <v>1</v>
      </c>
      <c r="O1484">
        <v>0</v>
      </c>
      <c r="P1484" t="str">
        <f t="shared" si="47"/>
        <v>Chronic</v>
      </c>
      <c r="Q1484">
        <v>0</v>
      </c>
      <c r="R1484">
        <v>0</v>
      </c>
      <c r="S1484" t="s">
        <v>9</v>
      </c>
    </row>
    <row r="1485" spans="1:19" x14ac:dyDescent="0.3">
      <c r="A1485">
        <v>501484</v>
      </c>
      <c r="B1485">
        <v>33061</v>
      </c>
      <c r="C1485" t="s">
        <v>8</v>
      </c>
      <c r="D1485" t="s">
        <v>7</v>
      </c>
      <c r="E1485" s="1">
        <v>46040</v>
      </c>
      <c r="F1485" t="s">
        <v>38</v>
      </c>
      <c r="G1485" s="1">
        <v>46055</v>
      </c>
      <c r="H1485" s="1" t="str">
        <f t="shared" si="46"/>
        <v>Monday</v>
      </c>
      <c r="I1485">
        <v>30</v>
      </c>
      <c r="J1485" t="s">
        <v>23</v>
      </c>
      <c r="K1485">
        <v>0</v>
      </c>
      <c r="L1485">
        <v>0</v>
      </c>
      <c r="M1485">
        <v>0</v>
      </c>
      <c r="N1485">
        <v>0</v>
      </c>
      <c r="O1485">
        <v>0</v>
      </c>
      <c r="P1485" t="str">
        <f t="shared" si="47"/>
        <v>Non Chronic</v>
      </c>
      <c r="Q1485">
        <v>1</v>
      </c>
      <c r="R1485">
        <v>0</v>
      </c>
      <c r="S1485" t="s">
        <v>22</v>
      </c>
    </row>
    <row r="1486" spans="1:19" x14ac:dyDescent="0.3">
      <c r="A1486">
        <v>501485</v>
      </c>
      <c r="B1486">
        <v>18831</v>
      </c>
      <c r="C1486" t="s">
        <v>4</v>
      </c>
      <c r="D1486" t="s">
        <v>25</v>
      </c>
      <c r="E1486" s="1">
        <v>46119</v>
      </c>
      <c r="F1486" t="s">
        <v>37</v>
      </c>
      <c r="G1486" s="1">
        <v>46122</v>
      </c>
      <c r="H1486" s="1" t="str">
        <f t="shared" si="46"/>
        <v>Friday</v>
      </c>
      <c r="I1486">
        <v>42</v>
      </c>
      <c r="J1486" t="s">
        <v>31</v>
      </c>
      <c r="K1486">
        <v>0</v>
      </c>
      <c r="L1486">
        <v>0</v>
      </c>
      <c r="M1486">
        <v>0</v>
      </c>
      <c r="N1486">
        <v>0</v>
      </c>
      <c r="O1486">
        <v>0</v>
      </c>
      <c r="P1486" t="str">
        <f t="shared" si="47"/>
        <v>Non Chronic</v>
      </c>
      <c r="Q1486">
        <v>1</v>
      </c>
      <c r="R1486">
        <v>0</v>
      </c>
      <c r="S1486" t="s">
        <v>0</v>
      </c>
    </row>
    <row r="1487" spans="1:19" x14ac:dyDescent="0.3">
      <c r="A1487">
        <v>501486</v>
      </c>
      <c r="B1487">
        <v>34485</v>
      </c>
      <c r="C1487" t="s">
        <v>4</v>
      </c>
      <c r="D1487" t="s">
        <v>36</v>
      </c>
      <c r="E1487" s="1">
        <v>46092</v>
      </c>
      <c r="F1487" t="s">
        <v>35</v>
      </c>
      <c r="G1487" s="1">
        <v>46092</v>
      </c>
      <c r="H1487" s="1" t="str">
        <f t="shared" si="46"/>
        <v>Wednesday</v>
      </c>
      <c r="I1487">
        <v>56</v>
      </c>
      <c r="J1487" t="s">
        <v>20</v>
      </c>
      <c r="K1487">
        <v>0</v>
      </c>
      <c r="L1487">
        <v>0</v>
      </c>
      <c r="M1487">
        <v>0</v>
      </c>
      <c r="N1487">
        <v>1</v>
      </c>
      <c r="O1487">
        <v>0</v>
      </c>
      <c r="P1487" t="str">
        <f t="shared" si="47"/>
        <v>Non Chronic</v>
      </c>
      <c r="Q1487">
        <v>1</v>
      </c>
      <c r="R1487">
        <v>1</v>
      </c>
      <c r="S1487" t="s">
        <v>0</v>
      </c>
    </row>
    <row r="1488" spans="1:19" x14ac:dyDescent="0.3">
      <c r="A1488">
        <v>501487</v>
      </c>
      <c r="B1488">
        <v>30435</v>
      </c>
      <c r="C1488" t="s">
        <v>4</v>
      </c>
      <c r="D1488" t="s">
        <v>14</v>
      </c>
      <c r="E1488" s="1">
        <v>45996</v>
      </c>
      <c r="F1488" t="s">
        <v>34</v>
      </c>
      <c r="G1488" s="1">
        <v>46011</v>
      </c>
      <c r="H1488" s="1" t="str">
        <f t="shared" si="46"/>
        <v>Saturday</v>
      </c>
      <c r="I1488">
        <v>9</v>
      </c>
      <c r="J1488" t="s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 t="str">
        <f t="shared" si="47"/>
        <v>Non Chronic</v>
      </c>
      <c r="Q1488">
        <v>1</v>
      </c>
      <c r="R1488">
        <v>1</v>
      </c>
      <c r="S1488" t="s">
        <v>30</v>
      </c>
    </row>
    <row r="1489" spans="1:19" x14ac:dyDescent="0.3">
      <c r="A1489">
        <v>501488</v>
      </c>
      <c r="B1489">
        <v>42216</v>
      </c>
      <c r="C1489" t="s">
        <v>8</v>
      </c>
      <c r="D1489" t="s">
        <v>28</v>
      </c>
      <c r="E1489" s="1">
        <v>45994</v>
      </c>
      <c r="F1489" t="s">
        <v>33</v>
      </c>
      <c r="G1489" s="1">
        <v>46004</v>
      </c>
      <c r="H1489" s="1" t="str">
        <f t="shared" si="46"/>
        <v>Saturday</v>
      </c>
      <c r="I1489">
        <v>2</v>
      </c>
      <c r="J1489" t="s">
        <v>15</v>
      </c>
      <c r="K1489">
        <v>0</v>
      </c>
      <c r="L1489">
        <v>0</v>
      </c>
      <c r="M1489">
        <v>0</v>
      </c>
      <c r="N1489">
        <v>0</v>
      </c>
      <c r="O1489">
        <v>0</v>
      </c>
      <c r="P1489" t="str">
        <f t="shared" si="47"/>
        <v>Non Chronic</v>
      </c>
      <c r="Q1489">
        <v>1</v>
      </c>
      <c r="R1489">
        <v>0</v>
      </c>
      <c r="S1489" t="s">
        <v>30</v>
      </c>
    </row>
    <row r="1490" spans="1:19" x14ac:dyDescent="0.3">
      <c r="A1490">
        <v>501489</v>
      </c>
      <c r="B1490">
        <v>15540</v>
      </c>
      <c r="C1490" t="s">
        <v>4</v>
      </c>
      <c r="D1490" t="s">
        <v>3</v>
      </c>
      <c r="E1490" s="1">
        <v>46035</v>
      </c>
      <c r="F1490" t="s">
        <v>32</v>
      </c>
      <c r="G1490" s="1">
        <v>46035</v>
      </c>
      <c r="H1490" s="1" t="str">
        <f t="shared" si="46"/>
        <v>Tuesday</v>
      </c>
      <c r="I1490">
        <v>7</v>
      </c>
      <c r="J1490" t="s">
        <v>31</v>
      </c>
      <c r="K1490">
        <v>0</v>
      </c>
      <c r="L1490">
        <v>0</v>
      </c>
      <c r="M1490">
        <v>0</v>
      </c>
      <c r="N1490">
        <v>0</v>
      </c>
      <c r="O1490">
        <v>0</v>
      </c>
      <c r="P1490" t="str">
        <f t="shared" si="47"/>
        <v>Non Chronic</v>
      </c>
      <c r="Q1490">
        <v>1</v>
      </c>
      <c r="R1490">
        <v>0</v>
      </c>
      <c r="S1490" t="s">
        <v>30</v>
      </c>
    </row>
    <row r="1491" spans="1:19" x14ac:dyDescent="0.3">
      <c r="A1491">
        <v>501490</v>
      </c>
      <c r="B1491">
        <v>98804</v>
      </c>
      <c r="C1491" t="s">
        <v>8</v>
      </c>
      <c r="D1491" t="s">
        <v>3</v>
      </c>
      <c r="E1491" s="1">
        <v>46068</v>
      </c>
      <c r="F1491" t="s">
        <v>29</v>
      </c>
      <c r="G1491" s="1">
        <v>46078</v>
      </c>
      <c r="H1491" s="1" t="str">
        <f t="shared" si="46"/>
        <v>Wednesday</v>
      </c>
      <c r="I1491">
        <v>63</v>
      </c>
      <c r="J1491" t="s">
        <v>12</v>
      </c>
      <c r="K1491">
        <v>1</v>
      </c>
      <c r="L1491">
        <v>0</v>
      </c>
      <c r="M1491">
        <v>0</v>
      </c>
      <c r="N1491">
        <v>0</v>
      </c>
      <c r="O1491">
        <v>0</v>
      </c>
      <c r="P1491" t="str">
        <f t="shared" si="47"/>
        <v>Non Chronic</v>
      </c>
      <c r="Q1491">
        <v>0</v>
      </c>
      <c r="R1491">
        <v>0</v>
      </c>
      <c r="S1491" t="s">
        <v>9</v>
      </c>
    </row>
    <row r="1492" spans="1:19" x14ac:dyDescent="0.3">
      <c r="A1492">
        <v>501491</v>
      </c>
      <c r="B1492">
        <v>78612</v>
      </c>
      <c r="C1492" t="s">
        <v>8</v>
      </c>
      <c r="D1492" t="s">
        <v>28</v>
      </c>
      <c r="E1492" s="1">
        <v>46150</v>
      </c>
      <c r="F1492" t="s">
        <v>27</v>
      </c>
      <c r="G1492" s="1">
        <v>46150</v>
      </c>
      <c r="H1492" s="1" t="str">
        <f t="shared" si="46"/>
        <v>Friday</v>
      </c>
      <c r="I1492">
        <v>26</v>
      </c>
      <c r="J1492" t="s">
        <v>12</v>
      </c>
      <c r="K1492">
        <v>1</v>
      </c>
      <c r="L1492">
        <v>0</v>
      </c>
      <c r="M1492">
        <v>0</v>
      </c>
      <c r="N1492">
        <v>0</v>
      </c>
      <c r="O1492">
        <v>0</v>
      </c>
      <c r="P1492" t="str">
        <f t="shared" si="47"/>
        <v>Non Chronic</v>
      </c>
      <c r="Q1492">
        <v>1</v>
      </c>
      <c r="R1492">
        <v>0</v>
      </c>
      <c r="S1492" t="s">
        <v>22</v>
      </c>
    </row>
    <row r="1493" spans="1:19" x14ac:dyDescent="0.3">
      <c r="A1493">
        <v>501492</v>
      </c>
      <c r="B1493">
        <v>49117</v>
      </c>
      <c r="C1493" t="s">
        <v>4</v>
      </c>
      <c r="D1493" t="s">
        <v>3</v>
      </c>
      <c r="E1493" s="1">
        <v>45987</v>
      </c>
      <c r="F1493" t="s">
        <v>26</v>
      </c>
      <c r="G1493" s="1">
        <v>45989</v>
      </c>
      <c r="H1493" s="1" t="str">
        <f t="shared" si="46"/>
        <v>Friday</v>
      </c>
      <c r="I1493">
        <v>89</v>
      </c>
      <c r="J1493" t="s">
        <v>23</v>
      </c>
      <c r="K1493">
        <v>1</v>
      </c>
      <c r="L1493">
        <v>1</v>
      </c>
      <c r="M1493">
        <v>1</v>
      </c>
      <c r="N1493">
        <v>0</v>
      </c>
      <c r="O1493">
        <v>0</v>
      </c>
      <c r="P1493" t="str">
        <f t="shared" si="47"/>
        <v>Chronic</v>
      </c>
      <c r="Q1493">
        <v>0</v>
      </c>
      <c r="R1493">
        <v>0</v>
      </c>
      <c r="S1493" t="s">
        <v>9</v>
      </c>
    </row>
    <row r="1494" spans="1:19" x14ac:dyDescent="0.3">
      <c r="A1494">
        <v>501493</v>
      </c>
      <c r="B1494">
        <v>68974</v>
      </c>
      <c r="C1494" t="s">
        <v>4</v>
      </c>
      <c r="D1494" t="s">
        <v>25</v>
      </c>
      <c r="E1494" s="1">
        <v>46013</v>
      </c>
      <c r="F1494" t="s">
        <v>24</v>
      </c>
      <c r="G1494" s="1">
        <v>46033</v>
      </c>
      <c r="H1494" s="1" t="str">
        <f t="shared" si="46"/>
        <v>Sunday</v>
      </c>
      <c r="I1494">
        <v>26</v>
      </c>
      <c r="J1494" t="s">
        <v>23</v>
      </c>
      <c r="K1494">
        <v>0</v>
      </c>
      <c r="L1494">
        <v>0</v>
      </c>
      <c r="M1494">
        <v>0</v>
      </c>
      <c r="N1494">
        <v>0</v>
      </c>
      <c r="O1494">
        <v>0</v>
      </c>
      <c r="P1494" t="str">
        <f t="shared" si="47"/>
        <v>Non Chronic</v>
      </c>
      <c r="Q1494">
        <v>0</v>
      </c>
      <c r="R1494">
        <v>1</v>
      </c>
      <c r="S1494" t="s">
        <v>22</v>
      </c>
    </row>
    <row r="1495" spans="1:19" x14ac:dyDescent="0.3">
      <c r="A1495">
        <v>501494</v>
      </c>
      <c r="B1495">
        <v>62329</v>
      </c>
      <c r="C1495" t="s">
        <v>8</v>
      </c>
      <c r="D1495" t="s">
        <v>7</v>
      </c>
      <c r="E1495" s="1">
        <v>45997</v>
      </c>
      <c r="F1495" t="s">
        <v>21</v>
      </c>
      <c r="G1495" s="1">
        <v>45997</v>
      </c>
      <c r="H1495" s="1" t="str">
        <f t="shared" si="46"/>
        <v>Saturday</v>
      </c>
      <c r="I1495">
        <v>41</v>
      </c>
      <c r="J1495" t="s">
        <v>20</v>
      </c>
      <c r="K1495">
        <v>0</v>
      </c>
      <c r="L1495">
        <v>0</v>
      </c>
      <c r="M1495">
        <v>0</v>
      </c>
      <c r="N1495">
        <v>0</v>
      </c>
      <c r="O1495">
        <v>0</v>
      </c>
      <c r="P1495" t="str">
        <f t="shared" si="47"/>
        <v>Non Chronic</v>
      </c>
      <c r="Q1495">
        <v>0</v>
      </c>
      <c r="R1495">
        <v>0</v>
      </c>
      <c r="S1495" t="s">
        <v>0</v>
      </c>
    </row>
    <row r="1496" spans="1:19" x14ac:dyDescent="0.3">
      <c r="A1496">
        <v>501495</v>
      </c>
      <c r="B1496">
        <v>23275</v>
      </c>
      <c r="C1496" t="s">
        <v>8</v>
      </c>
      <c r="D1496" t="s">
        <v>19</v>
      </c>
      <c r="E1496" s="1">
        <v>46086</v>
      </c>
      <c r="F1496" t="s">
        <v>18</v>
      </c>
      <c r="G1496" s="1">
        <v>46093</v>
      </c>
      <c r="H1496" s="1" t="str">
        <f t="shared" si="46"/>
        <v>Thursday</v>
      </c>
      <c r="I1496">
        <v>68</v>
      </c>
      <c r="J1496" t="s">
        <v>17</v>
      </c>
      <c r="K1496">
        <v>1</v>
      </c>
      <c r="L1496">
        <v>0</v>
      </c>
      <c r="M1496">
        <v>0</v>
      </c>
      <c r="N1496">
        <v>0</v>
      </c>
      <c r="O1496">
        <v>0</v>
      </c>
      <c r="P1496" t="str">
        <f t="shared" si="47"/>
        <v>Non Chronic</v>
      </c>
      <c r="Q1496">
        <v>1</v>
      </c>
      <c r="R1496">
        <v>0</v>
      </c>
      <c r="S1496" t="s">
        <v>9</v>
      </c>
    </row>
    <row r="1497" spans="1:19" x14ac:dyDescent="0.3">
      <c r="A1497">
        <v>501496</v>
      </c>
      <c r="B1497">
        <v>72535</v>
      </c>
      <c r="C1497" t="s">
        <v>4</v>
      </c>
      <c r="D1497" t="s">
        <v>7</v>
      </c>
      <c r="E1497" s="1">
        <v>46098</v>
      </c>
      <c r="F1497" t="s">
        <v>16</v>
      </c>
      <c r="G1497" s="1">
        <v>46099</v>
      </c>
      <c r="H1497" s="1" t="str">
        <f t="shared" si="46"/>
        <v>Wednesday</v>
      </c>
      <c r="I1497">
        <v>78</v>
      </c>
      <c r="J1497" t="s">
        <v>15</v>
      </c>
      <c r="K1497">
        <v>1</v>
      </c>
      <c r="L1497">
        <v>1</v>
      </c>
      <c r="M1497">
        <v>0</v>
      </c>
      <c r="N1497">
        <v>0</v>
      </c>
      <c r="O1497">
        <v>1</v>
      </c>
      <c r="P1497" t="str">
        <f t="shared" si="47"/>
        <v>Chronic</v>
      </c>
      <c r="Q1497">
        <v>0</v>
      </c>
      <c r="R1497">
        <v>0</v>
      </c>
      <c r="S1497" t="s">
        <v>9</v>
      </c>
    </row>
    <row r="1498" spans="1:19" x14ac:dyDescent="0.3">
      <c r="A1498">
        <v>501497</v>
      </c>
      <c r="B1498">
        <v>17849</v>
      </c>
      <c r="C1498" t="s">
        <v>4</v>
      </c>
      <c r="D1498" t="s">
        <v>14</v>
      </c>
      <c r="E1498" s="1">
        <v>46060</v>
      </c>
      <c r="F1498" t="s">
        <v>13</v>
      </c>
      <c r="G1498" s="1">
        <v>46067</v>
      </c>
      <c r="H1498" s="1" t="str">
        <f t="shared" si="46"/>
        <v>Saturday</v>
      </c>
      <c r="I1498">
        <v>79</v>
      </c>
      <c r="J1498" t="s">
        <v>12</v>
      </c>
      <c r="K1498">
        <v>1</v>
      </c>
      <c r="L1498">
        <v>1</v>
      </c>
      <c r="M1498">
        <v>0</v>
      </c>
      <c r="N1498">
        <v>0</v>
      </c>
      <c r="O1498">
        <v>0</v>
      </c>
      <c r="P1498" t="str">
        <f t="shared" si="47"/>
        <v>Chronic</v>
      </c>
      <c r="Q1498">
        <v>1</v>
      </c>
      <c r="R1498">
        <v>1</v>
      </c>
      <c r="S1498" t="s">
        <v>9</v>
      </c>
    </row>
    <row r="1499" spans="1:19" x14ac:dyDescent="0.3">
      <c r="A1499">
        <v>501498</v>
      </c>
      <c r="B1499">
        <v>77763</v>
      </c>
      <c r="C1499" t="s">
        <v>4</v>
      </c>
      <c r="D1499" t="s">
        <v>7</v>
      </c>
      <c r="E1499" s="1">
        <v>45981</v>
      </c>
      <c r="F1499" t="s">
        <v>11</v>
      </c>
      <c r="G1499" s="1">
        <v>45988</v>
      </c>
      <c r="H1499" s="1" t="str">
        <f t="shared" si="46"/>
        <v>Thursday</v>
      </c>
      <c r="I1499">
        <v>62</v>
      </c>
      <c r="J1499" t="s">
        <v>10</v>
      </c>
      <c r="K1499">
        <v>1</v>
      </c>
      <c r="L1499">
        <v>0</v>
      </c>
      <c r="M1499">
        <v>1</v>
      </c>
      <c r="N1499">
        <v>0</v>
      </c>
      <c r="O1499">
        <v>0</v>
      </c>
      <c r="P1499" t="str">
        <f t="shared" si="47"/>
        <v>Chronic</v>
      </c>
      <c r="Q1499">
        <v>1</v>
      </c>
      <c r="R1499">
        <v>0</v>
      </c>
      <c r="S1499" t="s">
        <v>9</v>
      </c>
    </row>
    <row r="1500" spans="1:19" x14ac:dyDescent="0.3">
      <c r="A1500">
        <v>501499</v>
      </c>
      <c r="B1500">
        <v>59535</v>
      </c>
      <c r="C1500" t="s">
        <v>8</v>
      </c>
      <c r="D1500" t="s">
        <v>7</v>
      </c>
      <c r="E1500" s="1">
        <v>46016</v>
      </c>
      <c r="F1500" t="s">
        <v>6</v>
      </c>
      <c r="G1500" s="1">
        <v>46019</v>
      </c>
      <c r="H1500" s="1" t="str">
        <f t="shared" si="46"/>
        <v>Sunday</v>
      </c>
      <c r="I1500">
        <v>58</v>
      </c>
      <c r="J1500" t="s">
        <v>5</v>
      </c>
      <c r="K1500">
        <v>0</v>
      </c>
      <c r="L1500">
        <v>1</v>
      </c>
      <c r="M1500">
        <v>0</v>
      </c>
      <c r="N1500">
        <v>0</v>
      </c>
      <c r="O1500">
        <v>0</v>
      </c>
      <c r="P1500" t="str">
        <f t="shared" si="47"/>
        <v>Chronic</v>
      </c>
      <c r="Q1500">
        <v>1</v>
      </c>
      <c r="R1500">
        <v>0</v>
      </c>
      <c r="S1500" t="s">
        <v>0</v>
      </c>
    </row>
    <row r="1501" spans="1:19" x14ac:dyDescent="0.3">
      <c r="A1501">
        <v>501500</v>
      </c>
      <c r="B1501">
        <v>27424</v>
      </c>
      <c r="C1501" t="s">
        <v>4</v>
      </c>
      <c r="D1501" t="s">
        <v>3</v>
      </c>
      <c r="E1501" s="1">
        <v>46008</v>
      </c>
      <c r="F1501" t="s">
        <v>2</v>
      </c>
      <c r="G1501" s="1">
        <v>46013</v>
      </c>
      <c r="H1501" s="1" t="str">
        <f t="shared" si="46"/>
        <v>Monday</v>
      </c>
      <c r="I1501">
        <v>49</v>
      </c>
      <c r="J1501" t="s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 t="str">
        <f t="shared" si="47"/>
        <v>Non Chronic</v>
      </c>
      <c r="Q1501">
        <v>1</v>
      </c>
      <c r="R1501">
        <v>0</v>
      </c>
      <c r="S150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CEA49-7804-4FBC-AAEF-7B94872B8631}">
  <dimension ref="A2:I223"/>
  <sheetViews>
    <sheetView tabSelected="1" topLeftCell="A87" workbookViewId="0">
      <selection activeCell="A101" sqref="A101:D108"/>
    </sheetView>
  </sheetViews>
  <sheetFormatPr defaultRowHeight="14.4" x14ac:dyDescent="0.3"/>
  <cols>
    <col min="1" max="1" width="15.5546875" customWidth="1"/>
    <col min="2" max="3" width="16.77734375" bestFit="1" customWidth="1"/>
    <col min="4" max="4" width="12.44140625" bestFit="1" customWidth="1"/>
    <col min="5" max="5" width="15.77734375" bestFit="1" customWidth="1"/>
    <col min="6" max="6" width="16.5546875" bestFit="1" customWidth="1"/>
  </cols>
  <sheetData>
    <row r="2" spans="1:9" ht="19.8" x14ac:dyDescent="0.4">
      <c r="A2" s="4" t="s">
        <v>999</v>
      </c>
    </row>
    <row r="7" spans="1:9" x14ac:dyDescent="0.3">
      <c r="A7" s="5" t="s">
        <v>1000</v>
      </c>
      <c r="B7" t="s">
        <v>998</v>
      </c>
      <c r="C7" t="s">
        <v>1001</v>
      </c>
    </row>
    <row r="8" spans="1:9" x14ac:dyDescent="0.3">
      <c r="A8" s="6">
        <v>0</v>
      </c>
      <c r="B8" s="7">
        <v>1168</v>
      </c>
      <c r="C8" s="8">
        <v>0.77866666666666662</v>
      </c>
      <c r="G8" t="s">
        <v>1002</v>
      </c>
      <c r="I8" s="11">
        <v>0.22133333333333333</v>
      </c>
    </row>
    <row r="9" spans="1:9" x14ac:dyDescent="0.3">
      <c r="A9" s="6">
        <v>1</v>
      </c>
      <c r="B9" s="7">
        <v>332</v>
      </c>
      <c r="C9" s="9">
        <v>0.22133333333333333</v>
      </c>
    </row>
    <row r="10" spans="1:9" x14ac:dyDescent="0.3">
      <c r="A10" s="6" t="s">
        <v>996</v>
      </c>
      <c r="B10" s="7">
        <v>1500</v>
      </c>
      <c r="C10" s="8">
        <v>1</v>
      </c>
    </row>
    <row r="19" spans="1:6" ht="19.8" x14ac:dyDescent="0.4">
      <c r="A19" s="4" t="s">
        <v>992</v>
      </c>
      <c r="B19" s="4"/>
      <c r="C19" s="4"/>
    </row>
    <row r="22" spans="1:6" x14ac:dyDescent="0.3">
      <c r="A22" s="5" t="s">
        <v>970</v>
      </c>
      <c r="B22" t="s">
        <v>1004</v>
      </c>
      <c r="E22" s="5" t="s">
        <v>970</v>
      </c>
      <c r="F22" s="6">
        <v>1</v>
      </c>
    </row>
    <row r="24" spans="1:6" x14ac:dyDescent="0.3">
      <c r="A24" s="5" t="s">
        <v>995</v>
      </c>
      <c r="B24" t="s">
        <v>1005</v>
      </c>
      <c r="E24" s="5" t="s">
        <v>995</v>
      </c>
      <c r="F24" t="s">
        <v>1005</v>
      </c>
    </row>
    <row r="25" spans="1:6" x14ac:dyDescent="0.3">
      <c r="A25" s="6" t="s">
        <v>36</v>
      </c>
      <c r="B25" s="7">
        <v>152</v>
      </c>
      <c r="E25" s="6" t="s">
        <v>36</v>
      </c>
      <c r="F25" s="7">
        <v>42</v>
      </c>
    </row>
    <row r="26" spans="1:6" x14ac:dyDescent="0.3">
      <c r="A26" s="6" t="s">
        <v>7</v>
      </c>
      <c r="B26" s="7">
        <v>211</v>
      </c>
      <c r="E26" s="6" t="s">
        <v>7</v>
      </c>
      <c r="F26" s="7">
        <v>52</v>
      </c>
    </row>
    <row r="27" spans="1:6" x14ac:dyDescent="0.3">
      <c r="A27" s="6" t="s">
        <v>14</v>
      </c>
      <c r="B27" s="7">
        <v>180</v>
      </c>
      <c r="E27" s="6" t="s">
        <v>14</v>
      </c>
      <c r="F27" s="7">
        <v>23</v>
      </c>
    </row>
    <row r="28" spans="1:6" x14ac:dyDescent="0.3">
      <c r="A28" s="6" t="s">
        <v>3</v>
      </c>
      <c r="B28" s="7">
        <v>182</v>
      </c>
      <c r="E28" s="6" t="s">
        <v>3</v>
      </c>
      <c r="F28" s="7">
        <v>34</v>
      </c>
    </row>
    <row r="29" spans="1:6" x14ac:dyDescent="0.3">
      <c r="A29" s="6" t="s">
        <v>25</v>
      </c>
      <c r="B29" s="7">
        <v>186</v>
      </c>
      <c r="E29" s="6" t="s">
        <v>25</v>
      </c>
      <c r="F29" s="7">
        <v>36</v>
      </c>
    </row>
    <row r="30" spans="1:6" x14ac:dyDescent="0.3">
      <c r="A30" s="6" t="s">
        <v>58</v>
      </c>
      <c r="B30" s="7">
        <v>193</v>
      </c>
      <c r="E30" s="6" t="s">
        <v>58</v>
      </c>
      <c r="F30" s="7">
        <v>46</v>
      </c>
    </row>
    <row r="31" spans="1:6" x14ac:dyDescent="0.3">
      <c r="A31" s="6" t="s">
        <v>19</v>
      </c>
      <c r="B31" s="7">
        <v>182</v>
      </c>
      <c r="E31" s="6" t="s">
        <v>19</v>
      </c>
      <c r="F31" s="7">
        <v>40</v>
      </c>
    </row>
    <row r="32" spans="1:6" x14ac:dyDescent="0.3">
      <c r="A32" s="6" t="s">
        <v>28</v>
      </c>
      <c r="B32" s="7">
        <v>214</v>
      </c>
      <c r="E32" s="6" t="s">
        <v>28</v>
      </c>
      <c r="F32" s="7">
        <v>59</v>
      </c>
    </row>
    <row r="33" spans="1:6" x14ac:dyDescent="0.3">
      <c r="A33" s="6" t="s">
        <v>996</v>
      </c>
      <c r="B33" s="7">
        <v>1500</v>
      </c>
      <c r="E33" s="6" t="s">
        <v>996</v>
      </c>
      <c r="F33" s="7">
        <v>332</v>
      </c>
    </row>
    <row r="37" spans="1:6" x14ac:dyDescent="0.3">
      <c r="A37" s="3" t="s">
        <v>982</v>
      </c>
      <c r="B37" s="3" t="s">
        <v>1005</v>
      </c>
      <c r="C37" s="3" t="s">
        <v>1006</v>
      </c>
      <c r="D37" s="3" t="s">
        <v>1007</v>
      </c>
    </row>
    <row r="38" spans="1:6" x14ac:dyDescent="0.3">
      <c r="A38" t="s">
        <v>14</v>
      </c>
      <c r="B38">
        <v>180</v>
      </c>
      <c r="C38">
        <v>23</v>
      </c>
      <c r="D38" s="10">
        <f>C38/B38</f>
        <v>0.12777777777777777</v>
      </c>
    </row>
    <row r="39" spans="1:6" x14ac:dyDescent="0.3">
      <c r="A39" t="s">
        <v>3</v>
      </c>
      <c r="B39">
        <v>182</v>
      </c>
      <c r="C39">
        <v>34</v>
      </c>
      <c r="D39" s="10">
        <f>C39/B39</f>
        <v>0.18681318681318682</v>
      </c>
    </row>
    <row r="40" spans="1:6" x14ac:dyDescent="0.3">
      <c r="A40" t="s">
        <v>25</v>
      </c>
      <c r="B40">
        <v>186</v>
      </c>
      <c r="C40">
        <v>36</v>
      </c>
      <c r="D40" s="10">
        <f>C40/B40</f>
        <v>0.19354838709677419</v>
      </c>
    </row>
    <row r="41" spans="1:6" x14ac:dyDescent="0.3">
      <c r="A41" t="s">
        <v>19</v>
      </c>
      <c r="B41">
        <v>182</v>
      </c>
      <c r="C41">
        <v>40</v>
      </c>
      <c r="D41" s="10">
        <f>C41/B41</f>
        <v>0.21978021978021978</v>
      </c>
    </row>
    <row r="42" spans="1:6" x14ac:dyDescent="0.3">
      <c r="A42" t="s">
        <v>58</v>
      </c>
      <c r="B42">
        <v>193</v>
      </c>
      <c r="C42">
        <v>46</v>
      </c>
      <c r="D42" s="10">
        <f>C42/B42</f>
        <v>0.23834196891191708</v>
      </c>
    </row>
    <row r="43" spans="1:6" x14ac:dyDescent="0.3">
      <c r="A43" t="s">
        <v>7</v>
      </c>
      <c r="B43">
        <v>211</v>
      </c>
      <c r="C43">
        <v>52</v>
      </c>
      <c r="D43" s="10">
        <f>C43/B43</f>
        <v>0.24644549763033174</v>
      </c>
    </row>
    <row r="44" spans="1:6" x14ac:dyDescent="0.3">
      <c r="A44" t="s">
        <v>28</v>
      </c>
      <c r="B44">
        <v>214</v>
      </c>
      <c r="C44">
        <v>59</v>
      </c>
      <c r="D44" s="10">
        <f>C44/B44</f>
        <v>0.27570093457943923</v>
      </c>
    </row>
    <row r="45" spans="1:6" x14ac:dyDescent="0.3">
      <c r="A45" t="s">
        <v>36</v>
      </c>
      <c r="B45">
        <v>152</v>
      </c>
      <c r="C45">
        <v>42</v>
      </c>
      <c r="D45" s="10">
        <f>C45/B45</f>
        <v>0.27631578947368424</v>
      </c>
    </row>
    <row r="47" spans="1:6" x14ac:dyDescent="0.3">
      <c r="A47" t="s">
        <v>996</v>
      </c>
      <c r="B47">
        <v>1500</v>
      </c>
      <c r="C47">
        <v>332</v>
      </c>
      <c r="D47" s="10">
        <f>C47/B47</f>
        <v>0.22133333333333333</v>
      </c>
    </row>
    <row r="50" spans="1:6" ht="19.8" x14ac:dyDescent="0.4">
      <c r="A50" s="4" t="s">
        <v>991</v>
      </c>
    </row>
    <row r="57" spans="1:6" x14ac:dyDescent="0.3">
      <c r="A57" s="5" t="s">
        <v>970</v>
      </c>
      <c r="B57" t="s">
        <v>1004</v>
      </c>
      <c r="E57" s="5" t="s">
        <v>970</v>
      </c>
      <c r="F57" s="6">
        <v>1</v>
      </c>
    </row>
    <row r="59" spans="1:6" x14ac:dyDescent="0.3">
      <c r="A59" s="5" t="s">
        <v>995</v>
      </c>
      <c r="B59" t="s">
        <v>1005</v>
      </c>
      <c r="E59" s="5" t="s">
        <v>995</v>
      </c>
      <c r="F59" t="s">
        <v>1005</v>
      </c>
    </row>
    <row r="60" spans="1:6" x14ac:dyDescent="0.3">
      <c r="A60" s="6" t="s">
        <v>30</v>
      </c>
      <c r="B60" s="7">
        <v>238</v>
      </c>
      <c r="E60" s="6" t="s">
        <v>30</v>
      </c>
      <c r="F60" s="7">
        <v>56</v>
      </c>
    </row>
    <row r="61" spans="1:6" x14ac:dyDescent="0.3">
      <c r="A61" s="6" t="s">
        <v>22</v>
      </c>
      <c r="B61" s="7">
        <v>571</v>
      </c>
      <c r="E61" s="6" t="s">
        <v>22</v>
      </c>
      <c r="F61" s="7">
        <v>128</v>
      </c>
    </row>
    <row r="62" spans="1:6" x14ac:dyDescent="0.3">
      <c r="A62" s="6" t="s">
        <v>0</v>
      </c>
      <c r="B62" s="7">
        <v>490</v>
      </c>
      <c r="E62" s="6" t="s">
        <v>0</v>
      </c>
      <c r="F62" s="7">
        <v>108</v>
      </c>
    </row>
    <row r="63" spans="1:6" x14ac:dyDescent="0.3">
      <c r="A63" s="6" t="s">
        <v>9</v>
      </c>
      <c r="B63" s="7">
        <v>201</v>
      </c>
      <c r="E63" s="6" t="s">
        <v>9</v>
      </c>
      <c r="F63" s="7">
        <v>40</v>
      </c>
    </row>
    <row r="64" spans="1:6" x14ac:dyDescent="0.3">
      <c r="A64" s="6" t="s">
        <v>996</v>
      </c>
      <c r="B64" s="7">
        <v>1500</v>
      </c>
      <c r="E64" s="6" t="s">
        <v>996</v>
      </c>
      <c r="F64" s="7">
        <v>332</v>
      </c>
    </row>
    <row r="70" spans="1:4" x14ac:dyDescent="0.3">
      <c r="A70" t="s">
        <v>1009</v>
      </c>
      <c r="B70" t="s">
        <v>1005</v>
      </c>
      <c r="C70" t="s">
        <v>1008</v>
      </c>
      <c r="D70" t="s">
        <v>1007</v>
      </c>
    </row>
    <row r="71" spans="1:4" x14ac:dyDescent="0.3">
      <c r="A71" t="s">
        <v>30</v>
      </c>
      <c r="B71">
        <v>238</v>
      </c>
      <c r="C71">
        <v>56</v>
      </c>
      <c r="D71" s="10">
        <f>C71/B71</f>
        <v>0.23529411764705882</v>
      </c>
    </row>
    <row r="72" spans="1:4" x14ac:dyDescent="0.3">
      <c r="A72" t="s">
        <v>22</v>
      </c>
      <c r="B72">
        <v>571</v>
      </c>
      <c r="C72">
        <v>128</v>
      </c>
      <c r="D72" s="10">
        <f t="shared" ref="D72:D75" si="0">C72/B72</f>
        <v>0.22416812609457093</v>
      </c>
    </row>
    <row r="73" spans="1:4" x14ac:dyDescent="0.3">
      <c r="A73" t="s">
        <v>0</v>
      </c>
      <c r="B73">
        <v>490</v>
      </c>
      <c r="C73">
        <v>108</v>
      </c>
      <c r="D73" s="10">
        <f t="shared" si="0"/>
        <v>0.22040816326530613</v>
      </c>
    </row>
    <row r="74" spans="1:4" x14ac:dyDescent="0.3">
      <c r="A74" t="s">
        <v>9</v>
      </c>
      <c r="B74">
        <v>201</v>
      </c>
      <c r="C74">
        <v>40</v>
      </c>
      <c r="D74" s="10">
        <f t="shared" si="0"/>
        <v>0.19900497512437812</v>
      </c>
    </row>
    <row r="75" spans="1:4" x14ac:dyDescent="0.3">
      <c r="D75" s="10"/>
    </row>
    <row r="76" spans="1:4" x14ac:dyDescent="0.3">
      <c r="A76" t="s">
        <v>996</v>
      </c>
      <c r="B76">
        <v>1500</v>
      </c>
      <c r="C76">
        <v>332</v>
      </c>
      <c r="D76" s="10">
        <v>0.22133333333333333</v>
      </c>
    </row>
    <row r="83" spans="1:5" ht="19.8" x14ac:dyDescent="0.4">
      <c r="A83" s="4" t="s">
        <v>990</v>
      </c>
    </row>
    <row r="86" spans="1:5" x14ac:dyDescent="0.3">
      <c r="D86" s="5" t="s">
        <v>970</v>
      </c>
      <c r="E86" s="6">
        <v>1</v>
      </c>
    </row>
    <row r="88" spans="1:5" x14ac:dyDescent="0.3">
      <c r="A88" s="5" t="s">
        <v>995</v>
      </c>
      <c r="B88" t="s">
        <v>1003</v>
      </c>
      <c r="D88" s="5" t="s">
        <v>995</v>
      </c>
      <c r="E88" t="s">
        <v>1003</v>
      </c>
    </row>
    <row r="89" spans="1:5" x14ac:dyDescent="0.3">
      <c r="A89" s="6" t="s">
        <v>1011</v>
      </c>
      <c r="B89" s="7">
        <v>234</v>
      </c>
      <c r="D89" s="6" t="s">
        <v>1011</v>
      </c>
      <c r="E89" s="7">
        <v>56</v>
      </c>
    </row>
    <row r="90" spans="1:5" x14ac:dyDescent="0.3">
      <c r="A90" s="6" t="s">
        <v>1012</v>
      </c>
      <c r="B90" s="7">
        <v>225</v>
      </c>
      <c r="D90" s="6" t="s">
        <v>1012</v>
      </c>
      <c r="E90" s="7">
        <v>43</v>
      </c>
    </row>
    <row r="91" spans="1:5" x14ac:dyDescent="0.3">
      <c r="A91" s="6" t="s">
        <v>1013</v>
      </c>
      <c r="B91" s="7">
        <v>210</v>
      </c>
      <c r="D91" s="6" t="s">
        <v>1013</v>
      </c>
      <c r="E91" s="7">
        <v>49</v>
      </c>
    </row>
    <row r="92" spans="1:5" x14ac:dyDescent="0.3">
      <c r="A92" s="6" t="s">
        <v>1014</v>
      </c>
      <c r="B92" s="7">
        <v>207</v>
      </c>
      <c r="D92" s="6" t="s">
        <v>1014</v>
      </c>
      <c r="E92" s="7">
        <v>56</v>
      </c>
    </row>
    <row r="93" spans="1:5" x14ac:dyDescent="0.3">
      <c r="A93" s="6" t="s">
        <v>1015</v>
      </c>
      <c r="B93" s="7">
        <v>204</v>
      </c>
      <c r="D93" s="6" t="s">
        <v>1015</v>
      </c>
      <c r="E93" s="7">
        <v>47</v>
      </c>
    </row>
    <row r="94" spans="1:5" x14ac:dyDescent="0.3">
      <c r="A94" s="6" t="s">
        <v>1016</v>
      </c>
      <c r="B94" s="7">
        <v>214</v>
      </c>
      <c r="D94" s="6" t="s">
        <v>1016</v>
      </c>
      <c r="E94" s="7">
        <v>38</v>
      </c>
    </row>
    <row r="95" spans="1:5" x14ac:dyDescent="0.3">
      <c r="A95" s="6" t="s">
        <v>1017</v>
      </c>
      <c r="B95" s="7">
        <v>206</v>
      </c>
      <c r="D95" s="6" t="s">
        <v>1017</v>
      </c>
      <c r="E95" s="7">
        <v>43</v>
      </c>
    </row>
    <row r="96" spans="1:5" x14ac:dyDescent="0.3">
      <c r="A96" s="6" t="s">
        <v>996</v>
      </c>
      <c r="B96" s="7">
        <v>1500</v>
      </c>
      <c r="D96" s="6" t="s">
        <v>996</v>
      </c>
      <c r="E96" s="7">
        <v>332</v>
      </c>
    </row>
    <row r="101" spans="1:4" x14ac:dyDescent="0.3">
      <c r="A101" t="s">
        <v>1018</v>
      </c>
      <c r="B101" t="s">
        <v>1019</v>
      </c>
      <c r="C101" t="s">
        <v>1020</v>
      </c>
      <c r="D101" t="s">
        <v>1007</v>
      </c>
    </row>
    <row r="102" spans="1:4" x14ac:dyDescent="0.3">
      <c r="A102" t="s">
        <v>1014</v>
      </c>
      <c r="B102">
        <v>207</v>
      </c>
      <c r="C102">
        <v>56</v>
      </c>
      <c r="D102" s="10">
        <f>C102/B102</f>
        <v>0.27053140096618356</v>
      </c>
    </row>
    <row r="103" spans="1:4" x14ac:dyDescent="0.3">
      <c r="A103" t="s">
        <v>1011</v>
      </c>
      <c r="B103">
        <v>234</v>
      </c>
      <c r="C103">
        <v>56</v>
      </c>
      <c r="D103" s="10">
        <f>C103/B103</f>
        <v>0.23931623931623933</v>
      </c>
    </row>
    <row r="104" spans="1:4" x14ac:dyDescent="0.3">
      <c r="A104" t="s">
        <v>1013</v>
      </c>
      <c r="B104">
        <v>210</v>
      </c>
      <c r="C104">
        <v>49</v>
      </c>
      <c r="D104" s="10">
        <f>C104/B104</f>
        <v>0.23333333333333334</v>
      </c>
    </row>
    <row r="105" spans="1:4" x14ac:dyDescent="0.3">
      <c r="A105" t="s">
        <v>1015</v>
      </c>
      <c r="B105">
        <v>204</v>
      </c>
      <c r="C105">
        <v>47</v>
      </c>
      <c r="D105" s="10">
        <f>C105/B105</f>
        <v>0.23039215686274508</v>
      </c>
    </row>
    <row r="106" spans="1:4" x14ac:dyDescent="0.3">
      <c r="A106" t="s">
        <v>1017</v>
      </c>
      <c r="B106">
        <v>206</v>
      </c>
      <c r="C106">
        <v>43</v>
      </c>
      <c r="D106" s="10">
        <f>C106/B106</f>
        <v>0.20873786407766989</v>
      </c>
    </row>
    <row r="107" spans="1:4" x14ac:dyDescent="0.3">
      <c r="A107" t="s">
        <v>1012</v>
      </c>
      <c r="B107">
        <v>225</v>
      </c>
      <c r="C107">
        <v>43</v>
      </c>
      <c r="D107" s="10">
        <f>C107/B107</f>
        <v>0.19111111111111112</v>
      </c>
    </row>
    <row r="108" spans="1:4" x14ac:dyDescent="0.3">
      <c r="A108" t="s">
        <v>1016</v>
      </c>
      <c r="B108">
        <v>214</v>
      </c>
      <c r="C108">
        <v>38</v>
      </c>
      <c r="D108" s="10">
        <f>C108/B108</f>
        <v>0.17757009345794392</v>
      </c>
    </row>
    <row r="110" spans="1:4" x14ac:dyDescent="0.3">
      <c r="A110" t="s">
        <v>996</v>
      </c>
      <c r="B110">
        <v>1500</v>
      </c>
      <c r="C110">
        <v>332</v>
      </c>
      <c r="D110" s="10">
        <f>C110/B110</f>
        <v>0.22133333333333333</v>
      </c>
    </row>
    <row r="118" spans="1:5" ht="19.8" x14ac:dyDescent="0.4">
      <c r="A118" s="4" t="s">
        <v>989</v>
      </c>
    </row>
    <row r="122" spans="1:5" x14ac:dyDescent="0.3">
      <c r="A122" s="5" t="s">
        <v>970</v>
      </c>
      <c r="B122" t="s">
        <v>1004</v>
      </c>
      <c r="D122" s="5" t="s">
        <v>970</v>
      </c>
      <c r="E122" s="6">
        <v>1</v>
      </c>
    </row>
    <row r="124" spans="1:5" x14ac:dyDescent="0.3">
      <c r="A124" s="5" t="s">
        <v>995</v>
      </c>
      <c r="B124" t="s">
        <v>1005</v>
      </c>
      <c r="D124" s="5" t="s">
        <v>995</v>
      </c>
      <c r="E124" t="s">
        <v>1005</v>
      </c>
    </row>
    <row r="125" spans="1:5" x14ac:dyDescent="0.3">
      <c r="A125" s="6" t="s">
        <v>8</v>
      </c>
      <c r="B125" s="7">
        <v>782</v>
      </c>
      <c r="D125" s="6" t="s">
        <v>8</v>
      </c>
      <c r="E125" s="7">
        <v>175</v>
      </c>
    </row>
    <row r="126" spans="1:5" x14ac:dyDescent="0.3">
      <c r="A126" s="6" t="s">
        <v>4</v>
      </c>
      <c r="B126" s="7">
        <v>718</v>
      </c>
      <c r="D126" s="6" t="s">
        <v>4</v>
      </c>
      <c r="E126" s="7">
        <v>157</v>
      </c>
    </row>
    <row r="127" spans="1:5" x14ac:dyDescent="0.3">
      <c r="A127" s="6" t="s">
        <v>996</v>
      </c>
      <c r="B127" s="7">
        <v>1500</v>
      </c>
      <c r="D127" s="6" t="s">
        <v>996</v>
      </c>
      <c r="E127" s="7">
        <v>332</v>
      </c>
    </row>
    <row r="131" spans="1:6" x14ac:dyDescent="0.3">
      <c r="A131" t="s">
        <v>983</v>
      </c>
      <c r="B131" t="s">
        <v>1021</v>
      </c>
      <c r="C131" t="s">
        <v>1020</v>
      </c>
      <c r="D131" t="s">
        <v>1022</v>
      </c>
    </row>
    <row r="132" spans="1:6" x14ac:dyDescent="0.3">
      <c r="A132" t="s">
        <v>8</v>
      </c>
      <c r="B132">
        <v>782</v>
      </c>
      <c r="C132">
        <v>175</v>
      </c>
      <c r="D132" s="10">
        <f>C132/B132</f>
        <v>0.2237851662404092</v>
      </c>
    </row>
    <row r="133" spans="1:6" x14ac:dyDescent="0.3">
      <c r="A133" t="s">
        <v>4</v>
      </c>
      <c r="B133">
        <v>718</v>
      </c>
      <c r="C133">
        <v>157</v>
      </c>
      <c r="D133" s="10">
        <f>C133/B133</f>
        <v>0.21866295264623956</v>
      </c>
    </row>
    <row r="138" spans="1:6" ht="19.8" x14ac:dyDescent="0.4">
      <c r="A138" s="4" t="s">
        <v>988</v>
      </c>
    </row>
    <row r="141" spans="1:6" x14ac:dyDescent="0.3">
      <c r="E141" s="5" t="s">
        <v>970</v>
      </c>
      <c r="F141" s="6">
        <v>1</v>
      </c>
    </row>
    <row r="143" spans="1:6" x14ac:dyDescent="0.3">
      <c r="A143" s="5" t="s">
        <v>995</v>
      </c>
      <c r="B143" t="s">
        <v>1026</v>
      </c>
      <c r="E143" s="5" t="s">
        <v>995</v>
      </c>
      <c r="F143" t="s">
        <v>997</v>
      </c>
    </row>
    <row r="144" spans="1:6" x14ac:dyDescent="0.3">
      <c r="A144" s="6" t="s">
        <v>1024</v>
      </c>
      <c r="B144" s="7">
        <v>328</v>
      </c>
      <c r="E144" s="6" t="s">
        <v>1024</v>
      </c>
      <c r="F144" s="7">
        <v>56</v>
      </c>
    </row>
    <row r="145" spans="1:6" x14ac:dyDescent="0.3">
      <c r="A145" s="6" t="s">
        <v>1025</v>
      </c>
      <c r="B145" s="7">
        <v>1172</v>
      </c>
      <c r="E145" s="6" t="s">
        <v>1025</v>
      </c>
      <c r="F145" s="7">
        <v>276</v>
      </c>
    </row>
    <row r="146" spans="1:6" x14ac:dyDescent="0.3">
      <c r="A146" s="6" t="s">
        <v>996</v>
      </c>
      <c r="B146" s="7">
        <v>1500</v>
      </c>
      <c r="E146" s="6" t="s">
        <v>996</v>
      </c>
      <c r="F146" s="7">
        <v>332</v>
      </c>
    </row>
    <row r="150" spans="1:6" x14ac:dyDescent="0.3">
      <c r="A150" t="s">
        <v>1027</v>
      </c>
      <c r="B150" t="s">
        <v>1028</v>
      </c>
      <c r="C150" t="s">
        <v>1029</v>
      </c>
      <c r="D150" t="s">
        <v>1030</v>
      </c>
    </row>
    <row r="151" spans="1:6" x14ac:dyDescent="0.3">
      <c r="A151" t="s">
        <v>1024</v>
      </c>
      <c r="B151">
        <v>328</v>
      </c>
      <c r="C151">
        <v>56</v>
      </c>
      <c r="D151" s="10">
        <f>C151/B151</f>
        <v>0.17073170731707318</v>
      </c>
    </row>
    <row r="152" spans="1:6" x14ac:dyDescent="0.3">
      <c r="A152" t="s">
        <v>1025</v>
      </c>
      <c r="B152">
        <v>1172</v>
      </c>
      <c r="C152">
        <v>276</v>
      </c>
      <c r="D152" s="10">
        <f>C152/B152</f>
        <v>0.23549488054607509</v>
      </c>
    </row>
    <row r="157" spans="1:6" ht="19.8" x14ac:dyDescent="0.4">
      <c r="A157" s="4" t="s">
        <v>987</v>
      </c>
    </row>
    <row r="159" spans="1:6" x14ac:dyDescent="0.3">
      <c r="D159" s="5" t="s">
        <v>970</v>
      </c>
      <c r="E159" t="s">
        <v>1004</v>
      </c>
    </row>
    <row r="161" spans="1:5" x14ac:dyDescent="0.3">
      <c r="A161" s="5" t="s">
        <v>995</v>
      </c>
      <c r="B161" t="s">
        <v>998</v>
      </c>
      <c r="D161" s="5" t="s">
        <v>995</v>
      </c>
      <c r="E161" t="s">
        <v>998</v>
      </c>
    </row>
    <row r="162" spans="1:5" x14ac:dyDescent="0.3">
      <c r="A162" s="6" t="s">
        <v>1031</v>
      </c>
      <c r="B162" s="7">
        <v>265</v>
      </c>
      <c r="D162" s="6" t="s">
        <v>1031</v>
      </c>
      <c r="E162" s="8">
        <v>0.17666666666666667</v>
      </c>
    </row>
    <row r="163" spans="1:5" x14ac:dyDescent="0.3">
      <c r="A163" s="6" t="s">
        <v>1032</v>
      </c>
      <c r="B163" s="7">
        <v>257</v>
      </c>
      <c r="D163" s="6" t="s">
        <v>1032</v>
      </c>
      <c r="E163" s="8">
        <v>0.17133333333333334</v>
      </c>
    </row>
    <row r="164" spans="1:5" x14ac:dyDescent="0.3">
      <c r="A164" s="6" t="s">
        <v>1033</v>
      </c>
      <c r="B164" s="7">
        <v>226</v>
      </c>
      <c r="D164" s="6" t="s">
        <v>1033</v>
      </c>
      <c r="E164" s="8">
        <v>0.15066666666666667</v>
      </c>
    </row>
    <row r="165" spans="1:5" x14ac:dyDescent="0.3">
      <c r="A165" s="6" t="s">
        <v>1034</v>
      </c>
      <c r="B165" s="7">
        <v>246</v>
      </c>
      <c r="D165" s="6" t="s">
        <v>1034</v>
      </c>
      <c r="E165" s="8">
        <v>0.16400000000000001</v>
      </c>
    </row>
    <row r="166" spans="1:5" x14ac:dyDescent="0.3">
      <c r="A166" s="6" t="s">
        <v>1035</v>
      </c>
      <c r="B166" s="7">
        <v>228</v>
      </c>
      <c r="D166" s="6" t="s">
        <v>1035</v>
      </c>
      <c r="E166" s="8">
        <v>0.152</v>
      </c>
    </row>
    <row r="167" spans="1:5" x14ac:dyDescent="0.3">
      <c r="A167" s="6" t="s">
        <v>1036</v>
      </c>
      <c r="B167" s="7">
        <v>14</v>
      </c>
      <c r="D167" s="6" t="s">
        <v>1036</v>
      </c>
      <c r="E167" s="8">
        <v>9.3333333333333341E-3</v>
      </c>
    </row>
    <row r="168" spans="1:5" x14ac:dyDescent="0.3">
      <c r="A168" s="6" t="s">
        <v>1037</v>
      </c>
      <c r="B168" s="7">
        <v>34</v>
      </c>
      <c r="D168" s="6" t="s">
        <v>1037</v>
      </c>
      <c r="E168" s="8">
        <v>2.2666666666666668E-2</v>
      </c>
    </row>
    <row r="169" spans="1:5" x14ac:dyDescent="0.3">
      <c r="A169" s="6" t="s">
        <v>1038</v>
      </c>
      <c r="B169" s="7">
        <v>230</v>
      </c>
      <c r="D169" s="6" t="s">
        <v>1038</v>
      </c>
      <c r="E169" s="8">
        <v>0.15333333333333332</v>
      </c>
    </row>
    <row r="170" spans="1:5" x14ac:dyDescent="0.3">
      <c r="A170" s="6" t="s">
        <v>996</v>
      </c>
      <c r="B170" s="7">
        <v>1500</v>
      </c>
      <c r="D170" s="6" t="s">
        <v>996</v>
      </c>
      <c r="E170" s="8">
        <v>1</v>
      </c>
    </row>
    <row r="174" spans="1:5" x14ac:dyDescent="0.3">
      <c r="A174" s="3"/>
    </row>
    <row r="177" spans="1:4" x14ac:dyDescent="0.3">
      <c r="A177" t="s">
        <v>1039</v>
      </c>
      <c r="B177" t="s">
        <v>1028</v>
      </c>
      <c r="C177" t="s">
        <v>1006</v>
      </c>
      <c r="D177" t="s">
        <v>1040</v>
      </c>
    </row>
    <row r="178" spans="1:4" x14ac:dyDescent="0.3">
      <c r="A178" t="s">
        <v>1036</v>
      </c>
      <c r="B178">
        <v>14</v>
      </c>
      <c r="C178">
        <v>6</v>
      </c>
      <c r="D178" s="10">
        <f>C178/B178</f>
        <v>0.42857142857142855</v>
      </c>
    </row>
    <row r="179" spans="1:4" x14ac:dyDescent="0.3">
      <c r="A179" t="s">
        <v>1031</v>
      </c>
      <c r="B179">
        <v>265</v>
      </c>
      <c r="C179">
        <v>73</v>
      </c>
      <c r="D179" s="10">
        <f>C179/B179</f>
        <v>0.27547169811320754</v>
      </c>
    </row>
    <row r="180" spans="1:4" x14ac:dyDescent="0.3">
      <c r="A180" t="s">
        <v>1035</v>
      </c>
      <c r="B180">
        <v>228</v>
      </c>
      <c r="C180">
        <v>53</v>
      </c>
      <c r="D180" s="10">
        <f>C180/B180</f>
        <v>0.23245614035087719</v>
      </c>
    </row>
    <row r="181" spans="1:4" x14ac:dyDescent="0.3">
      <c r="A181" t="s">
        <v>1032</v>
      </c>
      <c r="B181">
        <v>257</v>
      </c>
      <c r="C181">
        <v>58</v>
      </c>
      <c r="D181" s="10">
        <f>C181/B181</f>
        <v>0.22568093385214008</v>
      </c>
    </row>
    <row r="182" spans="1:4" x14ac:dyDescent="0.3">
      <c r="A182" t="s">
        <v>1033</v>
      </c>
      <c r="B182">
        <v>226</v>
      </c>
      <c r="C182">
        <v>50</v>
      </c>
      <c r="D182" s="10">
        <f>C182/B182</f>
        <v>0.22123893805309736</v>
      </c>
    </row>
    <row r="183" spans="1:4" x14ac:dyDescent="0.3">
      <c r="A183" t="s">
        <v>1034</v>
      </c>
      <c r="B183">
        <v>246</v>
      </c>
      <c r="C183">
        <v>48</v>
      </c>
      <c r="D183" s="10">
        <f>C183/B183</f>
        <v>0.1951219512195122</v>
      </c>
    </row>
    <row r="184" spans="1:4" x14ac:dyDescent="0.3">
      <c r="A184" t="s">
        <v>1038</v>
      </c>
      <c r="B184">
        <v>230</v>
      </c>
      <c r="C184">
        <v>39</v>
      </c>
      <c r="D184" s="10">
        <f>C184/B184</f>
        <v>0.16956521739130434</v>
      </c>
    </row>
    <row r="185" spans="1:4" x14ac:dyDescent="0.3">
      <c r="A185" t="s">
        <v>1037</v>
      </c>
      <c r="B185">
        <v>34</v>
      </c>
      <c r="C185">
        <v>5</v>
      </c>
      <c r="D185" s="10">
        <f>C185/B185</f>
        <v>0.14705882352941177</v>
      </c>
    </row>
    <row r="191" spans="1:4" ht="19.8" x14ac:dyDescent="0.4">
      <c r="A191" s="4" t="s">
        <v>986</v>
      </c>
    </row>
    <row r="193" spans="1:5" x14ac:dyDescent="0.3">
      <c r="A193" s="5" t="s">
        <v>970</v>
      </c>
      <c r="B193" t="s">
        <v>1004</v>
      </c>
      <c r="D193" s="5" t="s">
        <v>970</v>
      </c>
      <c r="E193" s="6">
        <v>1</v>
      </c>
    </row>
    <row r="195" spans="1:5" x14ac:dyDescent="0.3">
      <c r="A195" s="5" t="s">
        <v>995</v>
      </c>
      <c r="B195" t="s">
        <v>1003</v>
      </c>
      <c r="D195" s="5" t="s">
        <v>995</v>
      </c>
      <c r="E195" t="s">
        <v>1003</v>
      </c>
    </row>
    <row r="196" spans="1:5" x14ac:dyDescent="0.3">
      <c r="A196" s="6" t="s">
        <v>17</v>
      </c>
      <c r="B196" s="7">
        <v>127</v>
      </c>
      <c r="D196" s="6" t="s">
        <v>17</v>
      </c>
      <c r="E196" s="7">
        <v>25</v>
      </c>
    </row>
    <row r="197" spans="1:5" x14ac:dyDescent="0.3">
      <c r="A197" s="6" t="s">
        <v>10</v>
      </c>
      <c r="B197" s="7">
        <v>173</v>
      </c>
      <c r="D197" s="6" t="s">
        <v>10</v>
      </c>
      <c r="E197" s="7">
        <v>29</v>
      </c>
    </row>
    <row r="198" spans="1:5" x14ac:dyDescent="0.3">
      <c r="A198" s="6" t="s">
        <v>15</v>
      </c>
      <c r="B198" s="7">
        <v>154</v>
      </c>
      <c r="D198" s="6" t="s">
        <v>15</v>
      </c>
      <c r="E198" s="7">
        <v>32</v>
      </c>
    </row>
    <row r="199" spans="1:5" x14ac:dyDescent="0.3">
      <c r="A199" s="6" t="s">
        <v>1</v>
      </c>
      <c r="B199" s="7">
        <v>167</v>
      </c>
      <c r="D199" s="6" t="s">
        <v>1</v>
      </c>
      <c r="E199" s="7">
        <v>30</v>
      </c>
    </row>
    <row r="200" spans="1:5" x14ac:dyDescent="0.3">
      <c r="A200" s="6" t="s">
        <v>5</v>
      </c>
      <c r="B200" s="7">
        <v>148</v>
      </c>
      <c r="D200" s="6" t="s">
        <v>5</v>
      </c>
      <c r="E200" s="7">
        <v>29</v>
      </c>
    </row>
    <row r="201" spans="1:5" x14ac:dyDescent="0.3">
      <c r="A201" s="6" t="s">
        <v>31</v>
      </c>
      <c r="B201" s="7">
        <v>157</v>
      </c>
      <c r="D201" s="6" t="s">
        <v>31</v>
      </c>
      <c r="E201" s="7">
        <v>32</v>
      </c>
    </row>
    <row r="202" spans="1:5" x14ac:dyDescent="0.3">
      <c r="A202" s="6" t="s">
        <v>20</v>
      </c>
      <c r="B202" s="7">
        <v>158</v>
      </c>
      <c r="D202" s="6" t="s">
        <v>20</v>
      </c>
      <c r="E202" s="7">
        <v>48</v>
      </c>
    </row>
    <row r="203" spans="1:5" x14ac:dyDescent="0.3">
      <c r="A203" s="6" t="s">
        <v>45</v>
      </c>
      <c r="B203" s="7">
        <v>136</v>
      </c>
      <c r="D203" s="6" t="s">
        <v>45</v>
      </c>
      <c r="E203" s="7">
        <v>31</v>
      </c>
    </row>
    <row r="204" spans="1:5" x14ac:dyDescent="0.3">
      <c r="A204" s="6" t="s">
        <v>23</v>
      </c>
      <c r="B204" s="7">
        <v>143</v>
      </c>
      <c r="D204" s="6" t="s">
        <v>23</v>
      </c>
      <c r="E204" s="7">
        <v>39</v>
      </c>
    </row>
    <row r="205" spans="1:5" x14ac:dyDescent="0.3">
      <c r="A205" s="6" t="s">
        <v>12</v>
      </c>
      <c r="B205" s="7">
        <v>137</v>
      </c>
      <c r="D205" s="6" t="s">
        <v>12</v>
      </c>
      <c r="E205" s="7">
        <v>37</v>
      </c>
    </row>
    <row r="206" spans="1:5" x14ac:dyDescent="0.3">
      <c r="A206" s="6" t="s">
        <v>996</v>
      </c>
      <c r="B206" s="7">
        <v>1500</v>
      </c>
      <c r="D206" s="6" t="s">
        <v>996</v>
      </c>
      <c r="E206" s="7">
        <v>332</v>
      </c>
    </row>
    <row r="213" spans="1:4" x14ac:dyDescent="0.3">
      <c r="A213" t="s">
        <v>977</v>
      </c>
      <c r="B213" t="s">
        <v>1041</v>
      </c>
      <c r="C213" t="s">
        <v>1020</v>
      </c>
      <c r="D213" t="s">
        <v>1022</v>
      </c>
    </row>
    <row r="214" spans="1:4" x14ac:dyDescent="0.3">
      <c r="A214" t="s">
        <v>20</v>
      </c>
      <c r="B214">
        <v>158</v>
      </c>
      <c r="C214" s="7">
        <v>48</v>
      </c>
      <c r="D214" s="10">
        <f>C214/B214</f>
        <v>0.30379746835443039</v>
      </c>
    </row>
    <row r="215" spans="1:4" x14ac:dyDescent="0.3">
      <c r="A215" t="s">
        <v>23</v>
      </c>
      <c r="B215">
        <v>143</v>
      </c>
      <c r="C215" s="7">
        <v>39</v>
      </c>
      <c r="D215" s="10">
        <f>C215/B215</f>
        <v>0.27272727272727271</v>
      </c>
    </row>
    <row r="216" spans="1:4" x14ac:dyDescent="0.3">
      <c r="A216" t="s">
        <v>12</v>
      </c>
      <c r="B216">
        <v>137</v>
      </c>
      <c r="C216" s="7">
        <v>37</v>
      </c>
      <c r="D216" s="10">
        <f>C216/B216</f>
        <v>0.27007299270072993</v>
      </c>
    </row>
    <row r="217" spans="1:4" x14ac:dyDescent="0.3">
      <c r="A217" t="s">
        <v>45</v>
      </c>
      <c r="B217">
        <v>136</v>
      </c>
      <c r="C217" s="7">
        <v>31</v>
      </c>
      <c r="D217" s="10">
        <f>C217/B217</f>
        <v>0.22794117647058823</v>
      </c>
    </row>
    <row r="218" spans="1:4" x14ac:dyDescent="0.3">
      <c r="A218" t="s">
        <v>15</v>
      </c>
      <c r="B218">
        <v>154</v>
      </c>
      <c r="C218" s="7">
        <v>32</v>
      </c>
      <c r="D218" s="10">
        <f>C218/B218</f>
        <v>0.20779220779220781</v>
      </c>
    </row>
    <row r="219" spans="1:4" hidden="1" x14ac:dyDescent="0.3">
      <c r="A219" t="s">
        <v>31</v>
      </c>
      <c r="B219">
        <v>157</v>
      </c>
      <c r="C219" s="7">
        <v>32</v>
      </c>
      <c r="D219" s="10">
        <f>C219/B219</f>
        <v>0.20382165605095542</v>
      </c>
    </row>
    <row r="220" spans="1:4" hidden="1" x14ac:dyDescent="0.3">
      <c r="A220" t="s">
        <v>17</v>
      </c>
      <c r="B220">
        <v>127</v>
      </c>
      <c r="C220" s="7">
        <v>25</v>
      </c>
      <c r="D220" s="10">
        <f>C220/B220</f>
        <v>0.19685039370078741</v>
      </c>
    </row>
    <row r="221" spans="1:4" hidden="1" x14ac:dyDescent="0.3">
      <c r="A221" t="s">
        <v>5</v>
      </c>
      <c r="B221">
        <v>148</v>
      </c>
      <c r="C221" s="7">
        <v>29</v>
      </c>
      <c r="D221" s="10">
        <f>C221/B221</f>
        <v>0.19594594594594594</v>
      </c>
    </row>
    <row r="222" spans="1:4" hidden="1" x14ac:dyDescent="0.3">
      <c r="A222" t="s">
        <v>1</v>
      </c>
      <c r="B222">
        <v>167</v>
      </c>
      <c r="C222" s="7">
        <v>30</v>
      </c>
      <c r="D222" s="10">
        <f>C222/B222</f>
        <v>0.17964071856287425</v>
      </c>
    </row>
    <row r="223" spans="1:4" hidden="1" x14ac:dyDescent="0.3">
      <c r="A223" t="s">
        <v>10</v>
      </c>
      <c r="B223">
        <v>173</v>
      </c>
      <c r="C223" s="7">
        <v>29</v>
      </c>
      <c r="D223" s="10">
        <f>C223/B223</f>
        <v>0.16763005780346821</v>
      </c>
    </row>
  </sheetData>
  <pageMargins left="0.7" right="0.7" top="0.75" bottom="0.75" header="0.3" footer="0.3"/>
  <tableParts count="7">
    <tablePart r:id="rId16"/>
    <tablePart r:id="rId17"/>
    <tablePart r:id="rId18"/>
    <tablePart r:id="rId19"/>
    <tablePart r:id="rId20"/>
    <tablePart r:id="rId21"/>
    <tablePart r:id="rId2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952E-42BF-40E1-B86D-890A0EFA86D5}">
  <dimension ref="A33"/>
  <sheetViews>
    <sheetView showGridLines="0" showRowColHeaders="0" showRuler="0" view="pageLayout" topLeftCell="A10" zoomScaleNormal="113" workbookViewId="0">
      <selection activeCell="Q32" sqref="Q32"/>
    </sheetView>
  </sheetViews>
  <sheetFormatPr defaultColWidth="0" defaultRowHeight="14.4" x14ac:dyDescent="0.3"/>
  <cols>
    <col min="1" max="19" width="8.88671875" style="13" customWidth="1"/>
    <col min="20" max="16384" width="8.88671875" style="13" hidden="1"/>
  </cols>
  <sheetData>
    <row r="33" s="13" customFormat="1" x14ac:dyDescent="0.3"/>
  </sheetData>
  <pageMargins left="0.7" right="0.7" top="0.75" bottom="0.75" header="0.3" footer="0.3"/>
  <pageSetup orientation="portrait" r:id="rId1"/>
  <headerFooter>
    <oddHeader xml:space="preserve">&amp;C
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731B-B668-465B-9A68-CECAC7718E3F}">
  <dimension ref="A1:A9"/>
  <sheetViews>
    <sheetView workbookViewId="0">
      <selection activeCell="A9" sqref="A9"/>
    </sheetView>
  </sheetViews>
  <sheetFormatPr defaultRowHeight="14.4" x14ac:dyDescent="0.3"/>
  <sheetData>
    <row r="1" spans="1:1" x14ac:dyDescent="0.3">
      <c r="A1" s="2" t="s">
        <v>994</v>
      </c>
    </row>
    <row r="2" spans="1:1" x14ac:dyDescent="0.3">
      <c r="A2" t="s">
        <v>993</v>
      </c>
    </row>
    <row r="3" spans="1:1" x14ac:dyDescent="0.3">
      <c r="A3" t="s">
        <v>992</v>
      </c>
    </row>
    <row r="4" spans="1:1" x14ac:dyDescent="0.3">
      <c r="A4" t="s">
        <v>991</v>
      </c>
    </row>
    <row r="5" spans="1:1" x14ac:dyDescent="0.3">
      <c r="A5" t="s">
        <v>990</v>
      </c>
    </row>
    <row r="6" spans="1:1" x14ac:dyDescent="0.3">
      <c r="A6" t="s">
        <v>989</v>
      </c>
    </row>
    <row r="7" spans="1:1" x14ac:dyDescent="0.3">
      <c r="A7" t="s">
        <v>988</v>
      </c>
    </row>
    <row r="8" spans="1:1" x14ac:dyDescent="0.3">
      <c r="A8" t="s">
        <v>987</v>
      </c>
    </row>
    <row r="9" spans="1:1" x14ac:dyDescent="0.3">
      <c r="A9" t="s">
        <v>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Appointments</vt:lpstr>
      <vt:lpstr>Pivot tables</vt:lpstr>
      <vt:lpstr>Dashboard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Tirumani</dc:creator>
  <cp:lastModifiedBy>Praveen Tirumani</cp:lastModifiedBy>
  <dcterms:created xsi:type="dcterms:W3CDTF">2026-05-22T10:03:13Z</dcterms:created>
  <dcterms:modified xsi:type="dcterms:W3CDTF">2026-05-22T13:09:58Z</dcterms:modified>
</cp:coreProperties>
</file>