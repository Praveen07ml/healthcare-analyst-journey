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a4f0da8943f55f/Data Science Journey/healthcare-analyst-journey/Excel Files/"/>
    </mc:Choice>
  </mc:AlternateContent>
  <xr:revisionPtr revIDLastSave="0" documentId="8_{DE4C65A1-1E02-490C-AF9E-86CF96B8D89D}" xr6:coauthVersionLast="47" xr6:coauthVersionMax="47" xr10:uidLastSave="{00000000-0000-0000-0000-000000000000}"/>
  <bookViews>
    <workbookView xWindow="-108" yWindow="-108" windowWidth="23256" windowHeight="12456" xr2:uid="{03F45DFE-BFA4-4287-984C-2DCB77FA3456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2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" i="2"/>
  <c r="Q20" i="2"/>
  <c r="Q19" i="2"/>
  <c r="Q16" i="2"/>
  <c r="Q17" i="2"/>
  <c r="Q15" i="2"/>
  <c r="Q14" i="2"/>
  <c r="Q12" i="2"/>
  <c r="Q11" i="2"/>
  <c r="Q10" i="2"/>
  <c r="Q9" i="2"/>
  <c r="Q8" i="2"/>
  <c r="Q7" i="2"/>
  <c r="Q6" i="2"/>
  <c r="Q5" i="2"/>
  <c r="Q4" i="2"/>
</calcChain>
</file>

<file path=xl/sharedStrings.xml><?xml version="1.0" encoding="utf-8"?>
<sst xmlns="http://schemas.openxmlformats.org/spreadsheetml/2006/main" count="223" uniqueCount="121">
  <si>
    <t>Praveen</t>
  </si>
  <si>
    <t>Patient ID</t>
  </si>
  <si>
    <t xml:space="preserve">Name </t>
  </si>
  <si>
    <t>Age</t>
  </si>
  <si>
    <t>Gender</t>
  </si>
  <si>
    <t>City</t>
  </si>
  <si>
    <t>Appointment Date</t>
  </si>
  <si>
    <t>Dapartment</t>
  </si>
  <si>
    <t>Showed Up</t>
  </si>
  <si>
    <t>A10001</t>
  </si>
  <si>
    <t>A10002</t>
  </si>
  <si>
    <t>A10003</t>
  </si>
  <si>
    <t>A10004</t>
  </si>
  <si>
    <t>A10005</t>
  </si>
  <si>
    <t>A10006</t>
  </si>
  <si>
    <t>A10007</t>
  </si>
  <si>
    <t>A10008</t>
  </si>
  <si>
    <t>A10009</t>
  </si>
  <si>
    <t>A10010</t>
  </si>
  <si>
    <t>A10011</t>
  </si>
  <si>
    <t>A10012</t>
  </si>
  <si>
    <t>A10013</t>
  </si>
  <si>
    <t>A10014</t>
  </si>
  <si>
    <t>A10015</t>
  </si>
  <si>
    <t>A10016</t>
  </si>
  <si>
    <t>A10017</t>
  </si>
  <si>
    <t>A10018</t>
  </si>
  <si>
    <t>A10019</t>
  </si>
  <si>
    <t>A10020</t>
  </si>
  <si>
    <t>Male</t>
  </si>
  <si>
    <t>Hyderabad</t>
  </si>
  <si>
    <t>Health</t>
  </si>
  <si>
    <t>Yes</t>
  </si>
  <si>
    <t>Dhanush</t>
  </si>
  <si>
    <t>Harpreet</t>
  </si>
  <si>
    <t>Cordiology</t>
  </si>
  <si>
    <t>No</t>
  </si>
  <si>
    <t>Sekhar</t>
  </si>
  <si>
    <t>obeycity</t>
  </si>
  <si>
    <t>Rangayya</t>
  </si>
  <si>
    <t>Gudivada</t>
  </si>
  <si>
    <t>Rangamma</t>
  </si>
  <si>
    <t>Mogalayya</t>
  </si>
  <si>
    <t>Begumpet</t>
  </si>
  <si>
    <t>Jangayya</t>
  </si>
  <si>
    <t>Amaravathi</t>
  </si>
  <si>
    <t>Madhu</t>
  </si>
  <si>
    <t>Godavari</t>
  </si>
  <si>
    <t>Dental</t>
  </si>
  <si>
    <t>Rudra</t>
  </si>
  <si>
    <t>Konaseema</t>
  </si>
  <si>
    <t>OR</t>
  </si>
  <si>
    <t>Mehar</t>
  </si>
  <si>
    <t>Malakpet</t>
  </si>
  <si>
    <t>Emergency</t>
  </si>
  <si>
    <t>mohan</t>
  </si>
  <si>
    <t>Kondaput</t>
  </si>
  <si>
    <t>Radhika</t>
  </si>
  <si>
    <t>Hafeezpet</t>
  </si>
  <si>
    <t>Oral</t>
  </si>
  <si>
    <t>Mounika</t>
  </si>
  <si>
    <t>High tech city</t>
  </si>
  <si>
    <t>Meghana</t>
  </si>
  <si>
    <t>Kondapur</t>
  </si>
  <si>
    <t>Nagalaxmi</t>
  </si>
  <si>
    <t>Nandigama</t>
  </si>
  <si>
    <t xml:space="preserve">Oral </t>
  </si>
  <si>
    <t>Manoj</t>
  </si>
  <si>
    <t>Rekha</t>
  </si>
  <si>
    <t>Female</t>
  </si>
  <si>
    <t>Happie</t>
  </si>
  <si>
    <t>Nagarjuna</t>
  </si>
  <si>
    <t>Singareni</t>
  </si>
  <si>
    <t>A10021</t>
  </si>
  <si>
    <t>A10022</t>
  </si>
  <si>
    <t>A10023</t>
  </si>
  <si>
    <t>A10024</t>
  </si>
  <si>
    <t>A10025</t>
  </si>
  <si>
    <t>A10026</t>
  </si>
  <si>
    <t>A10027</t>
  </si>
  <si>
    <t>A10028</t>
  </si>
  <si>
    <t>A10029</t>
  </si>
  <si>
    <t>A10030</t>
  </si>
  <si>
    <t>Sikhar</t>
  </si>
  <si>
    <t>Rajkot</t>
  </si>
  <si>
    <t>Dhawan</t>
  </si>
  <si>
    <t>Bengalore</t>
  </si>
  <si>
    <t>Neelambari</t>
  </si>
  <si>
    <t>Aravind</t>
  </si>
  <si>
    <t>Simha</t>
  </si>
  <si>
    <t>Nalgonda</t>
  </si>
  <si>
    <t>Reddy</t>
  </si>
  <si>
    <t>Vizag</t>
  </si>
  <si>
    <t>Klassen</t>
  </si>
  <si>
    <t>Petrorius</t>
  </si>
  <si>
    <t>Mouna</t>
  </si>
  <si>
    <t>Dinesh</t>
  </si>
  <si>
    <t>Chennai</t>
  </si>
  <si>
    <t xml:space="preserve">Counta </t>
  </si>
  <si>
    <t>countif</t>
  </si>
  <si>
    <t>male</t>
  </si>
  <si>
    <t>female</t>
  </si>
  <si>
    <t>showup</t>
  </si>
  <si>
    <t>not show</t>
  </si>
  <si>
    <t>age</t>
  </si>
  <si>
    <t>avg</t>
  </si>
  <si>
    <t>min</t>
  </si>
  <si>
    <t>max</t>
  </si>
  <si>
    <t xml:space="preserve">age </t>
  </si>
  <si>
    <t xml:space="preserve">total </t>
  </si>
  <si>
    <t>hyderabad</t>
  </si>
  <si>
    <t>age &gt; 25</t>
  </si>
  <si>
    <t>age &lt; 25</t>
  </si>
  <si>
    <t>Hyderabad -age</t>
  </si>
  <si>
    <t>sumif</t>
  </si>
  <si>
    <t>showed - age</t>
  </si>
  <si>
    <t>Age Group</t>
  </si>
  <si>
    <t>Attendence</t>
  </si>
  <si>
    <t>Age Category</t>
  </si>
  <si>
    <t>Risk Falg</t>
  </si>
  <si>
    <t>male and showed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</si>
</sst>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0DC7-FA2C-42B2-B96F-CF69C0BE47D1}">
  <dimension ref="A2:Q32"/>
  <sheetViews>
    <sheetView tabSelected="1" topLeftCell="C1" workbookViewId="0">
      <selection activeCell="M17" sqref="M17"/>
    </sheetView>
  </sheetViews>
  <sheetFormatPr defaultRowHeight="14.4" x14ac:dyDescent="0.3"/>
  <cols>
    <col min="1" max="1" width="11.33203125" bestFit="1" customWidth="1"/>
    <col min="5" max="5" width="9.77734375" bestFit="1" customWidth="1"/>
    <col min="6" max="6" width="20.44140625" bestFit="1" customWidth="1"/>
    <col min="7" max="7" width="13.77734375" bestFit="1" customWidth="1"/>
    <col min="8" max="8" width="12.77734375" bestFit="1" customWidth="1"/>
    <col min="9" max="13" width="12.77734375" customWidth="1"/>
    <col min="15" max="15" width="15" bestFit="1" customWidth="1"/>
  </cols>
  <sheetData>
    <row r="2" spans="1:17" ht="15.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116</v>
      </c>
      <c r="J2" s="2" t="s">
        <v>117</v>
      </c>
      <c r="K2" s="2" t="s">
        <v>118</v>
      </c>
      <c r="L2" s="2" t="s">
        <v>119</v>
      </c>
      <c r="M2" s="3"/>
      <c r="N2" s="3"/>
    </row>
    <row r="3" spans="1:17" x14ac:dyDescent="0.3">
      <c r="A3" t="s">
        <v>9</v>
      </c>
      <c r="B3" t="s">
        <v>0</v>
      </c>
      <c r="C3">
        <v>28</v>
      </c>
      <c r="D3" t="s">
        <v>29</v>
      </c>
      <c r="E3" t="s">
        <v>30</v>
      </c>
      <c r="F3" s="1">
        <v>46142</v>
      </c>
      <c r="G3" t="s">
        <v>31</v>
      </c>
      <c r="H3" t="s">
        <v>32</v>
      </c>
      <c r="I3" t="str">
        <f>IF(C3&gt;30,"Senior","Young")</f>
        <v>Young</v>
      </c>
      <c r="J3" t="str">
        <f>IF(H3="Yes","Present","Obsent")</f>
        <v>Present</v>
      </c>
      <c r="K3" t="str">
        <f>IF(C3&gt;40,"Old",
IF( C3 &gt; 30,"Middle","Young"))</f>
        <v>Young</v>
      </c>
      <c r="L3" t="str">
        <f>IF(AND(C3&gt;30,H3,"No"),"High Risk","Normal")</f>
        <v>Normal</v>
      </c>
    </row>
    <row r="4" spans="1:17" x14ac:dyDescent="0.3">
      <c r="A4" t="s">
        <v>10</v>
      </c>
      <c r="B4" t="s">
        <v>33</v>
      </c>
      <c r="C4">
        <v>22</v>
      </c>
      <c r="D4" t="s">
        <v>29</v>
      </c>
      <c r="E4" t="s">
        <v>30</v>
      </c>
      <c r="F4" s="1">
        <v>46143</v>
      </c>
      <c r="G4" t="s">
        <v>31</v>
      </c>
      <c r="H4" t="s">
        <v>32</v>
      </c>
      <c r="I4" t="str">
        <f t="shared" ref="I4:I32" si="0">IF(C4&gt;30,"Senior","Young")</f>
        <v>Young</v>
      </c>
      <c r="J4" t="str">
        <f t="shared" ref="J4:J32" si="1">IF(H4="Yes","Present","Obsent")</f>
        <v>Present</v>
      </c>
      <c r="K4" t="str">
        <f t="shared" ref="K4:K32" si="2">IF(C4&gt;40,"Old",
IF( C4 &gt; 30,"Middle","Young"))</f>
        <v>Young</v>
      </c>
      <c r="L4" t="str">
        <f t="shared" ref="L4:L32" si="3">IF(AND(C4&gt;30,H4,"No"),"High Risk","Normal")</f>
        <v>Normal</v>
      </c>
      <c r="P4" t="s">
        <v>98</v>
      </c>
      <c r="Q4">
        <f>COUNTA(A3:A32)</f>
        <v>30</v>
      </c>
    </row>
    <row r="5" spans="1:17" x14ac:dyDescent="0.3">
      <c r="A5" t="s">
        <v>11</v>
      </c>
      <c r="B5" t="s">
        <v>34</v>
      </c>
      <c r="C5">
        <v>22</v>
      </c>
      <c r="D5" t="s">
        <v>29</v>
      </c>
      <c r="E5" t="s">
        <v>30</v>
      </c>
      <c r="F5" s="1">
        <v>46144</v>
      </c>
      <c r="G5" t="s">
        <v>35</v>
      </c>
      <c r="H5" t="s">
        <v>36</v>
      </c>
      <c r="I5" t="str">
        <f t="shared" si="0"/>
        <v>Young</v>
      </c>
      <c r="J5" t="str">
        <f t="shared" si="1"/>
        <v>Obsent</v>
      </c>
      <c r="K5" t="str">
        <f t="shared" si="2"/>
        <v>Young</v>
      </c>
      <c r="L5" t="str">
        <f t="shared" si="3"/>
        <v>Normal</v>
      </c>
      <c r="O5" t="s">
        <v>100</v>
      </c>
      <c r="P5" t="s">
        <v>99</v>
      </c>
      <c r="Q5">
        <f>COUNTIF($D$3:$D$32,"Male")</f>
        <v>19</v>
      </c>
    </row>
    <row r="6" spans="1:17" x14ac:dyDescent="0.3">
      <c r="A6" t="s">
        <v>12</v>
      </c>
      <c r="B6" t="s">
        <v>37</v>
      </c>
      <c r="C6">
        <v>19</v>
      </c>
      <c r="D6" t="s">
        <v>29</v>
      </c>
      <c r="E6" t="s">
        <v>30</v>
      </c>
      <c r="F6" s="1">
        <v>46145</v>
      </c>
      <c r="G6" t="s">
        <v>38</v>
      </c>
      <c r="H6" t="s">
        <v>36</v>
      </c>
      <c r="I6" t="str">
        <f t="shared" si="0"/>
        <v>Young</v>
      </c>
      <c r="J6" t="str">
        <f t="shared" si="1"/>
        <v>Obsent</v>
      </c>
      <c r="K6" t="str">
        <f t="shared" si="2"/>
        <v>Young</v>
      </c>
      <c r="L6" t="str">
        <f t="shared" si="3"/>
        <v>Normal</v>
      </c>
      <c r="O6" t="s">
        <v>101</v>
      </c>
      <c r="P6" t="s">
        <v>99</v>
      </c>
      <c r="Q6">
        <f>COUNTIF($D$3:$D$32,"Female")</f>
        <v>11</v>
      </c>
    </row>
    <row r="7" spans="1:17" x14ac:dyDescent="0.3">
      <c r="A7" t="s">
        <v>13</v>
      </c>
      <c r="B7" t="s">
        <v>39</v>
      </c>
      <c r="C7">
        <v>20</v>
      </c>
      <c r="D7" t="s">
        <v>29</v>
      </c>
      <c r="E7" t="s">
        <v>40</v>
      </c>
      <c r="F7" s="1">
        <v>46146</v>
      </c>
      <c r="G7" t="s">
        <v>31</v>
      </c>
      <c r="H7" t="s">
        <v>32</v>
      </c>
      <c r="I7" t="str">
        <f t="shared" si="0"/>
        <v>Young</v>
      </c>
      <c r="J7" t="str">
        <f t="shared" si="1"/>
        <v>Present</v>
      </c>
      <c r="K7" t="str">
        <f t="shared" si="2"/>
        <v>Young</v>
      </c>
      <c r="L7" t="str">
        <f t="shared" si="3"/>
        <v>Normal</v>
      </c>
      <c r="O7" t="s">
        <v>102</v>
      </c>
      <c r="P7" t="s">
        <v>99</v>
      </c>
      <c r="Q7">
        <f>COUNTIF($H$3:$H$32,"Yes")</f>
        <v>22</v>
      </c>
    </row>
    <row r="8" spans="1:17" x14ac:dyDescent="0.3">
      <c r="A8" t="s">
        <v>14</v>
      </c>
      <c r="B8" t="s">
        <v>41</v>
      </c>
      <c r="C8">
        <v>18</v>
      </c>
      <c r="D8" t="s">
        <v>69</v>
      </c>
      <c r="E8" t="s">
        <v>40</v>
      </c>
      <c r="F8" s="1">
        <v>46147</v>
      </c>
      <c r="G8" t="s">
        <v>31</v>
      </c>
      <c r="H8" t="s">
        <v>32</v>
      </c>
      <c r="I8" t="str">
        <f t="shared" si="0"/>
        <v>Young</v>
      </c>
      <c r="J8" t="str">
        <f t="shared" si="1"/>
        <v>Present</v>
      </c>
      <c r="K8" t="str">
        <f t="shared" si="2"/>
        <v>Young</v>
      </c>
      <c r="L8" t="str">
        <f t="shared" si="3"/>
        <v>Normal</v>
      </c>
      <c r="O8" t="s">
        <v>103</v>
      </c>
      <c r="P8" t="s">
        <v>99</v>
      </c>
      <c r="Q8">
        <f>COUNTIF($H$3:$H$32,"No")</f>
        <v>8</v>
      </c>
    </row>
    <row r="9" spans="1:17" x14ac:dyDescent="0.3">
      <c r="A9" t="s">
        <v>15</v>
      </c>
      <c r="B9" t="s">
        <v>42</v>
      </c>
      <c r="C9">
        <v>25</v>
      </c>
      <c r="D9" t="s">
        <v>29</v>
      </c>
      <c r="E9" t="s">
        <v>43</v>
      </c>
      <c r="F9" s="1">
        <v>46148</v>
      </c>
      <c r="G9" t="s">
        <v>31</v>
      </c>
      <c r="H9" t="s">
        <v>32</v>
      </c>
      <c r="I9" t="str">
        <f t="shared" si="0"/>
        <v>Young</v>
      </c>
      <c r="J9" t="str">
        <f t="shared" si="1"/>
        <v>Present</v>
      </c>
      <c r="K9" t="str">
        <f t="shared" si="2"/>
        <v>Young</v>
      </c>
      <c r="L9" t="str">
        <f t="shared" si="3"/>
        <v>Normal</v>
      </c>
      <c r="O9" t="s">
        <v>104</v>
      </c>
      <c r="P9" t="s">
        <v>105</v>
      </c>
      <c r="Q9">
        <f>AVERAGE($C$3:$C$32)</f>
        <v>26.833333333333332</v>
      </c>
    </row>
    <row r="10" spans="1:17" x14ac:dyDescent="0.3">
      <c r="A10" t="s">
        <v>16</v>
      </c>
      <c r="B10" t="s">
        <v>44</v>
      </c>
      <c r="C10">
        <v>45</v>
      </c>
      <c r="D10" t="s">
        <v>29</v>
      </c>
      <c r="E10" t="s">
        <v>45</v>
      </c>
      <c r="F10" s="1">
        <v>46149</v>
      </c>
      <c r="G10" t="s">
        <v>31</v>
      </c>
      <c r="H10" t="s">
        <v>32</v>
      </c>
      <c r="I10" t="str">
        <f t="shared" si="0"/>
        <v>Senior</v>
      </c>
      <c r="J10" t="str">
        <f t="shared" si="1"/>
        <v>Present</v>
      </c>
      <c r="K10" t="str">
        <f t="shared" si="2"/>
        <v>Old</v>
      </c>
      <c r="L10" t="str">
        <f t="shared" si="3"/>
        <v>High Risk</v>
      </c>
      <c r="O10" t="s">
        <v>104</v>
      </c>
      <c r="P10" t="s">
        <v>106</v>
      </c>
      <c r="Q10">
        <f>MIN(C3:C32)</f>
        <v>18</v>
      </c>
    </row>
    <row r="11" spans="1:17" x14ac:dyDescent="0.3">
      <c r="A11" t="s">
        <v>17</v>
      </c>
      <c r="B11" t="s">
        <v>46</v>
      </c>
      <c r="C11">
        <v>22</v>
      </c>
      <c r="D11" t="s">
        <v>29</v>
      </c>
      <c r="E11" t="s">
        <v>47</v>
      </c>
      <c r="F11" s="1">
        <v>46150</v>
      </c>
      <c r="G11" t="s">
        <v>48</v>
      </c>
      <c r="H11" t="s">
        <v>32</v>
      </c>
      <c r="I11" t="str">
        <f t="shared" si="0"/>
        <v>Young</v>
      </c>
      <c r="J11" t="str">
        <f t="shared" si="1"/>
        <v>Present</v>
      </c>
      <c r="K11" t="str">
        <f t="shared" si="2"/>
        <v>Young</v>
      </c>
      <c r="L11" t="str">
        <f t="shared" si="3"/>
        <v>Normal</v>
      </c>
      <c r="O11" t="s">
        <v>104</v>
      </c>
      <c r="P11" t="s">
        <v>107</v>
      </c>
      <c r="Q11">
        <f>MAX(C2:C32)</f>
        <v>45</v>
      </c>
    </row>
    <row r="12" spans="1:17" x14ac:dyDescent="0.3">
      <c r="A12" t="s">
        <v>18</v>
      </c>
      <c r="B12" t="s">
        <v>49</v>
      </c>
      <c r="C12">
        <v>28</v>
      </c>
      <c r="D12" t="s">
        <v>29</v>
      </c>
      <c r="E12" t="s">
        <v>50</v>
      </c>
      <c r="F12" s="1">
        <v>46151</v>
      </c>
      <c r="G12" t="s">
        <v>51</v>
      </c>
      <c r="H12" t="s">
        <v>32</v>
      </c>
      <c r="I12" t="str">
        <f t="shared" si="0"/>
        <v>Young</v>
      </c>
      <c r="J12" t="str">
        <f t="shared" si="1"/>
        <v>Present</v>
      </c>
      <c r="K12" t="str">
        <f t="shared" si="2"/>
        <v>Young</v>
      </c>
      <c r="L12" t="str">
        <f t="shared" si="3"/>
        <v>Normal</v>
      </c>
      <c r="O12" t="s">
        <v>108</v>
      </c>
      <c r="P12" t="s">
        <v>109</v>
      </c>
      <c r="Q12">
        <f>SUM(C3:C32)</f>
        <v>805</v>
      </c>
    </row>
    <row r="13" spans="1:17" x14ac:dyDescent="0.3">
      <c r="A13" t="s">
        <v>19</v>
      </c>
      <c r="B13" t="s">
        <v>52</v>
      </c>
      <c r="C13">
        <v>29</v>
      </c>
      <c r="D13" t="s">
        <v>69</v>
      </c>
      <c r="E13" t="s">
        <v>53</v>
      </c>
      <c r="F13" s="1">
        <v>46152</v>
      </c>
      <c r="G13" t="s">
        <v>54</v>
      </c>
      <c r="H13" t="s">
        <v>32</v>
      </c>
      <c r="I13" t="str">
        <f t="shared" si="0"/>
        <v>Young</v>
      </c>
      <c r="J13" t="str">
        <f t="shared" si="1"/>
        <v>Present</v>
      </c>
      <c r="K13" t="str">
        <f t="shared" si="2"/>
        <v>Young</v>
      </c>
      <c r="L13" t="str">
        <f t="shared" si="3"/>
        <v>Normal</v>
      </c>
    </row>
    <row r="14" spans="1:17" x14ac:dyDescent="0.3">
      <c r="A14" t="s">
        <v>20</v>
      </c>
      <c r="B14" t="s">
        <v>55</v>
      </c>
      <c r="C14">
        <v>34</v>
      </c>
      <c r="D14" t="s">
        <v>29</v>
      </c>
      <c r="E14" t="s">
        <v>56</v>
      </c>
      <c r="F14" s="1">
        <v>46153</v>
      </c>
      <c r="G14" t="s">
        <v>31</v>
      </c>
      <c r="H14" t="s">
        <v>32</v>
      </c>
      <c r="I14" t="str">
        <f t="shared" si="0"/>
        <v>Senior</v>
      </c>
      <c r="J14" t="str">
        <f t="shared" si="1"/>
        <v>Present</v>
      </c>
      <c r="K14" t="str">
        <f t="shared" si="2"/>
        <v>Middle</v>
      </c>
      <c r="L14" t="str">
        <f t="shared" si="3"/>
        <v>High Risk</v>
      </c>
      <c r="O14" t="s">
        <v>110</v>
      </c>
      <c r="P14" t="s">
        <v>99</v>
      </c>
      <c r="Q14">
        <f>COUNTIF(E3:E32,"Hyderabad")</f>
        <v>7</v>
      </c>
    </row>
    <row r="15" spans="1:17" x14ac:dyDescent="0.3">
      <c r="A15" t="s">
        <v>21</v>
      </c>
      <c r="B15" t="s">
        <v>57</v>
      </c>
      <c r="C15">
        <v>22</v>
      </c>
      <c r="D15" t="s">
        <v>69</v>
      </c>
      <c r="E15" t="s">
        <v>58</v>
      </c>
      <c r="F15" s="1">
        <v>46154</v>
      </c>
      <c r="G15" t="s">
        <v>59</v>
      </c>
      <c r="H15" t="s">
        <v>32</v>
      </c>
      <c r="I15" t="str">
        <f t="shared" si="0"/>
        <v>Young</v>
      </c>
      <c r="J15" t="str">
        <f t="shared" si="1"/>
        <v>Present</v>
      </c>
      <c r="K15" t="str">
        <f t="shared" si="2"/>
        <v>Young</v>
      </c>
      <c r="L15" t="str">
        <f t="shared" si="3"/>
        <v>Normal</v>
      </c>
      <c r="O15" t="s">
        <v>40</v>
      </c>
      <c r="P15" t="s">
        <v>99</v>
      </c>
      <c r="Q15">
        <f>COUNTIF(E3:E32,"Gudivada")</f>
        <v>2</v>
      </c>
    </row>
    <row r="16" spans="1:17" x14ac:dyDescent="0.3">
      <c r="A16" t="s">
        <v>22</v>
      </c>
      <c r="B16" t="s">
        <v>60</v>
      </c>
      <c r="C16">
        <v>30</v>
      </c>
      <c r="D16" t="s">
        <v>69</v>
      </c>
      <c r="E16" t="s">
        <v>61</v>
      </c>
      <c r="F16" s="1">
        <v>46155</v>
      </c>
      <c r="G16" t="s">
        <v>59</v>
      </c>
      <c r="H16" t="s">
        <v>32</v>
      </c>
      <c r="I16" t="str">
        <f t="shared" si="0"/>
        <v>Young</v>
      </c>
      <c r="J16" t="str">
        <f t="shared" si="1"/>
        <v>Present</v>
      </c>
      <c r="K16" t="str">
        <f t="shared" si="2"/>
        <v>Young</v>
      </c>
      <c r="L16" t="str">
        <f t="shared" si="3"/>
        <v>Normal</v>
      </c>
      <c r="O16" t="s">
        <v>111</v>
      </c>
      <c r="P16" t="s">
        <v>99</v>
      </c>
      <c r="Q16">
        <f>COUNTIF(C3:C33,"&gt;=25")</f>
        <v>16</v>
      </c>
    </row>
    <row r="17" spans="1:17" x14ac:dyDescent="0.3">
      <c r="A17" t="s">
        <v>23</v>
      </c>
      <c r="B17" t="s">
        <v>62</v>
      </c>
      <c r="C17">
        <v>20</v>
      </c>
      <c r="D17" t="s">
        <v>69</v>
      </c>
      <c r="E17" t="s">
        <v>63</v>
      </c>
      <c r="F17" s="1">
        <v>46156</v>
      </c>
      <c r="G17" t="s">
        <v>59</v>
      </c>
      <c r="H17" t="s">
        <v>36</v>
      </c>
      <c r="I17" t="str">
        <f t="shared" si="0"/>
        <v>Young</v>
      </c>
      <c r="J17" t="str">
        <f t="shared" si="1"/>
        <v>Obsent</v>
      </c>
      <c r="K17" t="str">
        <f t="shared" si="2"/>
        <v>Young</v>
      </c>
      <c r="L17" t="str">
        <f t="shared" si="3"/>
        <v>Normal</v>
      </c>
      <c r="O17" t="s">
        <v>112</v>
      </c>
      <c r="P17" t="s">
        <v>99</v>
      </c>
      <c r="Q17">
        <f>COUNTIF(C3:C32,"&lt;25")</f>
        <v>14</v>
      </c>
    </row>
    <row r="18" spans="1:17" x14ac:dyDescent="0.3">
      <c r="A18" t="s">
        <v>24</v>
      </c>
      <c r="B18" t="s">
        <v>64</v>
      </c>
      <c r="C18">
        <v>20</v>
      </c>
      <c r="D18" t="s">
        <v>69</v>
      </c>
      <c r="E18" t="s">
        <v>65</v>
      </c>
      <c r="F18" s="1">
        <v>46157</v>
      </c>
      <c r="G18" t="s">
        <v>66</v>
      </c>
      <c r="H18" t="s">
        <v>32</v>
      </c>
      <c r="I18" t="str">
        <f t="shared" si="0"/>
        <v>Young</v>
      </c>
      <c r="J18" t="str">
        <f t="shared" si="1"/>
        <v>Present</v>
      </c>
      <c r="K18" t="str">
        <f t="shared" si="2"/>
        <v>Young</v>
      </c>
      <c r="L18" t="str">
        <f t="shared" si="3"/>
        <v>Normal</v>
      </c>
    </row>
    <row r="19" spans="1:17" x14ac:dyDescent="0.3">
      <c r="A19" t="s">
        <v>25</v>
      </c>
      <c r="B19" t="s">
        <v>67</v>
      </c>
      <c r="C19">
        <v>29</v>
      </c>
      <c r="D19" t="s">
        <v>29</v>
      </c>
      <c r="E19" t="s">
        <v>65</v>
      </c>
      <c r="F19" s="1">
        <v>46158</v>
      </c>
      <c r="G19" t="s">
        <v>31</v>
      </c>
      <c r="H19" t="s">
        <v>36</v>
      </c>
      <c r="I19" t="str">
        <f t="shared" si="0"/>
        <v>Young</v>
      </c>
      <c r="J19" t="str">
        <f t="shared" si="1"/>
        <v>Obsent</v>
      </c>
      <c r="K19" t="str">
        <f t="shared" si="2"/>
        <v>Young</v>
      </c>
      <c r="L19" t="str">
        <f t="shared" si="3"/>
        <v>Normal</v>
      </c>
      <c r="O19" t="s">
        <v>113</v>
      </c>
      <c r="P19" t="s">
        <v>114</v>
      </c>
      <c r="Q19">
        <f>SUMIF(E3:E32,$E$3,C3:C32)</f>
        <v>171</v>
      </c>
    </row>
    <row r="20" spans="1:17" x14ac:dyDescent="0.3">
      <c r="A20" t="s">
        <v>26</v>
      </c>
      <c r="B20" t="s">
        <v>68</v>
      </c>
      <c r="C20">
        <v>29</v>
      </c>
      <c r="D20" t="s">
        <v>69</v>
      </c>
      <c r="E20" t="s">
        <v>63</v>
      </c>
      <c r="F20" s="1">
        <v>46159</v>
      </c>
      <c r="G20" t="s">
        <v>31</v>
      </c>
      <c r="H20" t="s">
        <v>36</v>
      </c>
      <c r="I20" t="str">
        <f t="shared" si="0"/>
        <v>Young</v>
      </c>
      <c r="J20" t="str">
        <f t="shared" si="1"/>
        <v>Obsent</v>
      </c>
      <c r="K20" t="str">
        <f t="shared" si="2"/>
        <v>Young</v>
      </c>
      <c r="L20" t="str">
        <f t="shared" si="3"/>
        <v>Normal</v>
      </c>
      <c r="O20" t="s">
        <v>115</v>
      </c>
      <c r="P20" t="s">
        <v>114</v>
      </c>
      <c r="Q20">
        <f>SUMIF(H3:H32,"Yes",C3:C32)</f>
        <v>611</v>
      </c>
    </row>
    <row r="21" spans="1:17" x14ac:dyDescent="0.3">
      <c r="A21" t="s">
        <v>27</v>
      </c>
      <c r="B21" t="s">
        <v>70</v>
      </c>
      <c r="C21">
        <v>20</v>
      </c>
      <c r="D21" t="s">
        <v>69</v>
      </c>
      <c r="E21" t="s">
        <v>53</v>
      </c>
      <c r="F21" s="1">
        <v>46160</v>
      </c>
      <c r="G21" t="s">
        <v>48</v>
      </c>
      <c r="H21" t="s">
        <v>32</v>
      </c>
      <c r="I21" t="str">
        <f t="shared" si="0"/>
        <v>Young</v>
      </c>
      <c r="J21" t="str">
        <f t="shared" si="1"/>
        <v>Present</v>
      </c>
      <c r="K21" t="str">
        <f t="shared" si="2"/>
        <v>Young</v>
      </c>
      <c r="L21" t="str">
        <f t="shared" si="3"/>
        <v>Normal</v>
      </c>
    </row>
    <row r="22" spans="1:17" x14ac:dyDescent="0.3">
      <c r="A22" t="s">
        <v>28</v>
      </c>
      <c r="B22" t="s">
        <v>71</v>
      </c>
      <c r="C22">
        <v>29</v>
      </c>
      <c r="D22" t="s">
        <v>29</v>
      </c>
      <c r="E22" t="s">
        <v>72</v>
      </c>
      <c r="F22" s="1">
        <v>46161</v>
      </c>
      <c r="G22" t="s">
        <v>31</v>
      </c>
      <c r="H22" t="s">
        <v>36</v>
      </c>
      <c r="I22" t="str">
        <f t="shared" si="0"/>
        <v>Young</v>
      </c>
      <c r="J22" t="str">
        <f t="shared" si="1"/>
        <v>Obsent</v>
      </c>
      <c r="K22" t="str">
        <f t="shared" si="2"/>
        <v>Young</v>
      </c>
      <c r="L22" t="str">
        <f t="shared" si="3"/>
        <v>Normal</v>
      </c>
      <c r="O22" t="s">
        <v>120</v>
      </c>
      <c r="P22" t="s">
        <v>99</v>
      </c>
      <c r="Q22">
        <f>COUNTIFS(D3:D32,"Male",H3:H32,"Yes")</f>
        <v>14</v>
      </c>
    </row>
    <row r="23" spans="1:17" x14ac:dyDescent="0.3">
      <c r="A23" t="s">
        <v>73</v>
      </c>
      <c r="B23" t="s">
        <v>83</v>
      </c>
      <c r="C23">
        <v>28</v>
      </c>
      <c r="D23" t="s">
        <v>29</v>
      </c>
      <c r="E23" t="s">
        <v>84</v>
      </c>
      <c r="F23" s="1">
        <v>46162</v>
      </c>
      <c r="G23" t="s">
        <v>31</v>
      </c>
      <c r="H23" t="s">
        <v>32</v>
      </c>
      <c r="I23" t="str">
        <f t="shared" si="0"/>
        <v>Young</v>
      </c>
      <c r="J23" t="str">
        <f t="shared" si="1"/>
        <v>Present</v>
      </c>
      <c r="K23" t="str">
        <f t="shared" si="2"/>
        <v>Young</v>
      </c>
      <c r="L23" t="str">
        <f t="shared" si="3"/>
        <v>Normal</v>
      </c>
    </row>
    <row r="24" spans="1:17" x14ac:dyDescent="0.3">
      <c r="A24" t="s">
        <v>74</v>
      </c>
      <c r="B24" t="s">
        <v>85</v>
      </c>
      <c r="C24">
        <v>45</v>
      </c>
      <c r="D24" t="s">
        <v>29</v>
      </c>
      <c r="E24" t="s">
        <v>86</v>
      </c>
      <c r="F24" s="1">
        <v>46163</v>
      </c>
      <c r="G24" t="s">
        <v>48</v>
      </c>
      <c r="H24" t="s">
        <v>32</v>
      </c>
      <c r="I24" t="str">
        <f t="shared" si="0"/>
        <v>Senior</v>
      </c>
      <c r="J24" t="str">
        <f t="shared" si="1"/>
        <v>Present</v>
      </c>
      <c r="K24" t="str">
        <f t="shared" si="2"/>
        <v>Old</v>
      </c>
      <c r="L24" t="str">
        <f t="shared" si="3"/>
        <v>High Risk</v>
      </c>
    </row>
    <row r="25" spans="1:17" x14ac:dyDescent="0.3">
      <c r="A25" t="s">
        <v>75</v>
      </c>
      <c r="B25" t="s">
        <v>87</v>
      </c>
      <c r="C25">
        <v>34</v>
      </c>
      <c r="D25" t="s">
        <v>69</v>
      </c>
      <c r="E25" t="s">
        <v>30</v>
      </c>
      <c r="F25" s="1">
        <v>46164</v>
      </c>
      <c r="G25" t="s">
        <v>31</v>
      </c>
      <c r="H25" t="s">
        <v>32</v>
      </c>
      <c r="I25" t="str">
        <f t="shared" si="0"/>
        <v>Senior</v>
      </c>
      <c r="J25" t="str">
        <f t="shared" si="1"/>
        <v>Present</v>
      </c>
      <c r="K25" t="str">
        <f t="shared" si="2"/>
        <v>Middle</v>
      </c>
      <c r="L25" t="str">
        <f t="shared" si="3"/>
        <v>High Risk</v>
      </c>
    </row>
    <row r="26" spans="1:17" x14ac:dyDescent="0.3">
      <c r="A26" t="s">
        <v>76</v>
      </c>
      <c r="B26" t="s">
        <v>88</v>
      </c>
      <c r="C26">
        <v>22</v>
      </c>
      <c r="D26" t="s">
        <v>29</v>
      </c>
      <c r="E26" t="s">
        <v>30</v>
      </c>
      <c r="F26" s="1">
        <v>46165</v>
      </c>
      <c r="G26" t="s">
        <v>31</v>
      </c>
      <c r="H26" t="s">
        <v>36</v>
      </c>
      <c r="I26" t="str">
        <f t="shared" si="0"/>
        <v>Young</v>
      </c>
      <c r="J26" t="str">
        <f t="shared" si="1"/>
        <v>Obsent</v>
      </c>
      <c r="K26" t="str">
        <f t="shared" si="2"/>
        <v>Young</v>
      </c>
      <c r="L26" t="str">
        <f t="shared" si="3"/>
        <v>Normal</v>
      </c>
    </row>
    <row r="27" spans="1:17" x14ac:dyDescent="0.3">
      <c r="A27" t="s">
        <v>77</v>
      </c>
      <c r="B27" t="s">
        <v>62</v>
      </c>
      <c r="C27">
        <v>24</v>
      </c>
      <c r="D27" t="s">
        <v>69</v>
      </c>
      <c r="E27" t="s">
        <v>30</v>
      </c>
      <c r="F27" s="1">
        <v>46166</v>
      </c>
      <c r="G27" t="s">
        <v>59</v>
      </c>
      <c r="H27" t="s">
        <v>36</v>
      </c>
      <c r="I27" t="str">
        <f t="shared" si="0"/>
        <v>Young</v>
      </c>
      <c r="J27" t="str">
        <f t="shared" si="1"/>
        <v>Obsent</v>
      </c>
      <c r="K27" t="str">
        <f t="shared" si="2"/>
        <v>Young</v>
      </c>
      <c r="L27" t="str">
        <f t="shared" si="3"/>
        <v>Normal</v>
      </c>
    </row>
    <row r="28" spans="1:17" x14ac:dyDescent="0.3">
      <c r="A28" t="s">
        <v>78</v>
      </c>
      <c r="B28" t="s">
        <v>89</v>
      </c>
      <c r="C28">
        <v>34</v>
      </c>
      <c r="D28" t="s">
        <v>29</v>
      </c>
      <c r="E28" t="s">
        <v>47</v>
      </c>
      <c r="F28" s="1">
        <v>46167</v>
      </c>
      <c r="G28" t="s">
        <v>31</v>
      </c>
      <c r="H28" t="s">
        <v>32</v>
      </c>
      <c r="I28" t="str">
        <f t="shared" si="0"/>
        <v>Senior</v>
      </c>
      <c r="J28" t="str">
        <f t="shared" si="1"/>
        <v>Present</v>
      </c>
      <c r="K28" t="str">
        <f t="shared" si="2"/>
        <v>Middle</v>
      </c>
      <c r="L28" t="str">
        <f t="shared" si="3"/>
        <v>High Risk</v>
      </c>
    </row>
    <row r="29" spans="1:17" x14ac:dyDescent="0.3">
      <c r="A29" t="s">
        <v>79</v>
      </c>
      <c r="B29" t="s">
        <v>91</v>
      </c>
      <c r="C29">
        <v>23</v>
      </c>
      <c r="D29" t="s">
        <v>29</v>
      </c>
      <c r="E29" t="s">
        <v>92</v>
      </c>
      <c r="F29" s="1">
        <v>46168</v>
      </c>
      <c r="G29" t="s">
        <v>31</v>
      </c>
      <c r="H29" t="s">
        <v>32</v>
      </c>
      <c r="I29" t="str">
        <f t="shared" si="0"/>
        <v>Young</v>
      </c>
      <c r="J29" t="str">
        <f t="shared" si="1"/>
        <v>Present</v>
      </c>
      <c r="K29" t="str">
        <f t="shared" si="2"/>
        <v>Young</v>
      </c>
      <c r="L29" t="str">
        <f t="shared" si="3"/>
        <v>Normal</v>
      </c>
    </row>
    <row r="30" spans="1:17" x14ac:dyDescent="0.3">
      <c r="A30" t="s">
        <v>80</v>
      </c>
      <c r="B30" t="s">
        <v>93</v>
      </c>
      <c r="C30">
        <v>34</v>
      </c>
      <c r="D30" t="s">
        <v>29</v>
      </c>
      <c r="E30" t="s">
        <v>94</v>
      </c>
      <c r="F30" s="1">
        <v>46169</v>
      </c>
      <c r="G30" t="s">
        <v>31</v>
      </c>
      <c r="H30" t="s">
        <v>32</v>
      </c>
      <c r="I30" t="str">
        <f t="shared" si="0"/>
        <v>Senior</v>
      </c>
      <c r="J30" t="str">
        <f t="shared" si="1"/>
        <v>Present</v>
      </c>
      <c r="K30" t="str">
        <f t="shared" si="2"/>
        <v>Middle</v>
      </c>
      <c r="L30" t="str">
        <f t="shared" si="3"/>
        <v>High Risk</v>
      </c>
    </row>
    <row r="31" spans="1:17" x14ac:dyDescent="0.3">
      <c r="A31" t="s">
        <v>81</v>
      </c>
      <c r="B31" t="s">
        <v>95</v>
      </c>
      <c r="C31">
        <v>28</v>
      </c>
      <c r="D31" t="s">
        <v>69</v>
      </c>
      <c r="E31" t="s">
        <v>90</v>
      </c>
      <c r="F31" s="1">
        <v>46170</v>
      </c>
      <c r="G31" t="s">
        <v>59</v>
      </c>
      <c r="H31" t="s">
        <v>32</v>
      </c>
      <c r="I31" t="str">
        <f t="shared" si="0"/>
        <v>Young</v>
      </c>
      <c r="J31" t="str">
        <f t="shared" si="1"/>
        <v>Present</v>
      </c>
      <c r="K31" t="str">
        <f t="shared" si="2"/>
        <v>Young</v>
      </c>
      <c r="L31" t="str">
        <f t="shared" si="3"/>
        <v>Normal</v>
      </c>
    </row>
    <row r="32" spans="1:17" x14ac:dyDescent="0.3">
      <c r="A32" t="s">
        <v>82</v>
      </c>
      <c r="B32" t="s">
        <v>96</v>
      </c>
      <c r="C32">
        <v>22</v>
      </c>
      <c r="D32" t="s">
        <v>29</v>
      </c>
      <c r="E32" t="s">
        <v>97</v>
      </c>
      <c r="F32" s="1">
        <v>46171</v>
      </c>
      <c r="G32" t="s">
        <v>48</v>
      </c>
      <c r="H32" t="s">
        <v>32</v>
      </c>
      <c r="I32" t="str">
        <f t="shared" si="0"/>
        <v>Young</v>
      </c>
      <c r="J32" t="str">
        <f t="shared" si="1"/>
        <v>Present</v>
      </c>
      <c r="K32" t="str">
        <f t="shared" si="2"/>
        <v>Young</v>
      </c>
      <c r="L32" t="str">
        <f t="shared" si="3"/>
        <v>Normal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Tirumani</dc:creator>
  <cp:lastModifiedBy>Praveen Tirumani</cp:lastModifiedBy>
  <dcterms:created xsi:type="dcterms:W3CDTF">2026-04-29T06:25:19Z</dcterms:created>
  <dcterms:modified xsi:type="dcterms:W3CDTF">2026-05-01T11:32:56Z</dcterms:modified>
</cp:coreProperties>
</file>