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2a4f0da8943f55f/Data Science Journey/healthcare-analyst-journey/Excel Files/"/>
    </mc:Choice>
  </mc:AlternateContent>
  <xr:revisionPtr revIDLastSave="0" documentId="8_{A687C3A6-DACC-4191-B4E1-D3B93F29766A}" xr6:coauthVersionLast="47" xr6:coauthVersionMax="47" xr10:uidLastSave="{00000000-0000-0000-0000-000000000000}"/>
  <bookViews>
    <workbookView xWindow="-108" yWindow="-108" windowWidth="23256" windowHeight="12456" activeTab="3" xr2:uid="{409A0A7B-F0A2-43D5-8C0D-FE619CCC6683}"/>
  </bookViews>
  <sheets>
    <sheet name="Patient_records" sheetId="2" r:id="rId1"/>
    <sheet name="Department_info" sheetId="3" r:id="rId2"/>
    <sheet name="Pivot_reports" sheetId="4" r:id="rId3"/>
    <sheet name="Dashboard" sheetId="5" r:id="rId4"/>
  </sheets>
  <externalReferences>
    <externalReference r:id="rId5"/>
  </externalReferences>
  <calcPr calcId="191029"/>
  <pivotCaches>
    <pivotCache cacheId="0" r:id="rId6"/>
    <pivotCache cacheId="1" r:id="rId7"/>
    <pivotCache cacheId="7" r:id="rId8"/>
    <pivotCache cacheId="11" r:id="rId9"/>
  </pivotCaches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M6" i="2" l="1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2" i="2"/>
  <c r="M3" i="2"/>
  <c r="M4" i="2"/>
  <c r="M5" i="2"/>
  <c r="I6" i="3"/>
  <c r="H6" i="3"/>
  <c r="G6" i="3"/>
  <c r="F6" i="3"/>
  <c r="I5" i="3"/>
  <c r="H5" i="3"/>
  <c r="G5" i="3"/>
  <c r="F5" i="3"/>
  <c r="I4" i="3"/>
  <c r="H4" i="3"/>
  <c r="G4" i="3"/>
  <c r="F4" i="3"/>
  <c r="I3" i="3"/>
  <c r="H3" i="3"/>
  <c r="G3" i="3"/>
  <c r="F3" i="3"/>
  <c r="I2" i="3"/>
  <c r="H2" i="3"/>
  <c r="G2" i="3"/>
  <c r="F2" i="3"/>
  <c r="L31" i="2"/>
  <c r="K31" i="2"/>
  <c r="J31" i="2"/>
  <c r="I31" i="2"/>
  <c r="L30" i="2"/>
  <c r="K30" i="2"/>
  <c r="J30" i="2"/>
  <c r="I30" i="2"/>
  <c r="L29" i="2"/>
  <c r="K29" i="2"/>
  <c r="J29" i="2"/>
  <c r="I29" i="2"/>
  <c r="L28" i="2"/>
  <c r="K28" i="2"/>
  <c r="J28" i="2"/>
  <c r="I28" i="2"/>
  <c r="L27" i="2"/>
  <c r="K27" i="2"/>
  <c r="J27" i="2"/>
  <c r="I27" i="2"/>
  <c r="L26" i="2"/>
  <c r="K26" i="2"/>
  <c r="J26" i="2"/>
  <c r="I26" i="2"/>
  <c r="L25" i="2"/>
  <c r="K25" i="2"/>
  <c r="J25" i="2"/>
  <c r="I25" i="2"/>
  <c r="L24" i="2"/>
  <c r="K24" i="2"/>
  <c r="J24" i="2"/>
  <c r="I24" i="2"/>
  <c r="L23" i="2"/>
  <c r="K23" i="2"/>
  <c r="J23" i="2"/>
  <c r="I23" i="2"/>
  <c r="L22" i="2"/>
  <c r="K22" i="2"/>
  <c r="J22" i="2"/>
  <c r="I22" i="2"/>
  <c r="L21" i="2"/>
  <c r="K21" i="2"/>
  <c r="J21" i="2"/>
  <c r="I21" i="2"/>
  <c r="L20" i="2"/>
  <c r="K20" i="2"/>
  <c r="J20" i="2"/>
  <c r="I20" i="2"/>
  <c r="L19" i="2"/>
  <c r="K19" i="2"/>
  <c r="J19" i="2"/>
  <c r="I19" i="2"/>
  <c r="L18" i="2"/>
  <c r="K18" i="2"/>
  <c r="J18" i="2"/>
  <c r="I18" i="2"/>
  <c r="L17" i="2"/>
  <c r="K17" i="2"/>
  <c r="J17" i="2"/>
  <c r="I17" i="2"/>
  <c r="L16" i="2"/>
  <c r="K16" i="2"/>
  <c r="J16" i="2"/>
  <c r="I16" i="2"/>
  <c r="L15" i="2"/>
  <c r="K15" i="2"/>
  <c r="J15" i="2"/>
  <c r="I15" i="2"/>
  <c r="L14" i="2"/>
  <c r="K14" i="2"/>
  <c r="J14" i="2"/>
  <c r="I14" i="2"/>
  <c r="L13" i="2"/>
  <c r="K13" i="2"/>
  <c r="J13" i="2"/>
  <c r="I13" i="2"/>
  <c r="L12" i="2"/>
  <c r="K12" i="2"/>
  <c r="J12" i="2"/>
  <c r="I12" i="2"/>
  <c r="L11" i="2"/>
  <c r="K11" i="2"/>
  <c r="J11" i="2"/>
  <c r="I11" i="2"/>
  <c r="L10" i="2"/>
  <c r="K10" i="2"/>
  <c r="J10" i="2"/>
  <c r="I10" i="2"/>
  <c r="N9" i="2"/>
  <c r="L9" i="2"/>
  <c r="K9" i="2"/>
  <c r="J9" i="2"/>
  <c r="I9" i="2"/>
  <c r="L8" i="2"/>
  <c r="K8" i="2"/>
  <c r="J8" i="2"/>
  <c r="I8" i="2"/>
  <c r="N7" i="2"/>
  <c r="L7" i="2"/>
  <c r="K7" i="2"/>
  <c r="J7" i="2"/>
  <c r="I7" i="2"/>
  <c r="N6" i="2"/>
  <c r="L6" i="2"/>
  <c r="K6" i="2"/>
  <c r="J6" i="2"/>
  <c r="I6" i="2"/>
  <c r="L5" i="2"/>
  <c r="K5" i="2"/>
  <c r="J5" i="2"/>
  <c r="I5" i="2"/>
  <c r="L4" i="2"/>
  <c r="K4" i="2"/>
  <c r="J4" i="2"/>
  <c r="I4" i="2"/>
  <c r="L3" i="2"/>
  <c r="K3" i="2"/>
  <c r="J3" i="2"/>
  <c r="I3" i="2"/>
  <c r="L2" i="2"/>
  <c r="K2" i="2"/>
  <c r="J2" i="2"/>
  <c r="I2" i="2"/>
</calcChain>
</file>

<file path=xl/sharedStrings.xml><?xml version="1.0" encoding="utf-8"?>
<sst xmlns="http://schemas.openxmlformats.org/spreadsheetml/2006/main" count="366" uniqueCount="130">
  <si>
    <t>Patient ID</t>
  </si>
  <si>
    <t xml:space="preserve">Name </t>
  </si>
  <si>
    <t>Age</t>
  </si>
  <si>
    <t>Gender</t>
  </si>
  <si>
    <t>City</t>
  </si>
  <si>
    <t>Appointment Date</t>
  </si>
  <si>
    <t>Dapartment Name</t>
  </si>
  <si>
    <t>Showed Up</t>
  </si>
  <si>
    <t>Department ID</t>
  </si>
  <si>
    <t>Head Doctor</t>
  </si>
  <si>
    <t>Bed Capacity</t>
  </si>
  <si>
    <t>Senior category</t>
  </si>
  <si>
    <t>A10001</t>
  </si>
  <si>
    <t>Praveen</t>
  </si>
  <si>
    <t>Male</t>
  </si>
  <si>
    <t>Hyderabad</t>
  </si>
  <si>
    <t>Cardiology</t>
  </si>
  <si>
    <t>Yes</t>
  </si>
  <si>
    <t>A10002</t>
  </si>
  <si>
    <t>Dhanush</t>
  </si>
  <si>
    <t>Emergency</t>
  </si>
  <si>
    <t>A10003</t>
  </si>
  <si>
    <t>Harpreet</t>
  </si>
  <si>
    <t>Neurology</t>
  </si>
  <si>
    <t>No</t>
  </si>
  <si>
    <t>A10004</t>
  </si>
  <si>
    <t>Sekhar</t>
  </si>
  <si>
    <t>Pediatrics</t>
  </si>
  <si>
    <t>A10005</t>
  </si>
  <si>
    <t>Rangayya</t>
  </si>
  <si>
    <t>Gudivada</t>
  </si>
  <si>
    <t>Orthopedics</t>
  </si>
  <si>
    <t>A10006</t>
  </si>
  <si>
    <t>Rangamma</t>
  </si>
  <si>
    <t>Female</t>
  </si>
  <si>
    <t>A10007</t>
  </si>
  <si>
    <t>Mogalayya</t>
  </si>
  <si>
    <t>Begumpet</t>
  </si>
  <si>
    <t>A10008</t>
  </si>
  <si>
    <t>Jangayya</t>
  </si>
  <si>
    <t>Amaravathi</t>
  </si>
  <si>
    <t>A10009</t>
  </si>
  <si>
    <t>Madhu</t>
  </si>
  <si>
    <t>Godavari</t>
  </si>
  <si>
    <t>A10010</t>
  </si>
  <si>
    <t>Rudra</t>
  </si>
  <si>
    <t>Konaseema</t>
  </si>
  <si>
    <t>A10011</t>
  </si>
  <si>
    <t>Mehar</t>
  </si>
  <si>
    <t>Malakpet</t>
  </si>
  <si>
    <t>A10012</t>
  </si>
  <si>
    <t>mohan</t>
  </si>
  <si>
    <t>Kondaput</t>
  </si>
  <si>
    <t>A10013</t>
  </si>
  <si>
    <t>Radhika</t>
  </si>
  <si>
    <t>Hafeezpet</t>
  </si>
  <si>
    <t>A10014</t>
  </si>
  <si>
    <t>Mounika</t>
  </si>
  <si>
    <t>High tech city</t>
  </si>
  <si>
    <t>A10015</t>
  </si>
  <si>
    <t>Meghana</t>
  </si>
  <si>
    <t>Kondapur</t>
  </si>
  <si>
    <t>A10016</t>
  </si>
  <si>
    <t>Nagalaxmi</t>
  </si>
  <si>
    <t>Nandigama</t>
  </si>
  <si>
    <t>A10017</t>
  </si>
  <si>
    <t>Manoj</t>
  </si>
  <si>
    <t>A10018</t>
  </si>
  <si>
    <t>Rekha</t>
  </si>
  <si>
    <t>A10019</t>
  </si>
  <si>
    <t>Happie</t>
  </si>
  <si>
    <t>A10020</t>
  </si>
  <si>
    <t>Nagarjuna</t>
  </si>
  <si>
    <t>Singareni</t>
  </si>
  <si>
    <t>A10021</t>
  </si>
  <si>
    <t>Sikhar</t>
  </si>
  <si>
    <t>Rajkot</t>
  </si>
  <si>
    <t>A10022</t>
  </si>
  <si>
    <t>Dhawan</t>
  </si>
  <si>
    <t>Bengalore</t>
  </si>
  <si>
    <t>A10023</t>
  </si>
  <si>
    <t>Neelambari</t>
  </si>
  <si>
    <t>A10024</t>
  </si>
  <si>
    <t>Aravind</t>
  </si>
  <si>
    <t>A10025</t>
  </si>
  <si>
    <t>A10026</t>
  </si>
  <si>
    <t>Simha</t>
  </si>
  <si>
    <t>A10027</t>
  </si>
  <si>
    <t>Reddy</t>
  </si>
  <si>
    <t>Vizag</t>
  </si>
  <si>
    <t>A10028</t>
  </si>
  <si>
    <t>Klassen</t>
  </si>
  <si>
    <t>Petrorius</t>
  </si>
  <si>
    <t>A10029</t>
  </si>
  <si>
    <t>Mouna</t>
  </si>
  <si>
    <t>Nalgonda</t>
  </si>
  <si>
    <t>A10030</t>
  </si>
  <si>
    <t>Dinesh</t>
  </si>
  <si>
    <t>Chennai</t>
  </si>
  <si>
    <t>DepartmentName</t>
  </si>
  <si>
    <t>DepartmentID</t>
  </si>
  <si>
    <t>Floor</t>
  </si>
  <si>
    <t>No of Patients per doctor</t>
  </si>
  <si>
    <t>Average Patient Age per department</t>
  </si>
  <si>
    <t>Bed occupency %</t>
  </si>
  <si>
    <t xml:space="preserve">Bed Occupency </t>
  </si>
  <si>
    <t>D001</t>
  </si>
  <si>
    <t>Dr. Rao</t>
  </si>
  <si>
    <t>D002</t>
  </si>
  <si>
    <t>Dr. Mehta</t>
  </si>
  <si>
    <t>D003</t>
  </si>
  <si>
    <t>Dr. Kumar</t>
  </si>
  <si>
    <t>D004</t>
  </si>
  <si>
    <t>Dr. Sharma</t>
  </si>
  <si>
    <t>D005</t>
  </si>
  <si>
    <t>Dr. Reddy</t>
  </si>
  <si>
    <t>Grand Total</t>
  </si>
  <si>
    <t>city</t>
  </si>
  <si>
    <t>Count of Senior category</t>
  </si>
  <si>
    <t>Departments</t>
  </si>
  <si>
    <t>Column Labels</t>
  </si>
  <si>
    <t>Count of Patient ID</t>
  </si>
  <si>
    <t>Apr</t>
  </si>
  <si>
    <t>May</t>
  </si>
  <si>
    <t>Months</t>
  </si>
  <si>
    <t>Average of Age</t>
  </si>
  <si>
    <t>(All)</t>
  </si>
  <si>
    <t>Row Labels</t>
  </si>
  <si>
    <t>Category</t>
  </si>
  <si>
    <t>Senior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</si>
</sst>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">
    <xf numFmtId="0" fontId="0" fillId="0" borderId="0" xfId="0"/>
    <xf numFmtId="0" fontId="3" fillId="2" borderId="0" xfId="0" applyFont="1" applyFill="1"/>
    <xf numFmtId="14" fontId="0" fillId="0" borderId="0" xfId="0" applyNumberFormat="1"/>
    <xf numFmtId="9" fontId="2" fillId="3" borderId="1" xfId="1" applyFont="1" applyFill="1" applyBorder="1" applyAlignment="1">
      <alignment horizontal="center" vertical="center" wrapText="1"/>
    </xf>
    <xf numFmtId="9" fontId="2" fillId="3" borderId="0" xfId="1" applyFont="1" applyFill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164" fontId="0" fillId="0" borderId="0" xfId="0" applyNumberFormat="1"/>
    <xf numFmtId="1" fontId="0" fillId="0" borderId="0" xfId="0" applyNumberFormat="1"/>
    <xf numFmtId="0" fontId="0" fillId="0" borderId="0" xfId="0" applyAlignment="1">
      <alignment horizontal="left"/>
    </xf>
    <xf numFmtId="0" fontId="0" fillId="0" borderId="0" xfId="0" pivotButton="1"/>
    <xf numFmtId="10" fontId="0" fillId="0" borderId="0" xfId="0" applyNumberFormat="1"/>
    <xf numFmtId="0" fontId="0" fillId="4" borderId="0" xfId="0" applyFill="1" applyProtection="1">
      <protection locked="0"/>
    </xf>
    <xf numFmtId="9" fontId="0" fillId="0" borderId="0" xfId="1" applyFont="1"/>
    <xf numFmtId="0" fontId="0" fillId="0" borderId="0" xfId="0" applyNumberFormat="1"/>
    <xf numFmtId="9" fontId="0" fillId="0" borderId="0" xfId="0" applyNumberFormat="1"/>
  </cellXfs>
  <cellStyles count="2">
    <cellStyle name="Normal" xfId="0" builtinId="0"/>
    <cellStyle name="Percent" xfId="1" builtinId="5"/>
  </cellStyles>
  <dxfs count="12">
    <dxf>
      <numFmt numFmtId="13" formatCode="0%"/>
    </dxf>
    <dxf>
      <numFmt numFmtId="13" formatCode="0%"/>
    </dxf>
    <dxf>
      <numFmt numFmtId="1" formatCode="0"/>
    </dxf>
    <dxf>
      <numFmt numFmtId="1" formatCode="0"/>
    </dxf>
    <dxf>
      <numFmt numFmtId="1" formatCode="0"/>
    </dxf>
    <dxf>
      <numFmt numFmtId="164" formatCode="0.0"/>
    </dxf>
    <dxf>
      <numFmt numFmtId="1" formatCode="0"/>
    </dxf>
    <dxf>
      <numFmt numFmtId="1" formatCode="0"/>
    </dxf>
    <dxf>
      <numFmt numFmtId="1" formatCode="0"/>
    </dxf>
    <dxf>
      <numFmt numFmtId="164" formatCode="0.0"/>
    </dxf>
    <dxf>
      <numFmt numFmtId="1" formatCode="0"/>
    </dxf>
    <dxf>
      <numFmt numFmtId="164" formatCode="0.0"/>
    </dxf>
  </dxfs>
  <tableStyles count="0" defaultTableStyle="TableStyleMedium2" defaultPivotStyle="PivotStyleLight16"/>
  <colors>
    <mruColors>
      <color rgb="FFD7F5F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3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tyles" Target="styles.xml"/><Relationship Id="rId5" Type="http://schemas.openxmlformats.org/officeDocument/2006/relationships/externalLink" Target="externalLinks/externalLink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[day-05 Dashboard.xlsx]Pivot_reports!PivotTable2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72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r>
              <a:rPr lang="en-US" b="1"/>
              <a:t>Patient</a:t>
            </a:r>
            <a:r>
              <a:rPr lang="en-US" b="1" baseline="0"/>
              <a:t> Count by Department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72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D7F5F7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6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Segoe UI" panose="020B0502040204020203" pitchFamily="34" charset="0"/>
                  <a:ea typeface="+mn-ea"/>
                  <a:cs typeface="Segoe UI" panose="020B0502040204020203" pitchFamily="34" charset="0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D7F5F7"/>
          </a:solidFill>
          <a:ln>
            <a:noFill/>
          </a:ln>
          <a:effectLst/>
        </c:spPr>
        <c:dLbl>
          <c:idx val="0"/>
          <c:layout>
            <c:manualLayout>
              <c:x val="-1.0874855035709096E-2"/>
              <c:y val="8.5714285714285715E-2"/>
            </c:manualLayout>
          </c:layout>
          <c:tx>
            <c:rich>
              <a:bodyPr rot="0" spcFirstLastPara="1" vertOverflow="ellipsis" vert="horz" wrap="square" anchor="ctr" anchorCtr="1"/>
              <a:lstStyle/>
              <a:p>
                <a:pPr>
                  <a:defRPr sz="6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Segoe UI" panose="020B0502040204020203" pitchFamily="34" charset="0"/>
                    <a:ea typeface="+mn-ea"/>
                    <a:cs typeface="Segoe UI" panose="020B0502040204020203" pitchFamily="34" charset="0"/>
                  </a:defRPr>
                </a:pPr>
                <a:r>
                  <a:rPr lang="en-US" baseline="0"/>
                  <a:t> </a:t>
                </a:r>
                <a:fld id="{DA063D67-11D6-4100-9F5D-6E00F4587E85}" type="VALUE">
                  <a:rPr lang="en-US" baseline="0"/>
                  <a:pPr>
                    <a:defRPr b="1"/>
                  </a:pPr>
                  <a:t>[VALUE]</a:t>
                </a:fld>
                <a:endParaRPr lang="en-US" baseline="0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6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Segoe UI" panose="020B0502040204020203" pitchFamily="34" charset="0"/>
                  <a:ea typeface="+mn-ea"/>
                  <a:cs typeface="Segoe UI" panose="020B0502040204020203" pitchFamily="34" charset="0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>
              <c15:layout>
                <c:manualLayout>
                  <c:w val="5.475575639890861E-2"/>
                  <c:h val="6.4142857142857154E-2"/>
                </c:manualLayout>
              </c15:layout>
              <c15:dlblFieldTable/>
              <c15:showDataLabelsRange val="0"/>
            </c:ext>
          </c:extLst>
        </c:dLbl>
      </c:pivotFmt>
    </c:pivotFmts>
    <c:plotArea>
      <c:layout>
        <c:manualLayout>
          <c:layoutTarget val="inner"/>
          <c:xMode val="edge"/>
          <c:yMode val="edge"/>
          <c:x val="0.12360667828209788"/>
          <c:y val="0.23267885264341956"/>
          <c:w val="0.82926824395046139"/>
          <c:h val="0.5117727784026996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Pivot_reports!$B$4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D7F5F7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D7F5F7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BD9D-4C3A-81B2-4116412C3BB1}"/>
              </c:ext>
            </c:extLst>
          </c:dPt>
          <c:dLbls>
            <c:dLbl>
              <c:idx val="0"/>
              <c:layout>
                <c:manualLayout>
                  <c:x val="-1.0874855035709096E-2"/>
                  <c:y val="8.5714285714285715E-2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600" b="1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Segoe UI" panose="020B0502040204020203" pitchFamily="34" charset="0"/>
                        <a:ea typeface="+mn-ea"/>
                        <a:cs typeface="Segoe UI" panose="020B0502040204020203" pitchFamily="34" charset="0"/>
                      </a:defRPr>
                    </a:pPr>
                    <a:r>
                      <a:rPr lang="en-US" baseline="0"/>
                      <a:t> </a:t>
                    </a:r>
                    <a:fld id="{DA063D67-11D6-4100-9F5D-6E00F4587E85}" type="VALUE">
                      <a:rPr lang="en-US" baseline="0"/>
                      <a:pPr>
                        <a:defRPr b="1"/>
                      </a:pPr>
                      <a:t>[VALUE]</a:t>
                    </a:fld>
                    <a:endParaRPr lang="en-US" baseline="0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6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Segoe UI" panose="020B0502040204020203" pitchFamily="34" charset="0"/>
                      <a:ea typeface="+mn-ea"/>
                      <a:cs typeface="Segoe UI" panose="020B0502040204020203" pitchFamily="34" charset="0"/>
                    </a:defRPr>
                  </a:pPr>
                  <a:endParaRPr lang="en-US"/>
                </a:p>
              </c:txPr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>
                  <c15:layout>
                    <c:manualLayout>
                      <c:w val="5.475575639890861E-2"/>
                      <c:h val="6.4142857142857154E-2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BD9D-4C3A-81B2-4116412C3BB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6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Segoe UI" panose="020B0502040204020203" pitchFamily="34" charset="0"/>
                    <a:ea typeface="+mn-ea"/>
                    <a:cs typeface="Segoe UI" panose="020B0502040204020203" pitchFamily="34" charset="0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Pivot_reports!$A$5:$A$10</c:f>
              <c:strCache>
                <c:ptCount val="5"/>
                <c:pt idx="0">
                  <c:v>Cardiology</c:v>
                </c:pt>
                <c:pt idx="1">
                  <c:v>Neurology</c:v>
                </c:pt>
                <c:pt idx="2">
                  <c:v>Emergency</c:v>
                </c:pt>
                <c:pt idx="3">
                  <c:v>Pediatrics</c:v>
                </c:pt>
                <c:pt idx="4">
                  <c:v>Orthopedics</c:v>
                </c:pt>
              </c:strCache>
            </c:strRef>
          </c:cat>
          <c:val>
            <c:numRef>
              <c:f>Pivot_reports!$B$5:$B$10</c:f>
              <c:numCache>
                <c:formatCode>General</c:formatCode>
                <c:ptCount val="5"/>
                <c:pt idx="0">
                  <c:v>9</c:v>
                </c:pt>
                <c:pt idx="1">
                  <c:v>8</c:v>
                </c:pt>
                <c:pt idx="2">
                  <c:v>5</c:v>
                </c:pt>
                <c:pt idx="3">
                  <c:v>4</c:v>
                </c:pt>
                <c:pt idx="4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D9D-4C3A-81B2-4116412C3B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22277471"/>
        <c:axId val="1722278911"/>
      </c:barChart>
      <c:catAx>
        <c:axId val="172227747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" panose="020B0502040204020203" pitchFamily="34" charset="0"/>
                    <a:ea typeface="+mn-ea"/>
                    <a:cs typeface="Segoe UI" panose="020B0502040204020203" pitchFamily="34" charset="0"/>
                  </a:defRPr>
                </a:pPr>
                <a:r>
                  <a:rPr lang="en-IN" b="1"/>
                  <a:t>Departmetns</a:t>
                </a:r>
              </a:p>
            </c:rich>
          </c:tx>
          <c:layout>
            <c:manualLayout>
              <c:xMode val="edge"/>
              <c:yMode val="edge"/>
              <c:x val="0.44636528175520751"/>
              <c:y val="0.8644285714285713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" panose="020B0502040204020203" pitchFamily="34" charset="0"/>
                  <a:ea typeface="+mn-ea"/>
                  <a:cs typeface="Segoe UI" panose="020B0502040204020203" pitchFamily="34" charset="0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en-US"/>
          </a:p>
        </c:txPr>
        <c:crossAx val="1722278911"/>
        <c:crosses val="autoZero"/>
        <c:auto val="1"/>
        <c:lblAlgn val="ctr"/>
        <c:lblOffset val="100"/>
        <c:noMultiLvlLbl val="0"/>
      </c:catAx>
      <c:valAx>
        <c:axId val="1722278911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" panose="020B0502040204020203" pitchFamily="34" charset="0"/>
                    <a:ea typeface="+mn-ea"/>
                    <a:cs typeface="Segoe UI" panose="020B0502040204020203" pitchFamily="34" charset="0"/>
                  </a:defRPr>
                </a:pPr>
                <a:r>
                  <a:rPr lang="en-IN" b="1"/>
                  <a:t>No</a:t>
                </a:r>
                <a:r>
                  <a:rPr lang="en-IN" b="1" baseline="0"/>
                  <a:t> of Patients</a:t>
                </a:r>
                <a:endParaRPr lang="en-IN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" panose="020B0502040204020203" pitchFamily="34" charset="0"/>
                  <a:ea typeface="+mn-ea"/>
                  <a:cs typeface="Segoe UI" panose="020B0502040204020203" pitchFamily="34" charset="0"/>
                </a:defRPr>
              </a:pPr>
              <a:endParaRPr lang="en-IN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en-US"/>
          </a:p>
        </c:txPr>
        <c:crossAx val="1722277471"/>
        <c:crosses val="autoZero"/>
        <c:crossBetween val="between"/>
        <c:majorUnit val="2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600">
          <a:latin typeface="Segoe UI" panose="020B0502040204020203" pitchFamily="34" charset="0"/>
          <a:cs typeface="Segoe UI" panose="020B0502040204020203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[day-05 Dashboard.xlsx]Pivot_reports!PivotTable7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720" b="1">
                <a:latin typeface="Segoe UI" panose="020B0502040204020203" pitchFamily="34" charset="0"/>
                <a:cs typeface="Segoe UI" panose="020B0502040204020203" pitchFamily="34" charset="0"/>
              </a:rPr>
              <a:t>Monthly</a:t>
            </a:r>
            <a:r>
              <a:rPr lang="en-IN" sz="720" b="1" baseline="0">
                <a:latin typeface="Segoe UI" panose="020B0502040204020203" pitchFamily="34" charset="0"/>
                <a:cs typeface="Segoe UI" panose="020B0502040204020203" pitchFamily="34" charset="0"/>
              </a:rPr>
              <a:t> Appointment Trend</a:t>
            </a:r>
            <a:endParaRPr lang="en-IN" sz="720" b="1">
              <a:latin typeface="Segoe UI" panose="020B0502040204020203" pitchFamily="34" charset="0"/>
              <a:cs typeface="Segoe UI" panose="020B0502040204020203" pitchFamily="34" charset="0"/>
            </a:endParaRPr>
          </a:p>
        </c:rich>
      </c:tx>
      <c:layout>
        <c:manualLayout>
          <c:xMode val="edge"/>
          <c:yMode val="edge"/>
          <c:x val="0.27657115505023455"/>
          <c:y val="1.647726461838265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6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Segoe UI" panose="020B0502040204020203" pitchFamily="34" charset="0"/>
                  <a:ea typeface="+mn-ea"/>
                  <a:cs typeface="Segoe UI" panose="020B0502040204020203" pitchFamily="34" charset="0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rgbClr val="D7F5F7"/>
            </a:solidFill>
            <a:round/>
          </a:ln>
          <a:effectLst/>
        </c:spPr>
        <c:marker>
          <c:symbol val="none"/>
        </c:marker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-5.4939112754958545E-2"/>
              <c:y val="-7.6991109311882702E-2"/>
            </c:manualLayout>
          </c:layout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6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Segoe UI" panose="020B0502040204020203" pitchFamily="34" charset="0"/>
                    <a:ea typeface="+mn-ea"/>
                    <a:cs typeface="Segoe UI" panose="020B0502040204020203" pitchFamily="34" charset="0"/>
                  </a:defRPr>
                </a:pPr>
                <a:r>
                  <a:rPr lang="en-US" baseline="0"/>
                  <a:t> </a:t>
                </a:r>
              </a:p>
              <a:p>
                <a:pPr>
                  <a:defRPr sz="600" b="1">
                    <a:latin typeface="Segoe UI" panose="020B0502040204020203" pitchFamily="34" charset="0"/>
                    <a:cs typeface="Segoe UI" panose="020B0502040204020203" pitchFamily="34" charset="0"/>
                  </a:defRPr>
                </a:pPr>
                <a:fld id="{78DAD045-E419-4CC9-A605-0B6AEFD1FAF3}" type="VALUE">
                  <a:rPr lang="en-US" baseline="0"/>
                  <a:pPr>
                    <a:defRPr sz="600" b="1">
                      <a:latin typeface="Segoe UI" panose="020B0502040204020203" pitchFamily="34" charset="0"/>
                      <a:cs typeface="Segoe UI" panose="020B0502040204020203" pitchFamily="34" charset="0"/>
                    </a:defRPr>
                  </a:pPr>
                  <a:t>[VALUE]</a:t>
                </a:fld>
                <a:endParaRPr lang="en-IN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6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Segoe UI" panose="020B0502040204020203" pitchFamily="34" charset="0"/>
                  <a:ea typeface="+mn-ea"/>
                  <a:cs typeface="Segoe UI" panose="020B0502040204020203" pitchFamily="34" charset="0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</c:pivotFmts>
    <c:plotArea>
      <c:layout>
        <c:manualLayout>
          <c:layoutTarget val="inner"/>
          <c:xMode val="edge"/>
          <c:yMode val="edge"/>
          <c:x val="0.1339238206475894"/>
          <c:y val="0.30021641005813748"/>
          <c:w val="0.8189855112767318"/>
          <c:h val="0.48921387878701389"/>
        </c:manualLayout>
      </c:layout>
      <c:lineChart>
        <c:grouping val="standard"/>
        <c:varyColors val="0"/>
        <c:ser>
          <c:idx val="0"/>
          <c:order val="0"/>
          <c:tx>
            <c:strRef>
              <c:f>Pivot_reports!$F$17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Pt>
            <c:idx val="0"/>
            <c:marker>
              <c:symbol val="none"/>
            </c:marker>
            <c:bubble3D val="0"/>
            <c:spPr>
              <a:ln w="28575" cap="rnd">
                <a:solidFill>
                  <a:schemeClr val="accen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2-DA28-4519-9EDF-683A5644C9F9}"/>
              </c:ext>
            </c:extLst>
          </c:dPt>
          <c:dPt>
            <c:idx val="1"/>
            <c:marker>
              <c:symbol val="none"/>
            </c:marker>
            <c:bubble3D val="0"/>
            <c:spPr>
              <a:ln w="28575" cap="rnd">
                <a:solidFill>
                  <a:srgbClr val="D7F5F7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DA28-4519-9EDF-683A5644C9F9}"/>
              </c:ext>
            </c:extLst>
          </c:dPt>
          <c:dLbls>
            <c:dLbl>
              <c:idx val="0"/>
              <c:layout>
                <c:manualLayout>
                  <c:x val="-5.4939112754958545E-2"/>
                  <c:y val="-7.6991109311882702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600" b="1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Segoe UI" panose="020B0502040204020203" pitchFamily="34" charset="0"/>
                        <a:ea typeface="+mn-ea"/>
                        <a:cs typeface="Segoe UI" panose="020B0502040204020203" pitchFamily="34" charset="0"/>
                      </a:defRPr>
                    </a:pPr>
                    <a:r>
                      <a:rPr lang="en-US" baseline="0"/>
                      <a:t> </a:t>
                    </a:r>
                  </a:p>
                  <a:p>
                    <a:pPr>
                      <a:defRPr sz="600" b="1">
                        <a:latin typeface="Segoe UI" panose="020B0502040204020203" pitchFamily="34" charset="0"/>
                        <a:cs typeface="Segoe UI" panose="020B0502040204020203" pitchFamily="34" charset="0"/>
                      </a:defRPr>
                    </a:pPr>
                    <a:fld id="{78DAD045-E419-4CC9-A605-0B6AEFD1FAF3}" type="VALUE">
                      <a:rPr lang="en-US" baseline="0"/>
                      <a:pPr>
                        <a:defRPr sz="600" b="1">
                          <a:latin typeface="Segoe UI" panose="020B0502040204020203" pitchFamily="34" charset="0"/>
                          <a:cs typeface="Segoe UI" panose="020B0502040204020203" pitchFamily="34" charset="0"/>
                        </a:defRPr>
                      </a:pPr>
                      <a:t>[VALUE]</a:t>
                    </a:fld>
                    <a:endParaRPr lang="en-IN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6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Segoe UI" panose="020B0502040204020203" pitchFamily="34" charset="0"/>
                      <a:ea typeface="+mn-ea"/>
                      <a:cs typeface="Segoe UI" panose="020B0502040204020203" pitchFamily="34" charset="0"/>
                    </a:defRPr>
                  </a:pPr>
                  <a:endParaRPr lang="en-US"/>
                </a:p>
              </c:txPr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2-DA28-4519-9EDF-683A5644C9F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6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Segoe UI" panose="020B0502040204020203" pitchFamily="34" charset="0"/>
                    <a:ea typeface="+mn-ea"/>
                    <a:cs typeface="Segoe UI" panose="020B0502040204020203" pitchFamily="34" charset="0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Pivot_reports!$E$18:$E$20</c:f>
              <c:strCache>
                <c:ptCount val="2"/>
                <c:pt idx="0">
                  <c:v>May</c:v>
                </c:pt>
                <c:pt idx="1">
                  <c:v>Apr</c:v>
                </c:pt>
              </c:strCache>
            </c:strRef>
          </c:cat>
          <c:val>
            <c:numRef>
              <c:f>Pivot_reports!$F$18:$F$20</c:f>
              <c:numCache>
                <c:formatCode>0</c:formatCode>
                <c:ptCount val="2"/>
                <c:pt idx="0">
                  <c:v>29</c:v>
                </c:pt>
                <c:pt idx="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28-4519-9EDF-683A5644C9F9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881213727"/>
        <c:axId val="1201412511"/>
      </c:lineChart>
      <c:catAx>
        <c:axId val="188121372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" panose="020B0502040204020203" pitchFamily="34" charset="0"/>
                    <a:ea typeface="+mn-ea"/>
                    <a:cs typeface="Segoe UI" panose="020B0502040204020203" pitchFamily="34" charset="0"/>
                  </a:defRPr>
                </a:pPr>
                <a:r>
                  <a:rPr lang="en-IN" sz="600" b="1">
                    <a:latin typeface="Segoe UI" panose="020B0502040204020203" pitchFamily="34" charset="0"/>
                    <a:cs typeface="Segoe UI" panose="020B0502040204020203" pitchFamily="34" charset="0"/>
                  </a:rPr>
                  <a:t>Months</a:t>
                </a:r>
              </a:p>
            </c:rich>
          </c:tx>
          <c:layout>
            <c:manualLayout>
              <c:xMode val="edge"/>
              <c:yMode val="edge"/>
              <c:x val="0.48445513563286591"/>
              <c:y val="0.8452408599834706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" panose="020B0502040204020203" pitchFamily="34" charset="0"/>
                  <a:ea typeface="+mn-ea"/>
                  <a:cs typeface="Segoe UI" panose="020B0502040204020203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1412511"/>
        <c:crosses val="autoZero"/>
        <c:auto val="1"/>
        <c:lblAlgn val="ctr"/>
        <c:lblOffset val="100"/>
        <c:noMultiLvlLbl val="0"/>
      </c:catAx>
      <c:valAx>
        <c:axId val="1201412511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" panose="020B0502040204020203" pitchFamily="34" charset="0"/>
                    <a:ea typeface="+mn-ea"/>
                    <a:cs typeface="Segoe UI" panose="020B0502040204020203" pitchFamily="34" charset="0"/>
                  </a:defRPr>
                </a:pPr>
                <a:r>
                  <a:rPr lang="en-IN" sz="600" b="1">
                    <a:latin typeface="Segoe UI" panose="020B0502040204020203" pitchFamily="34" charset="0"/>
                    <a:cs typeface="Segoe UI" panose="020B0502040204020203" pitchFamily="34" charset="0"/>
                  </a:rPr>
                  <a:t>No</a:t>
                </a:r>
                <a:r>
                  <a:rPr lang="en-IN" sz="600" b="1" baseline="0">
                    <a:latin typeface="Segoe UI" panose="020B0502040204020203" pitchFamily="34" charset="0"/>
                    <a:cs typeface="Segoe UI" panose="020B0502040204020203" pitchFamily="34" charset="0"/>
                  </a:rPr>
                  <a:t> of patients</a:t>
                </a:r>
                <a:endParaRPr lang="en-IN" sz="600" b="1">
                  <a:latin typeface="Segoe UI" panose="020B0502040204020203" pitchFamily="34" charset="0"/>
                  <a:cs typeface="Segoe UI" panose="020B05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" panose="020B0502040204020203" pitchFamily="34" charset="0"/>
                  <a:ea typeface="+mn-ea"/>
                  <a:cs typeface="Segoe UI" panose="020B0502040204020203" pitchFamily="34" charset="0"/>
                </a:defRPr>
              </a:pPr>
              <a:endParaRPr lang="en-IN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12137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[day-05 Dashboard.xlsx]Pivot_reports!PivotTable1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720" b="1">
                <a:latin typeface="Segoe UI" panose="020B0502040204020203" pitchFamily="34" charset="0"/>
                <a:cs typeface="Segoe UI" panose="020B0502040204020203" pitchFamily="34" charset="0"/>
              </a:rPr>
              <a:t>Show</a:t>
            </a:r>
            <a:r>
              <a:rPr lang="en-US" sz="720" b="1" baseline="0">
                <a:latin typeface="Segoe UI" panose="020B0502040204020203" pitchFamily="34" charset="0"/>
                <a:cs typeface="Segoe UI" panose="020B0502040204020203" pitchFamily="34" charset="0"/>
              </a:rPr>
              <a:t> up / No Show up</a:t>
            </a:r>
            <a:endParaRPr lang="en-US" sz="720" b="1">
              <a:latin typeface="Segoe UI" panose="020B0502040204020203" pitchFamily="34" charset="0"/>
              <a:cs typeface="Segoe UI" panose="020B05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rgbClr val="D7F5F7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6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Segoe UI" panose="020B0502040204020203" pitchFamily="34" charset="0"/>
                  <a:ea typeface="+mn-ea"/>
                  <a:cs typeface="Segoe UI" panose="020B0502040204020203" pitchFamily="34" charset="0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D7F5F7"/>
          </a:solidFill>
          <a:ln w="19050">
            <a:solidFill>
              <a:srgbClr val="D7F5F7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6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Segoe UI" panose="020B0502040204020203" pitchFamily="34" charset="0"/>
                  <a:ea typeface="+mn-ea"/>
                  <a:cs typeface="Segoe UI" panose="020B0502040204020203" pitchFamily="34" charset="0"/>
                </a:defRPr>
              </a:pPr>
              <a:endParaRPr lang="en-US"/>
            </a:p>
          </c:txPr>
        </c:dLbl>
      </c:pivotFmt>
      <c:pivotFmt>
        <c:idx val="6"/>
        <c:spPr>
          <a:solidFill>
            <a:srgbClr val="FFC000"/>
          </a:solidFill>
          <a:ln w="19050"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6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Segoe UI" panose="020B0502040204020203" pitchFamily="34" charset="0"/>
                  <a:ea typeface="+mn-ea"/>
                  <a:cs typeface="Segoe UI" panose="020B0502040204020203" pitchFamily="34" charset="0"/>
                </a:defRPr>
              </a:pPr>
              <a:endParaRPr lang="en-US"/>
            </a:p>
          </c:txPr>
        </c:dLbl>
      </c:pivotFmt>
    </c:pivotFmts>
    <c:plotArea>
      <c:layout/>
      <c:pieChart>
        <c:varyColors val="1"/>
        <c:ser>
          <c:idx val="0"/>
          <c:order val="0"/>
          <c:tx>
            <c:strRef>
              <c:f>Pivot_reports!$K$43</c:f>
              <c:strCache>
                <c:ptCount val="1"/>
                <c:pt idx="0">
                  <c:v>Total</c:v>
                </c:pt>
              </c:strCache>
            </c:strRef>
          </c:tx>
          <c:spPr>
            <a:ln>
              <a:solidFill>
                <a:srgbClr val="D7F5F7"/>
              </a:solidFill>
            </a:ln>
          </c:spPr>
          <c:dPt>
            <c:idx val="0"/>
            <c:bubble3D val="0"/>
            <c:explosion val="12"/>
            <c:spPr>
              <a:solidFill>
                <a:srgbClr val="D7F5F7"/>
              </a:solidFill>
              <a:ln w="19050">
                <a:solidFill>
                  <a:srgbClr val="D7F5F7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BBB-46AB-A0A7-F3DE653B5500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1BBB-46AB-A0A7-F3DE653B550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6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Segoe UI" panose="020B0502040204020203" pitchFamily="34" charset="0"/>
                    <a:ea typeface="+mn-ea"/>
                    <a:cs typeface="Segoe UI" panose="020B0502040204020203" pitchFamily="34" charset="0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Pivot_reports!$J$44:$J$46</c:f>
              <c:strCache>
                <c:ptCount val="2"/>
                <c:pt idx="0">
                  <c:v>Yes</c:v>
                </c:pt>
                <c:pt idx="1">
                  <c:v>No</c:v>
                </c:pt>
              </c:strCache>
            </c:strRef>
          </c:cat>
          <c:val>
            <c:numRef>
              <c:f>Pivot_reports!$K$44:$K$46</c:f>
              <c:numCache>
                <c:formatCode>0%</c:formatCode>
                <c:ptCount val="2"/>
                <c:pt idx="0">
                  <c:v>0.73333333333333328</c:v>
                </c:pt>
                <c:pt idx="1">
                  <c:v>0.26666666666666666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BBB-46AB-A0A7-F3DE653B5500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[day-05 Dashboard.xlsx]Pivot_reports!PivotTable10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720" b="1" i="0" u="none" strike="noStrike" baseline="0">
                <a:latin typeface="Segoe UI" panose="020B0502040204020203" pitchFamily="34" charset="0"/>
                <a:cs typeface="Segoe UI" panose="020B0502040204020203" pitchFamily="34" charset="0"/>
              </a:rPr>
              <a:t>Top departments by senior patients</a:t>
            </a:r>
            <a:endParaRPr lang="en-US" sz="720" b="1">
              <a:latin typeface="Segoe UI" panose="020B0502040204020203" pitchFamily="34" charset="0"/>
              <a:cs typeface="Segoe UI" panose="020B05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D7F5F7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6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Segoe UI" panose="020B0502040204020203" pitchFamily="34" charset="0"/>
                  <a:ea typeface="+mn-ea"/>
                  <a:cs typeface="Segoe UI" panose="020B0502040204020203" pitchFamily="34" charset="0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5893903396406553"/>
          <c:y val="0.22373995517815412"/>
          <c:w val="0.7075755965045909"/>
          <c:h val="0.5496256832438839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Pivot_reports!$P$36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D7F5F7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6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Segoe UI" panose="020B0502040204020203" pitchFamily="34" charset="0"/>
                    <a:ea typeface="+mn-ea"/>
                    <a:cs typeface="Segoe UI" panose="020B0502040204020203" pitchFamily="34" charset="0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Pivot_reports!$O$37:$O$41</c:f>
              <c:strCache>
                <c:ptCount val="4"/>
                <c:pt idx="0">
                  <c:v>Orthopedics</c:v>
                </c:pt>
                <c:pt idx="1">
                  <c:v>Cardiology</c:v>
                </c:pt>
                <c:pt idx="2">
                  <c:v>Neurology</c:v>
                </c:pt>
                <c:pt idx="3">
                  <c:v>Emergency</c:v>
                </c:pt>
              </c:strCache>
            </c:strRef>
          </c:cat>
          <c:val>
            <c:numRef>
              <c:f>Pivot_reports!$P$37:$P$41</c:f>
              <c:numCache>
                <c:formatCode>General</c:formatCode>
                <c:ptCount val="4"/>
                <c:pt idx="0">
                  <c:v>2</c:v>
                </c:pt>
                <c:pt idx="1">
                  <c:v>2</c:v>
                </c:pt>
                <c:pt idx="2">
                  <c:v>1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FDC-4366-8843-0C53E1F3067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797300207"/>
        <c:axId val="1797299727"/>
      </c:barChart>
      <c:catAx>
        <c:axId val="179730020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600" b="1">
                    <a:latin typeface="Segoe UI" panose="020B0502040204020203" pitchFamily="34" charset="0"/>
                    <a:cs typeface="Segoe UI" panose="020B0502040204020203" pitchFamily="34" charset="0"/>
                  </a:rPr>
                  <a:t>Departments</a:t>
                </a:r>
              </a:p>
            </c:rich>
          </c:tx>
          <c:layout>
            <c:manualLayout>
              <c:xMode val="edge"/>
              <c:yMode val="edge"/>
              <c:x val="0.48842002298444309"/>
              <c:y val="0.9071204242393039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en-US"/>
          </a:p>
        </c:txPr>
        <c:crossAx val="1797299727"/>
        <c:crosses val="autoZero"/>
        <c:auto val="1"/>
        <c:lblAlgn val="ctr"/>
        <c:lblOffset val="100"/>
        <c:noMultiLvlLbl val="0"/>
      </c:catAx>
      <c:valAx>
        <c:axId val="1797299727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600" b="1">
                    <a:latin typeface="Segoe UI" panose="020B0502040204020203" pitchFamily="34" charset="0"/>
                    <a:cs typeface="Segoe UI" panose="020B0502040204020203" pitchFamily="34" charset="0"/>
                  </a:rPr>
                  <a:t>No</a:t>
                </a:r>
                <a:r>
                  <a:rPr lang="en-IN" sz="600" b="1" baseline="0">
                    <a:latin typeface="Segoe UI" panose="020B0502040204020203" pitchFamily="34" charset="0"/>
                    <a:cs typeface="Segoe UI" panose="020B0502040204020203" pitchFamily="34" charset="0"/>
                  </a:rPr>
                  <a:t> of Patients</a:t>
                </a:r>
                <a:endParaRPr lang="en-IN" sz="600" b="1">
                  <a:latin typeface="Segoe UI" panose="020B0502040204020203" pitchFamily="34" charset="0"/>
                  <a:cs typeface="Segoe UI" panose="020B0502040204020203" pitchFamily="34" charset="0"/>
                </a:endParaRPr>
              </a:p>
            </c:rich>
          </c:tx>
          <c:layout>
            <c:manualLayout>
              <c:xMode val="edge"/>
              <c:yMode val="edge"/>
              <c:x val="3.6340292959719162E-2"/>
              <c:y val="0.3318171784724946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en-US"/>
          </a:p>
        </c:txPr>
        <c:crossAx val="1797300207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[day-05 Dashboard.xlsx]Pivot_reports!PivotTable12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720" b="1" i="0" u="none" strike="noStrike" baseline="0">
                <a:latin typeface="Segoe UI" panose="020B0502040204020203" pitchFamily="34" charset="0"/>
                <a:cs typeface="Segoe UI" panose="020B0502040204020203" pitchFamily="34" charset="0"/>
              </a:rPr>
              <a:t>patient count by city</a:t>
            </a:r>
            <a:endParaRPr lang="en-US" sz="720" b="1">
              <a:latin typeface="Segoe UI" panose="020B0502040204020203" pitchFamily="34" charset="0"/>
              <a:cs typeface="Segoe UI" panose="020B05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D7F5F7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6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D7F5F7"/>
          </a:solidFill>
          <a:ln>
            <a:noFill/>
          </a:ln>
          <a:effectLst/>
        </c:spPr>
        <c:dLbl>
          <c:idx val="0"/>
          <c:layout>
            <c:manualLayout>
              <c:x val="-4.9828171278649726E-2"/>
              <c:y val="0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6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1968612960268113"/>
          <c:y val="0.11506111414416927"/>
          <c:w val="0.68922797329994712"/>
          <c:h val="0.79036460401068243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Pivot_reports!$B$54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D7F5F7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-4.9828171278649726E-2"/>
                  <c:y val="0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B8C6-4FBF-946A-92B6DC07D04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6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Pivot_reports!$A$55:$A$74</c:f>
              <c:strCache>
                <c:ptCount val="19"/>
                <c:pt idx="0">
                  <c:v>Hyderabad</c:v>
                </c:pt>
                <c:pt idx="1">
                  <c:v>Nandigama</c:v>
                </c:pt>
                <c:pt idx="2">
                  <c:v>Malakpet</c:v>
                </c:pt>
                <c:pt idx="3">
                  <c:v>Kondapur</c:v>
                </c:pt>
                <c:pt idx="4">
                  <c:v>Godavari</c:v>
                </c:pt>
                <c:pt idx="5">
                  <c:v>Gudivada</c:v>
                </c:pt>
                <c:pt idx="6">
                  <c:v>Begumpet</c:v>
                </c:pt>
                <c:pt idx="7">
                  <c:v>Chennai</c:v>
                </c:pt>
                <c:pt idx="8">
                  <c:v>Kondaput</c:v>
                </c:pt>
                <c:pt idx="9">
                  <c:v>Bengalore</c:v>
                </c:pt>
                <c:pt idx="10">
                  <c:v>Rajkot</c:v>
                </c:pt>
                <c:pt idx="11">
                  <c:v>Nalgonda</c:v>
                </c:pt>
                <c:pt idx="12">
                  <c:v>Hafeezpet</c:v>
                </c:pt>
                <c:pt idx="13">
                  <c:v>Petrorius</c:v>
                </c:pt>
                <c:pt idx="14">
                  <c:v>High tech city</c:v>
                </c:pt>
                <c:pt idx="15">
                  <c:v>Singareni</c:v>
                </c:pt>
                <c:pt idx="16">
                  <c:v>Vizag</c:v>
                </c:pt>
                <c:pt idx="17">
                  <c:v>Amaravathi</c:v>
                </c:pt>
                <c:pt idx="18">
                  <c:v>Konaseema</c:v>
                </c:pt>
              </c:strCache>
            </c:strRef>
          </c:cat>
          <c:val>
            <c:numRef>
              <c:f>Pivot_reports!$B$55:$B$74</c:f>
              <c:numCache>
                <c:formatCode>General</c:formatCode>
                <c:ptCount val="19"/>
                <c:pt idx="0">
                  <c:v>7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8C6-4FBF-946A-92B6DC07D0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778369231"/>
        <c:axId val="1778371151"/>
      </c:barChart>
      <c:catAx>
        <c:axId val="177836923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en-US"/>
          </a:p>
        </c:txPr>
        <c:crossAx val="1778371151"/>
        <c:crosses val="autoZero"/>
        <c:auto val="1"/>
        <c:lblAlgn val="ctr"/>
        <c:lblOffset val="100"/>
        <c:noMultiLvlLbl val="0"/>
      </c:catAx>
      <c:valAx>
        <c:axId val="17783711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en-US"/>
          </a:p>
        </c:txPr>
        <c:crossAx val="1778369231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30655</xdr:colOff>
      <xdr:row>0</xdr:row>
      <xdr:rowOff>65690</xdr:rowOff>
    </xdr:from>
    <xdr:to>
      <xdr:col>5</xdr:col>
      <xdr:colOff>560551</xdr:colOff>
      <xdr:row>2</xdr:row>
      <xdr:rowOff>56931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7774AF1F-61D5-135B-031F-6A9AEE92B192}"/>
            </a:ext>
          </a:extLst>
        </xdr:cNvPr>
        <xdr:cNvSpPr/>
      </xdr:nvSpPr>
      <xdr:spPr>
        <a:xfrm>
          <a:off x="30655" y="65690"/>
          <a:ext cx="3573517" cy="359103"/>
        </a:xfrm>
        <a:prstGeom prst="rect">
          <a:avLst/>
        </a:prstGeom>
        <a:solidFill>
          <a:srgbClr val="D7F5F7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  <a:softEdge rad="12700"/>
        </a:effectLst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IN" sz="1600" b="1"/>
            <a:t>Hospital Appointment Analytics - 2026</a:t>
          </a:r>
        </a:p>
      </xdr:txBody>
    </xdr:sp>
    <xdr:clientData/>
  </xdr:twoCellAnchor>
  <xdr:twoCellAnchor>
    <xdr:from>
      <xdr:col>6</xdr:col>
      <xdr:colOff>232104</xdr:colOff>
      <xdr:row>0</xdr:row>
      <xdr:rowOff>70070</xdr:rowOff>
    </xdr:from>
    <xdr:to>
      <xdr:col>7</xdr:col>
      <xdr:colOff>411656</xdr:colOff>
      <xdr:row>2</xdr:row>
      <xdr:rowOff>78828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1970218B-1E2D-66F8-5F28-252B0FA7C67B}"/>
            </a:ext>
          </a:extLst>
        </xdr:cNvPr>
        <xdr:cNvSpPr/>
      </xdr:nvSpPr>
      <xdr:spPr>
        <a:xfrm>
          <a:off x="3884449" y="70070"/>
          <a:ext cx="788276" cy="376620"/>
        </a:xfrm>
        <a:prstGeom prst="roundRect">
          <a:avLst/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>
              <a:solidFill>
                <a:schemeClr val="tx1"/>
              </a:solidFill>
            </a:rPr>
            <a:t> </a:t>
          </a:r>
          <a:r>
            <a:rPr lang="en-IN" sz="1100" baseline="0">
              <a:solidFill>
                <a:schemeClr val="tx1"/>
              </a:solidFill>
            </a:rPr>
            <a:t>            </a:t>
          </a:r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6</xdr:col>
      <xdr:colOff>179552</xdr:colOff>
      <xdr:row>0</xdr:row>
      <xdr:rowOff>21898</xdr:rowOff>
    </xdr:from>
    <xdr:to>
      <xdr:col>7</xdr:col>
      <xdr:colOff>508000</xdr:colOff>
      <xdr:row>2</xdr:row>
      <xdr:rowOff>83208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9029D62C-4112-B9A3-C7E7-2989921D2CEA}"/>
            </a:ext>
          </a:extLst>
        </xdr:cNvPr>
        <xdr:cNvSpPr txBox="1"/>
      </xdr:nvSpPr>
      <xdr:spPr>
        <a:xfrm>
          <a:off x="3831897" y="21898"/>
          <a:ext cx="937172" cy="42917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N" sz="1100"/>
            <a:t> 30</a:t>
          </a:r>
        </a:p>
        <a:p>
          <a:pPr algn="ctr"/>
          <a:r>
            <a:rPr lang="en-IN" sz="800"/>
            <a:t>   Patient Count</a:t>
          </a:r>
        </a:p>
        <a:p>
          <a:endParaRPr lang="en-IN" sz="1100"/>
        </a:p>
      </xdr:txBody>
    </xdr:sp>
    <xdr:clientData/>
  </xdr:twoCellAnchor>
  <xdr:twoCellAnchor>
    <xdr:from>
      <xdr:col>8</xdr:col>
      <xdr:colOff>56931</xdr:colOff>
      <xdr:row>0</xdr:row>
      <xdr:rowOff>65690</xdr:rowOff>
    </xdr:from>
    <xdr:to>
      <xdr:col>9</xdr:col>
      <xdr:colOff>236483</xdr:colOff>
      <xdr:row>2</xdr:row>
      <xdr:rowOff>74448</xdr:rowOff>
    </xdr:to>
    <xdr:sp macro="" textlink="">
      <xdr:nvSpPr>
        <xdr:cNvPr id="5" name="Rectangle: Rounded Corners 4">
          <a:extLst>
            <a:ext uri="{FF2B5EF4-FFF2-40B4-BE49-F238E27FC236}">
              <a16:creationId xmlns:a16="http://schemas.microsoft.com/office/drawing/2014/main" id="{BA89354C-DD90-489C-B34A-13AC3EB8731E}"/>
            </a:ext>
          </a:extLst>
        </xdr:cNvPr>
        <xdr:cNvSpPr/>
      </xdr:nvSpPr>
      <xdr:spPr>
        <a:xfrm>
          <a:off x="4926724" y="65690"/>
          <a:ext cx="788276" cy="376620"/>
        </a:xfrm>
        <a:prstGeom prst="roundRect">
          <a:avLst/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>
              <a:solidFill>
                <a:schemeClr val="tx1"/>
              </a:solidFill>
            </a:rPr>
            <a:t> </a:t>
          </a:r>
          <a:r>
            <a:rPr lang="en-IN" sz="1100" baseline="0">
              <a:solidFill>
                <a:schemeClr val="tx1"/>
              </a:solidFill>
            </a:rPr>
            <a:t>            </a:t>
          </a:r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7</xdr:col>
      <xdr:colOff>595585</xdr:colOff>
      <xdr:row>0</xdr:row>
      <xdr:rowOff>30657</xdr:rowOff>
    </xdr:from>
    <xdr:to>
      <xdr:col>9</xdr:col>
      <xdr:colOff>310930</xdr:colOff>
      <xdr:row>2</xdr:row>
      <xdr:rowOff>91967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769D7475-C11D-41A2-B275-A6EB1649F5B6}"/>
            </a:ext>
          </a:extLst>
        </xdr:cNvPr>
        <xdr:cNvSpPr txBox="1"/>
      </xdr:nvSpPr>
      <xdr:spPr>
        <a:xfrm>
          <a:off x="4856654" y="30657"/>
          <a:ext cx="932793" cy="42917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N" sz="1100"/>
            <a:t>73% </a:t>
          </a:r>
        </a:p>
        <a:p>
          <a:pPr algn="ctr"/>
          <a:r>
            <a:rPr lang="en-IN" sz="800"/>
            <a:t>   Show</a:t>
          </a:r>
          <a:r>
            <a:rPr lang="en-IN" sz="800" baseline="0"/>
            <a:t> up Rate</a:t>
          </a:r>
          <a:endParaRPr lang="en-IN" sz="800"/>
        </a:p>
        <a:p>
          <a:endParaRPr lang="en-IN" sz="1100"/>
        </a:p>
      </xdr:txBody>
    </xdr:sp>
    <xdr:clientData/>
  </xdr:twoCellAnchor>
  <xdr:twoCellAnchor>
    <xdr:from>
      <xdr:col>9</xdr:col>
      <xdr:colOff>486104</xdr:colOff>
      <xdr:row>0</xdr:row>
      <xdr:rowOff>61311</xdr:rowOff>
    </xdr:from>
    <xdr:to>
      <xdr:col>11</xdr:col>
      <xdr:colOff>56932</xdr:colOff>
      <xdr:row>2</xdr:row>
      <xdr:rowOff>70069</xdr:rowOff>
    </xdr:to>
    <xdr:sp macro="" textlink="">
      <xdr:nvSpPr>
        <xdr:cNvPr id="9" name="Rectangle: Rounded Corners 8">
          <a:extLst>
            <a:ext uri="{FF2B5EF4-FFF2-40B4-BE49-F238E27FC236}">
              <a16:creationId xmlns:a16="http://schemas.microsoft.com/office/drawing/2014/main" id="{6AC98469-1D81-4BAF-955F-B4A87C0EF7D5}"/>
            </a:ext>
          </a:extLst>
        </xdr:cNvPr>
        <xdr:cNvSpPr/>
      </xdr:nvSpPr>
      <xdr:spPr>
        <a:xfrm>
          <a:off x="5964621" y="61311"/>
          <a:ext cx="788277" cy="376620"/>
        </a:xfrm>
        <a:prstGeom prst="roundRect">
          <a:avLst/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>
              <a:solidFill>
                <a:schemeClr val="tx1"/>
              </a:solidFill>
            </a:rPr>
            <a:t> </a:t>
          </a:r>
          <a:r>
            <a:rPr lang="en-IN" sz="1100" baseline="0">
              <a:solidFill>
                <a:schemeClr val="tx1"/>
              </a:solidFill>
            </a:rPr>
            <a:t>            </a:t>
          </a:r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9</xdr:col>
      <xdr:colOff>416034</xdr:colOff>
      <xdr:row>0</xdr:row>
      <xdr:rowOff>39415</xdr:rowOff>
    </xdr:from>
    <xdr:to>
      <xdr:col>11</xdr:col>
      <xdr:colOff>135758</xdr:colOff>
      <xdr:row>2</xdr:row>
      <xdr:rowOff>100725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DDA4937A-A03C-44FF-A900-746863CAA6B5}"/>
            </a:ext>
          </a:extLst>
        </xdr:cNvPr>
        <xdr:cNvSpPr txBox="1"/>
      </xdr:nvSpPr>
      <xdr:spPr>
        <a:xfrm>
          <a:off x="5894551" y="39415"/>
          <a:ext cx="937173" cy="42917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N" sz="1100"/>
            <a:t> 27%</a:t>
          </a:r>
        </a:p>
        <a:p>
          <a:pPr algn="ctr"/>
          <a:r>
            <a:rPr lang="en-IN" sz="800"/>
            <a:t> No</a:t>
          </a:r>
          <a:r>
            <a:rPr lang="en-IN" sz="800" baseline="0"/>
            <a:t> Show up Rate</a:t>
          </a:r>
          <a:endParaRPr lang="en-IN" sz="800"/>
        </a:p>
        <a:p>
          <a:endParaRPr lang="en-IN" sz="1100"/>
        </a:p>
      </xdr:txBody>
    </xdr:sp>
    <xdr:clientData/>
  </xdr:twoCellAnchor>
  <xdr:twoCellAnchor>
    <xdr:from>
      <xdr:col>11</xdr:col>
      <xdr:colOff>315311</xdr:colOff>
      <xdr:row>0</xdr:row>
      <xdr:rowOff>105104</xdr:rowOff>
    </xdr:from>
    <xdr:to>
      <xdr:col>12</xdr:col>
      <xdr:colOff>494863</xdr:colOff>
      <xdr:row>2</xdr:row>
      <xdr:rowOff>113862</xdr:rowOff>
    </xdr:to>
    <xdr:sp macro="" textlink="">
      <xdr:nvSpPr>
        <xdr:cNvPr id="11" name="Rectangle: Rounded Corners 10">
          <a:extLst>
            <a:ext uri="{FF2B5EF4-FFF2-40B4-BE49-F238E27FC236}">
              <a16:creationId xmlns:a16="http://schemas.microsoft.com/office/drawing/2014/main" id="{16C66790-5926-414B-B5BA-138EAAFDF16C}"/>
            </a:ext>
          </a:extLst>
        </xdr:cNvPr>
        <xdr:cNvSpPr/>
      </xdr:nvSpPr>
      <xdr:spPr>
        <a:xfrm>
          <a:off x="7011277" y="105104"/>
          <a:ext cx="788276" cy="376620"/>
        </a:xfrm>
        <a:prstGeom prst="roundRect">
          <a:avLst/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>
              <a:solidFill>
                <a:schemeClr val="tx1"/>
              </a:solidFill>
            </a:rPr>
            <a:t> </a:t>
          </a:r>
          <a:r>
            <a:rPr lang="en-IN" sz="1100" baseline="0">
              <a:solidFill>
                <a:schemeClr val="tx1"/>
              </a:solidFill>
            </a:rPr>
            <a:t>            </a:t>
          </a:r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245242</xdr:colOff>
      <xdr:row>0</xdr:row>
      <xdr:rowOff>74451</xdr:rowOff>
    </xdr:from>
    <xdr:to>
      <xdr:col>13</xdr:col>
      <xdr:colOff>13138</xdr:colOff>
      <xdr:row>2</xdr:row>
      <xdr:rowOff>105104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ADED4856-0C79-4B6C-919B-1370D82996F3}"/>
            </a:ext>
          </a:extLst>
        </xdr:cNvPr>
        <xdr:cNvSpPr txBox="1"/>
      </xdr:nvSpPr>
      <xdr:spPr>
        <a:xfrm>
          <a:off x="6941208" y="74451"/>
          <a:ext cx="985344" cy="39851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N" sz="1100"/>
            <a:t>26.8</a:t>
          </a:r>
        </a:p>
        <a:p>
          <a:pPr algn="ctr"/>
          <a:r>
            <a:rPr lang="en-IN" sz="750"/>
            <a:t>Average</a:t>
          </a:r>
          <a:r>
            <a:rPr lang="en-IN" sz="750" baseline="0"/>
            <a:t> Patient Age</a:t>
          </a:r>
          <a:endParaRPr lang="en-IN" sz="750"/>
        </a:p>
        <a:p>
          <a:endParaRPr lang="en-IN" sz="1100"/>
        </a:p>
      </xdr:txBody>
    </xdr:sp>
    <xdr:clientData/>
  </xdr:twoCellAnchor>
  <xdr:twoCellAnchor>
    <xdr:from>
      <xdr:col>4</xdr:col>
      <xdr:colOff>113862</xdr:colOff>
      <xdr:row>3</xdr:row>
      <xdr:rowOff>144517</xdr:rowOff>
    </xdr:from>
    <xdr:to>
      <xdr:col>8</xdr:col>
      <xdr:colOff>556173</xdr:colOff>
      <xdr:row>13</xdr:row>
      <xdr:rowOff>83207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9621FACB-E1BB-4A52-918A-7A8EB992441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472965</xdr:colOff>
      <xdr:row>4</xdr:row>
      <xdr:rowOff>48174</xdr:rowOff>
    </xdr:from>
    <xdr:to>
      <xdr:col>13</xdr:col>
      <xdr:colOff>433551</xdr:colOff>
      <xdr:row>12</xdr:row>
      <xdr:rowOff>118244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4CC2EF5C-D6F4-44FD-9F7D-F4E83D2FDAD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157657</xdr:colOff>
      <xdr:row>15</xdr:row>
      <xdr:rowOff>43793</xdr:rowOff>
    </xdr:from>
    <xdr:to>
      <xdr:col>13</xdr:col>
      <xdr:colOff>324069</xdr:colOff>
      <xdr:row>22</xdr:row>
      <xdr:rowOff>170793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2230D29C-32C1-48E1-B151-7A0EC63C459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232104</xdr:colOff>
      <xdr:row>14</xdr:row>
      <xdr:rowOff>110095</xdr:rowOff>
    </xdr:from>
    <xdr:to>
      <xdr:col>10</xdr:col>
      <xdr:colOff>197070</xdr:colOff>
      <xdr:row>23</xdr:row>
      <xdr:rowOff>144516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B8670DD2-F49C-4500-B7F2-4CD79052857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56931</xdr:colOff>
      <xdr:row>2</xdr:row>
      <xdr:rowOff>175172</xdr:rowOff>
    </xdr:from>
    <xdr:to>
      <xdr:col>4</xdr:col>
      <xdr:colOff>170793</xdr:colOff>
      <xdr:row>24</xdr:row>
      <xdr:rowOff>13138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E76D567A-ACEA-4930-888D-63AD6A0CF21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12a4f0da8943f55f/Data%20Science%20Journey/healthcare-analyst-journey/Excel%20Files/day%20-%2004%20Pivottables.xlsx" TargetMode="External"/><Relationship Id="rId1" Type="http://schemas.openxmlformats.org/officeDocument/2006/relationships/externalLinkPath" Target="day%20-%2004%20Pivottabl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epartment_info"/>
      <sheetName val="Patient_records"/>
    </sheetNames>
    <sheetDataSet>
      <sheetData sheetId="0">
        <row r="2">
          <cell r="A2" t="str">
            <v>Cardiology</v>
          </cell>
          <cell r="B2" t="str">
            <v>D001</v>
          </cell>
          <cell r="D2" t="str">
            <v>Dr. Rao</v>
          </cell>
          <cell r="E2">
            <v>50</v>
          </cell>
        </row>
        <row r="3">
          <cell r="A3" t="str">
            <v>Neurology</v>
          </cell>
          <cell r="B3" t="str">
            <v>D002</v>
          </cell>
          <cell r="D3" t="str">
            <v>Dr. Mehta</v>
          </cell>
          <cell r="E3">
            <v>40</v>
          </cell>
        </row>
        <row r="4">
          <cell r="A4" t="str">
            <v>Orthopedics</v>
          </cell>
          <cell r="B4" t="str">
            <v>D003</v>
          </cell>
          <cell r="D4" t="str">
            <v>Dr. Kumar</v>
          </cell>
          <cell r="E4">
            <v>60</v>
          </cell>
        </row>
        <row r="5">
          <cell r="A5" t="str">
            <v>Pediatrics</v>
          </cell>
          <cell r="B5" t="str">
            <v>D004</v>
          </cell>
          <cell r="D5" t="str">
            <v>Dr. Sharma</v>
          </cell>
          <cell r="E5">
            <v>35</v>
          </cell>
        </row>
        <row r="6">
          <cell r="A6" t="str">
            <v>Emergency</v>
          </cell>
          <cell r="B6" t="str">
            <v>D005</v>
          </cell>
          <cell r="D6" t="str">
            <v>Dr. Reddy</v>
          </cell>
          <cell r="E6">
            <v>70</v>
          </cell>
        </row>
      </sheetData>
      <sheetData sheetId="1">
        <row r="2">
          <cell r="C2">
            <v>28</v>
          </cell>
          <cell r="G2" t="str">
            <v>Cardiology</v>
          </cell>
          <cell r="J2" t="str">
            <v>Dr. Rao</v>
          </cell>
        </row>
        <row r="3">
          <cell r="C3">
            <v>22</v>
          </cell>
          <cell r="G3" t="str">
            <v>Emergency</v>
          </cell>
          <cell r="J3" t="str">
            <v>Dr. Reddy</v>
          </cell>
        </row>
        <row r="4">
          <cell r="C4">
            <v>22</v>
          </cell>
          <cell r="G4" t="str">
            <v>Neurology</v>
          </cell>
          <cell r="J4" t="str">
            <v>Dr. Mehta</v>
          </cell>
        </row>
        <row r="5">
          <cell r="C5">
            <v>19</v>
          </cell>
          <cell r="G5" t="str">
            <v>Pediatrics</v>
          </cell>
          <cell r="J5" t="str">
            <v>Dr. Sharma</v>
          </cell>
        </row>
        <row r="6">
          <cell r="C6">
            <v>20</v>
          </cell>
          <cell r="G6" t="str">
            <v>Orthopedics</v>
          </cell>
          <cell r="J6" t="str">
            <v>Dr. Kumar</v>
          </cell>
        </row>
        <row r="7">
          <cell r="C7">
            <v>18</v>
          </cell>
          <cell r="G7" t="str">
            <v>Cardiology</v>
          </cell>
          <cell r="J7" t="str">
            <v>Dr. Rao</v>
          </cell>
        </row>
        <row r="8">
          <cell r="C8">
            <v>25</v>
          </cell>
          <cell r="G8" t="str">
            <v>Neurology</v>
          </cell>
          <cell r="J8" t="str">
            <v>Dr. Mehta</v>
          </cell>
        </row>
        <row r="9">
          <cell r="C9">
            <v>45</v>
          </cell>
          <cell r="G9" t="str">
            <v>Cardiology</v>
          </cell>
          <cell r="J9" t="str">
            <v>Dr. Rao</v>
          </cell>
        </row>
        <row r="10">
          <cell r="C10">
            <v>22</v>
          </cell>
          <cell r="G10" t="str">
            <v>Emergency</v>
          </cell>
          <cell r="J10" t="str">
            <v>Dr. Reddy</v>
          </cell>
        </row>
        <row r="11">
          <cell r="C11">
            <v>28</v>
          </cell>
          <cell r="G11" t="str">
            <v>Neurology</v>
          </cell>
          <cell r="J11" t="str">
            <v>Dr. Mehta</v>
          </cell>
        </row>
        <row r="12">
          <cell r="C12">
            <v>29</v>
          </cell>
          <cell r="G12" t="str">
            <v>Pediatrics</v>
          </cell>
          <cell r="J12" t="str">
            <v>Dr. Sharma</v>
          </cell>
        </row>
        <row r="13">
          <cell r="C13">
            <v>34</v>
          </cell>
          <cell r="G13" t="str">
            <v>Orthopedics</v>
          </cell>
          <cell r="J13" t="str">
            <v>Dr. Kumar</v>
          </cell>
        </row>
        <row r="14">
          <cell r="C14">
            <v>22</v>
          </cell>
          <cell r="G14" t="str">
            <v>Cardiology</v>
          </cell>
          <cell r="J14" t="str">
            <v>Dr. Rao</v>
          </cell>
        </row>
        <row r="15">
          <cell r="C15">
            <v>30</v>
          </cell>
          <cell r="G15" t="str">
            <v>Neurology</v>
          </cell>
          <cell r="J15" t="str">
            <v>Dr. Mehta</v>
          </cell>
        </row>
        <row r="16">
          <cell r="C16">
            <v>20</v>
          </cell>
          <cell r="G16" t="str">
            <v>Cardiology</v>
          </cell>
          <cell r="J16" t="str">
            <v>Dr. Rao</v>
          </cell>
        </row>
        <row r="17">
          <cell r="C17">
            <v>20</v>
          </cell>
          <cell r="G17" t="str">
            <v>Emergency</v>
          </cell>
          <cell r="J17" t="str">
            <v>Dr. Reddy</v>
          </cell>
        </row>
        <row r="18">
          <cell r="C18">
            <v>29</v>
          </cell>
          <cell r="G18" t="str">
            <v>Neurology</v>
          </cell>
          <cell r="J18" t="str">
            <v>Dr. Mehta</v>
          </cell>
        </row>
        <row r="19">
          <cell r="C19">
            <v>29</v>
          </cell>
          <cell r="G19" t="str">
            <v>Pediatrics</v>
          </cell>
          <cell r="J19" t="str">
            <v>Dr. Sharma</v>
          </cell>
        </row>
        <row r="20">
          <cell r="C20">
            <v>20</v>
          </cell>
          <cell r="G20" t="str">
            <v>Orthopedics</v>
          </cell>
          <cell r="J20" t="str">
            <v>Dr. Kumar</v>
          </cell>
        </row>
        <row r="21">
          <cell r="C21">
            <v>29</v>
          </cell>
          <cell r="G21" t="str">
            <v>Cardiology</v>
          </cell>
          <cell r="J21" t="str">
            <v>Dr. Rao</v>
          </cell>
        </row>
        <row r="22">
          <cell r="C22">
            <v>28</v>
          </cell>
          <cell r="G22" t="str">
            <v>Neurology</v>
          </cell>
          <cell r="J22" t="str">
            <v>Dr. Mehta</v>
          </cell>
        </row>
        <row r="23">
          <cell r="C23">
            <v>45</v>
          </cell>
          <cell r="G23" t="str">
            <v>Cardiology</v>
          </cell>
          <cell r="J23" t="str">
            <v>Dr. Rao</v>
          </cell>
        </row>
        <row r="24">
          <cell r="C24">
            <v>34</v>
          </cell>
          <cell r="G24" t="str">
            <v>Emergency</v>
          </cell>
          <cell r="J24" t="str">
            <v>Dr. Reddy</v>
          </cell>
        </row>
        <row r="25">
          <cell r="C25">
            <v>22</v>
          </cell>
          <cell r="G25" t="str">
            <v>Neurology</v>
          </cell>
          <cell r="J25" t="str">
            <v>Dr. Mehta</v>
          </cell>
        </row>
        <row r="26">
          <cell r="C26">
            <v>24</v>
          </cell>
          <cell r="G26" t="str">
            <v>Pediatrics</v>
          </cell>
          <cell r="J26" t="str">
            <v>Dr. Sharma</v>
          </cell>
        </row>
        <row r="27">
          <cell r="C27">
            <v>34</v>
          </cell>
          <cell r="G27" t="str">
            <v>Orthopedics</v>
          </cell>
          <cell r="J27" t="str">
            <v>Dr. Kumar</v>
          </cell>
        </row>
        <row r="28">
          <cell r="C28">
            <v>23</v>
          </cell>
          <cell r="G28" t="str">
            <v>Cardiology</v>
          </cell>
          <cell r="J28" t="str">
            <v>Dr. Rao</v>
          </cell>
        </row>
        <row r="29">
          <cell r="C29">
            <v>34</v>
          </cell>
          <cell r="G29" t="str">
            <v>Neurology</v>
          </cell>
          <cell r="J29" t="str">
            <v>Dr. Mehta</v>
          </cell>
        </row>
        <row r="30">
          <cell r="C30">
            <v>28</v>
          </cell>
          <cell r="G30" t="str">
            <v>Cardiology</v>
          </cell>
          <cell r="J30" t="str">
            <v>Dr. Rao</v>
          </cell>
        </row>
        <row r="31">
          <cell r="C31">
            <v>22</v>
          </cell>
          <cell r="G31" t="str">
            <v>Emergency</v>
          </cell>
          <cell r="J31" t="str">
            <v>Dr. Reddy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2" Type="http://schemas.microsoft.com/office/2006/relationships/xlExternalLinkPath/xlPathMissing" Target="day%20-%2004%20Pivottables.xlsx" TargetMode="External"/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2" Type="http://schemas.microsoft.com/office/2006/relationships/xlExternalLinkPath/xlPathMissing" Target="day%20-%2004%20Pivottables.xlsx" TargetMode="External"/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raveen Tirumani" refreshedDate="46145.476931944446" createdVersion="8" refreshedVersion="8" minRefreshableVersion="3" recordCount="30" xr:uid="{7E62B955-B4A3-490B-B95E-F85BE8E68399}">
  <cacheSource type="worksheet">
    <worksheetSource ref="A1:K31" sheet="Patient_records" r:id="rId2"/>
  </cacheSource>
  <cacheFields count="12">
    <cacheField name="Patient ID" numFmtId="0">
      <sharedItems count="30">
        <s v="A10001"/>
        <s v="A10002"/>
        <s v="A10003"/>
        <s v="A10004"/>
        <s v="A10005"/>
        <s v="A10006"/>
        <s v="A10007"/>
        <s v="A10008"/>
        <s v="A10009"/>
        <s v="A10010"/>
        <s v="A10011"/>
        <s v="A10012"/>
        <s v="A10013"/>
        <s v="A10014"/>
        <s v="A10015"/>
        <s v="A10016"/>
        <s v="A10017"/>
        <s v="A10018"/>
        <s v="A10019"/>
        <s v="A10020"/>
        <s v="A10021"/>
        <s v="A10022"/>
        <s v="A10023"/>
        <s v="A10024"/>
        <s v="A10025"/>
        <s v="A10026"/>
        <s v="A10027"/>
        <s v="A10028"/>
        <s v="A10029"/>
        <s v="A10030"/>
      </sharedItems>
    </cacheField>
    <cacheField name="Name " numFmtId="0">
      <sharedItems/>
    </cacheField>
    <cacheField name="Age" numFmtId="0">
      <sharedItems containsSemiMixedTypes="0" containsString="0" containsNumber="1" containsInteger="1" minValue="18" maxValue="45"/>
    </cacheField>
    <cacheField name="Gender" numFmtId="0">
      <sharedItems/>
    </cacheField>
    <cacheField name="City" numFmtId="0">
      <sharedItems count="19">
        <s v="Hyderabad"/>
        <s v="Gudivada"/>
        <s v="Begumpet"/>
        <s v="Amaravathi"/>
        <s v="Godavari"/>
        <s v="Konaseema"/>
        <s v="Malakpet"/>
        <s v="Kondaput"/>
        <s v="Hafeezpet"/>
        <s v="High tech city"/>
        <s v="Kondapur"/>
        <s v="Nandigama"/>
        <s v="Singareni"/>
        <s v="Rajkot"/>
        <s v="Bengalore"/>
        <s v="Vizag"/>
        <s v="Petrorius"/>
        <s v="Nalgonda"/>
        <s v="Chennai"/>
      </sharedItems>
    </cacheField>
    <cacheField name="Appointment Date" numFmtId="14">
      <sharedItems containsSemiMixedTypes="0" containsNonDate="0" containsDate="1" containsString="0" minDate="2026-04-30T00:00:00" maxDate="2026-05-30T00:00:00" count="30">
        <d v="2026-04-30T00:00:00"/>
        <d v="2026-05-01T00:00:00"/>
        <d v="2026-05-02T00:00:00"/>
        <d v="2026-05-03T00:00:00"/>
        <d v="2026-05-04T00:00:00"/>
        <d v="2026-05-05T00:00:00"/>
        <d v="2026-05-06T00:00:00"/>
        <d v="2026-05-07T00:00:00"/>
        <d v="2026-05-08T00:00:00"/>
        <d v="2026-05-09T00:00:00"/>
        <d v="2026-05-10T00:00:00"/>
        <d v="2026-05-11T00:00:00"/>
        <d v="2026-05-12T00:00:00"/>
        <d v="2026-05-13T00:00:00"/>
        <d v="2026-05-14T00:00:00"/>
        <d v="2026-05-15T00:00:00"/>
        <d v="2026-05-16T00:00:00"/>
        <d v="2026-05-17T00:00:00"/>
        <d v="2026-05-18T00:00:00"/>
        <d v="2026-05-19T00:00:00"/>
        <d v="2026-05-20T00:00:00"/>
        <d v="2026-05-21T00:00:00"/>
        <d v="2026-05-22T00:00:00"/>
        <d v="2026-05-23T00:00:00"/>
        <d v="2026-05-24T00:00:00"/>
        <d v="2026-05-25T00:00:00"/>
        <d v="2026-05-26T00:00:00"/>
        <d v="2026-05-27T00:00:00"/>
        <d v="2026-05-28T00:00:00"/>
        <d v="2026-05-29T00:00:00"/>
      </sharedItems>
      <fieldGroup par="11"/>
    </cacheField>
    <cacheField name="Dapartment Name" numFmtId="0">
      <sharedItems count="5">
        <s v="Cardiology"/>
        <s v="Emergency"/>
        <s v="Neurology"/>
        <s v="Pediatrics"/>
        <s v="Orthopedics"/>
      </sharedItems>
    </cacheField>
    <cacheField name="Showed Up" numFmtId="0">
      <sharedItems count="2">
        <s v="Yes"/>
        <s v="No"/>
      </sharedItems>
    </cacheField>
    <cacheField name="Department ID" numFmtId="0">
      <sharedItems/>
    </cacheField>
    <cacheField name="Head Doctor" numFmtId="0">
      <sharedItems/>
    </cacheField>
    <cacheField name="Bed Capacity" numFmtId="0">
      <sharedItems containsSemiMixedTypes="0" containsString="0" containsNumber="1" containsInteger="1" minValue="35" maxValue="70"/>
    </cacheField>
    <cacheField name="Months (Appointment Date)" numFmtId="0" databaseField="0">
      <fieldGroup base="5">
        <rangePr groupBy="months" startDate="2026-04-30T00:00:00" endDate="2026-05-30T00:00:00"/>
        <groupItems count="14">
          <s v="&lt;30-04-2026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30-05-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raveen Tirumani" refreshedDate="46145.477733564818" createdVersion="8" refreshedVersion="8" minRefreshableVersion="3" recordCount="30" xr:uid="{F0946E5F-E1BB-4321-9DFA-AAC94AD1019B}">
  <cacheSource type="worksheet">
    <worksheetSource ref="A1:L31" sheet="Patient_records" r:id="rId2"/>
  </cacheSource>
  <cacheFields count="12">
    <cacheField name="Patient ID" numFmtId="0">
      <sharedItems/>
    </cacheField>
    <cacheField name="Name " numFmtId="0">
      <sharedItems/>
    </cacheField>
    <cacheField name="Age" numFmtId="0">
      <sharedItems containsSemiMixedTypes="0" containsString="0" containsNumber="1" containsInteger="1" minValue="18" maxValue="45"/>
    </cacheField>
    <cacheField name="Gender" numFmtId="0">
      <sharedItems/>
    </cacheField>
    <cacheField name="City" numFmtId="0">
      <sharedItems/>
    </cacheField>
    <cacheField name="Appointment Date" numFmtId="14">
      <sharedItems containsSemiMixedTypes="0" containsNonDate="0" containsDate="1" containsString="0" minDate="2026-04-30T00:00:00" maxDate="2026-05-30T00:00:00"/>
    </cacheField>
    <cacheField name="Dapartment Name" numFmtId="0">
      <sharedItems count="5">
        <s v="Cardiology"/>
        <s v="Emergency"/>
        <s v="Neurology"/>
        <s v="Pediatrics"/>
        <s v="Orthopedics"/>
      </sharedItems>
    </cacheField>
    <cacheField name="Showed Up" numFmtId="0">
      <sharedItems/>
    </cacheField>
    <cacheField name="Department ID" numFmtId="0">
      <sharedItems/>
    </cacheField>
    <cacheField name="Head Doctor" numFmtId="0">
      <sharedItems/>
    </cacheField>
    <cacheField name="Bed Capacity" numFmtId="0">
      <sharedItems containsSemiMixedTypes="0" containsString="0" containsNumber="1" containsInteger="1" minValue="35" maxValue="70"/>
    </cacheField>
    <cacheField name="Senior category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raveen Tirumani" refreshedDate="46147.477139699076" createdVersion="8" refreshedVersion="8" minRefreshableVersion="3" recordCount="30" xr:uid="{33B61C77-9D72-4FB5-9399-1DDA825F3117}">
  <cacheSource type="worksheet">
    <worksheetSource ref="A1:L31" sheet="Patient_records"/>
  </cacheSource>
  <cacheFields count="12">
    <cacheField name="Patient ID" numFmtId="0">
      <sharedItems/>
    </cacheField>
    <cacheField name="Name " numFmtId="0">
      <sharedItems/>
    </cacheField>
    <cacheField name="Age" numFmtId="0">
      <sharedItems containsSemiMixedTypes="0" containsString="0" containsNumber="1" containsInteger="1" minValue="18" maxValue="45"/>
    </cacheField>
    <cacheField name="Gender" numFmtId="0">
      <sharedItems/>
    </cacheField>
    <cacheField name="City" numFmtId="0">
      <sharedItems/>
    </cacheField>
    <cacheField name="Appointment Date" numFmtId="14">
      <sharedItems containsSemiMixedTypes="0" containsNonDate="0" containsDate="1" containsString="0" minDate="2026-04-30T00:00:00" maxDate="2026-05-30T00:00:00"/>
    </cacheField>
    <cacheField name="Dapartment Name" numFmtId="0">
      <sharedItems count="5">
        <s v="Cardiology"/>
        <s v="Emergency"/>
        <s v="Neurology"/>
        <s v="Pediatrics"/>
        <s v="Orthopedics"/>
      </sharedItems>
    </cacheField>
    <cacheField name="Showed Up" numFmtId="0">
      <sharedItems count="2">
        <s v="Yes"/>
        <s v="No"/>
      </sharedItems>
    </cacheField>
    <cacheField name="Department ID" numFmtId="0">
      <sharedItems/>
    </cacheField>
    <cacheField name="Head Doctor" numFmtId="0">
      <sharedItems/>
    </cacheField>
    <cacheField name="Bed Capacity" numFmtId="0">
      <sharedItems containsSemiMixedTypes="0" containsString="0" containsNumber="1" containsInteger="1" minValue="35" maxValue="70"/>
    </cacheField>
    <cacheField name="Senior category" numFmtId="0">
      <sharedItems count="2">
        <s v="Normal"/>
        <s v="Senior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raveen Tirumani" refreshedDate="46147.489845717595" createdVersion="8" refreshedVersion="8" minRefreshableVersion="3" recordCount="30" xr:uid="{4682C975-298E-4B49-BF43-480EE42CE111}">
  <cacheSource type="worksheet">
    <worksheetSource ref="A1:M31" sheet="Patient_records"/>
  </cacheSource>
  <cacheFields count="13">
    <cacheField name="Patient ID" numFmtId="0">
      <sharedItems/>
    </cacheField>
    <cacheField name="Name " numFmtId="0">
      <sharedItems/>
    </cacheField>
    <cacheField name="Age" numFmtId="0">
      <sharedItems containsSemiMixedTypes="0" containsString="0" containsNumber="1" containsInteger="1" minValue="18" maxValue="45"/>
    </cacheField>
    <cacheField name="Gender" numFmtId="0">
      <sharedItems/>
    </cacheField>
    <cacheField name="City" numFmtId="0">
      <sharedItems count="19">
        <s v="Hyderabad"/>
        <s v="Gudivada"/>
        <s v="Begumpet"/>
        <s v="Amaravathi"/>
        <s v="Godavari"/>
        <s v="Konaseema"/>
        <s v="Malakpet"/>
        <s v="Kondaput"/>
        <s v="Hafeezpet"/>
        <s v="High tech city"/>
        <s v="Kondapur"/>
        <s v="Nandigama"/>
        <s v="Singareni"/>
        <s v="Rajkot"/>
        <s v="Bengalore"/>
        <s v="Vizag"/>
        <s v="Petrorius"/>
        <s v="Nalgonda"/>
        <s v="Chennai"/>
      </sharedItems>
    </cacheField>
    <cacheField name="Appointment Date" numFmtId="14">
      <sharedItems containsSemiMixedTypes="0" containsNonDate="0" containsDate="1" containsString="0" minDate="2026-04-30T00:00:00" maxDate="2026-05-30T00:00:00"/>
    </cacheField>
    <cacheField name="Dapartment Name" numFmtId="0">
      <sharedItems/>
    </cacheField>
    <cacheField name="Showed Up" numFmtId="0">
      <sharedItems/>
    </cacheField>
    <cacheField name="Department ID" numFmtId="0">
      <sharedItems/>
    </cacheField>
    <cacheField name="Head Doctor" numFmtId="0">
      <sharedItems/>
    </cacheField>
    <cacheField name="Bed Capacity" numFmtId="0">
      <sharedItems containsSemiMixedTypes="0" containsString="0" containsNumber="1" containsInteger="1" minValue="35" maxValue="70"/>
    </cacheField>
    <cacheField name="Senior category" numFmtId="0">
      <sharedItems/>
    </cacheField>
    <cacheField name="Category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">
  <r>
    <x v="0"/>
    <s v="Praveen"/>
    <n v="28"/>
    <s v="Male"/>
    <x v="0"/>
    <x v="0"/>
    <x v="0"/>
    <x v="0"/>
    <s v="D001"/>
    <s v="Dr. Rao"/>
    <n v="50"/>
  </r>
  <r>
    <x v="1"/>
    <s v="Dhanush"/>
    <n v="22"/>
    <s v="Male"/>
    <x v="0"/>
    <x v="1"/>
    <x v="1"/>
    <x v="0"/>
    <s v="D005"/>
    <s v="Dr. Reddy"/>
    <n v="70"/>
  </r>
  <r>
    <x v="2"/>
    <s v="Harpreet"/>
    <n v="22"/>
    <s v="Male"/>
    <x v="0"/>
    <x v="2"/>
    <x v="2"/>
    <x v="1"/>
    <s v="D002"/>
    <s v="Dr. Mehta"/>
    <n v="40"/>
  </r>
  <r>
    <x v="3"/>
    <s v="Sekhar"/>
    <n v="19"/>
    <s v="Male"/>
    <x v="0"/>
    <x v="3"/>
    <x v="3"/>
    <x v="1"/>
    <s v="D004"/>
    <s v="Dr. Sharma"/>
    <n v="35"/>
  </r>
  <r>
    <x v="4"/>
    <s v="Rangayya"/>
    <n v="20"/>
    <s v="Male"/>
    <x v="1"/>
    <x v="4"/>
    <x v="4"/>
    <x v="0"/>
    <s v="D003"/>
    <s v="Dr. Kumar"/>
    <n v="60"/>
  </r>
  <r>
    <x v="5"/>
    <s v="Rangamma"/>
    <n v="18"/>
    <s v="Female"/>
    <x v="1"/>
    <x v="5"/>
    <x v="0"/>
    <x v="0"/>
    <s v="D001"/>
    <s v="Dr. Rao"/>
    <n v="50"/>
  </r>
  <r>
    <x v="6"/>
    <s v="Mogalayya"/>
    <n v="25"/>
    <s v="Male"/>
    <x v="2"/>
    <x v="6"/>
    <x v="2"/>
    <x v="0"/>
    <s v="D002"/>
    <s v="Dr. Mehta"/>
    <n v="40"/>
  </r>
  <r>
    <x v="7"/>
    <s v="Jangayya"/>
    <n v="45"/>
    <s v="Male"/>
    <x v="3"/>
    <x v="7"/>
    <x v="0"/>
    <x v="0"/>
    <s v="D001"/>
    <s v="Dr. Rao"/>
    <n v="50"/>
  </r>
  <r>
    <x v="8"/>
    <s v="Madhu"/>
    <n v="22"/>
    <s v="Male"/>
    <x v="4"/>
    <x v="8"/>
    <x v="1"/>
    <x v="0"/>
    <s v="D005"/>
    <s v="Dr. Reddy"/>
    <n v="70"/>
  </r>
  <r>
    <x v="9"/>
    <s v="Rudra"/>
    <n v="28"/>
    <s v="Male"/>
    <x v="5"/>
    <x v="9"/>
    <x v="2"/>
    <x v="0"/>
    <s v="D002"/>
    <s v="Dr. Mehta"/>
    <n v="40"/>
  </r>
  <r>
    <x v="10"/>
    <s v="Mehar"/>
    <n v="29"/>
    <s v="Female"/>
    <x v="6"/>
    <x v="10"/>
    <x v="3"/>
    <x v="0"/>
    <s v="D004"/>
    <s v="Dr. Sharma"/>
    <n v="35"/>
  </r>
  <r>
    <x v="11"/>
    <s v="mohan"/>
    <n v="34"/>
    <s v="Male"/>
    <x v="7"/>
    <x v="11"/>
    <x v="4"/>
    <x v="0"/>
    <s v="D003"/>
    <s v="Dr. Kumar"/>
    <n v="60"/>
  </r>
  <r>
    <x v="12"/>
    <s v="Radhika"/>
    <n v="22"/>
    <s v="Female"/>
    <x v="8"/>
    <x v="12"/>
    <x v="0"/>
    <x v="0"/>
    <s v="D001"/>
    <s v="Dr. Rao"/>
    <n v="50"/>
  </r>
  <r>
    <x v="13"/>
    <s v="Mounika"/>
    <n v="30"/>
    <s v="Female"/>
    <x v="9"/>
    <x v="13"/>
    <x v="2"/>
    <x v="0"/>
    <s v="D002"/>
    <s v="Dr. Mehta"/>
    <n v="40"/>
  </r>
  <r>
    <x v="14"/>
    <s v="Meghana"/>
    <n v="20"/>
    <s v="Female"/>
    <x v="10"/>
    <x v="14"/>
    <x v="0"/>
    <x v="1"/>
    <s v="D001"/>
    <s v="Dr. Rao"/>
    <n v="50"/>
  </r>
  <r>
    <x v="15"/>
    <s v="Nagalaxmi"/>
    <n v="20"/>
    <s v="Female"/>
    <x v="11"/>
    <x v="15"/>
    <x v="1"/>
    <x v="0"/>
    <s v="D005"/>
    <s v="Dr. Reddy"/>
    <n v="70"/>
  </r>
  <r>
    <x v="16"/>
    <s v="Manoj"/>
    <n v="29"/>
    <s v="Male"/>
    <x v="11"/>
    <x v="16"/>
    <x v="2"/>
    <x v="1"/>
    <s v="D002"/>
    <s v="Dr. Mehta"/>
    <n v="40"/>
  </r>
  <r>
    <x v="17"/>
    <s v="Rekha"/>
    <n v="29"/>
    <s v="Female"/>
    <x v="10"/>
    <x v="17"/>
    <x v="3"/>
    <x v="1"/>
    <s v="D004"/>
    <s v="Dr. Sharma"/>
    <n v="35"/>
  </r>
  <r>
    <x v="18"/>
    <s v="Happie"/>
    <n v="20"/>
    <s v="Female"/>
    <x v="6"/>
    <x v="18"/>
    <x v="4"/>
    <x v="0"/>
    <s v="D003"/>
    <s v="Dr. Kumar"/>
    <n v="60"/>
  </r>
  <r>
    <x v="19"/>
    <s v="Nagarjuna"/>
    <n v="29"/>
    <s v="Male"/>
    <x v="12"/>
    <x v="19"/>
    <x v="0"/>
    <x v="1"/>
    <s v="D001"/>
    <s v="Dr. Rao"/>
    <n v="50"/>
  </r>
  <r>
    <x v="20"/>
    <s v="Sikhar"/>
    <n v="28"/>
    <s v="Male"/>
    <x v="13"/>
    <x v="20"/>
    <x v="2"/>
    <x v="0"/>
    <s v="D002"/>
    <s v="Dr. Mehta"/>
    <n v="40"/>
  </r>
  <r>
    <x v="21"/>
    <s v="Dhawan"/>
    <n v="45"/>
    <s v="Male"/>
    <x v="14"/>
    <x v="21"/>
    <x v="0"/>
    <x v="0"/>
    <s v="D001"/>
    <s v="Dr. Rao"/>
    <n v="50"/>
  </r>
  <r>
    <x v="22"/>
    <s v="Neelambari"/>
    <n v="34"/>
    <s v="Female"/>
    <x v="0"/>
    <x v="22"/>
    <x v="1"/>
    <x v="0"/>
    <s v="D005"/>
    <s v="Dr. Reddy"/>
    <n v="70"/>
  </r>
  <r>
    <x v="23"/>
    <s v="Aravind"/>
    <n v="22"/>
    <s v="Male"/>
    <x v="0"/>
    <x v="23"/>
    <x v="2"/>
    <x v="1"/>
    <s v="D002"/>
    <s v="Dr. Mehta"/>
    <n v="40"/>
  </r>
  <r>
    <x v="24"/>
    <s v="Meghana"/>
    <n v="24"/>
    <s v="Female"/>
    <x v="0"/>
    <x v="24"/>
    <x v="3"/>
    <x v="1"/>
    <s v="D004"/>
    <s v="Dr. Sharma"/>
    <n v="35"/>
  </r>
  <r>
    <x v="25"/>
    <s v="Simha"/>
    <n v="34"/>
    <s v="Male"/>
    <x v="4"/>
    <x v="25"/>
    <x v="4"/>
    <x v="0"/>
    <s v="D003"/>
    <s v="Dr. Kumar"/>
    <n v="60"/>
  </r>
  <r>
    <x v="26"/>
    <s v="Reddy"/>
    <n v="23"/>
    <s v="Male"/>
    <x v="15"/>
    <x v="26"/>
    <x v="0"/>
    <x v="0"/>
    <s v="D001"/>
    <s v="Dr. Rao"/>
    <n v="50"/>
  </r>
  <r>
    <x v="27"/>
    <s v="Klassen"/>
    <n v="34"/>
    <s v="Male"/>
    <x v="16"/>
    <x v="27"/>
    <x v="2"/>
    <x v="0"/>
    <s v="D002"/>
    <s v="Dr. Mehta"/>
    <n v="40"/>
  </r>
  <r>
    <x v="28"/>
    <s v="Mouna"/>
    <n v="28"/>
    <s v="Female"/>
    <x v="17"/>
    <x v="28"/>
    <x v="0"/>
    <x v="0"/>
    <s v="D001"/>
    <s v="Dr. Rao"/>
    <n v="50"/>
  </r>
  <r>
    <x v="29"/>
    <s v="Dinesh"/>
    <n v="22"/>
    <s v="Male"/>
    <x v="18"/>
    <x v="29"/>
    <x v="1"/>
    <x v="0"/>
    <s v="D005"/>
    <s v="Dr. Reddy"/>
    <n v="7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">
  <r>
    <s v="A10001"/>
    <s v="Praveen"/>
    <n v="28"/>
    <s v="Male"/>
    <s v="Hyderabad"/>
    <d v="2026-04-30T00:00:00"/>
    <x v="0"/>
    <s v="Yes"/>
    <s v="D001"/>
    <s v="Dr. Rao"/>
    <n v="50"/>
    <s v="Normal"/>
  </r>
  <r>
    <s v="A10002"/>
    <s v="Dhanush"/>
    <n v="22"/>
    <s v="Male"/>
    <s v="Hyderabad"/>
    <d v="2026-05-01T00:00:00"/>
    <x v="1"/>
    <s v="Yes"/>
    <s v="D005"/>
    <s v="Dr. Reddy"/>
    <n v="70"/>
    <s v="Normal"/>
  </r>
  <r>
    <s v="A10003"/>
    <s v="Harpreet"/>
    <n v="22"/>
    <s v="Male"/>
    <s v="Hyderabad"/>
    <d v="2026-05-02T00:00:00"/>
    <x v="2"/>
    <s v="No"/>
    <s v="D002"/>
    <s v="Dr. Mehta"/>
    <n v="40"/>
    <s v="Normal"/>
  </r>
  <r>
    <s v="A10004"/>
    <s v="Sekhar"/>
    <n v="19"/>
    <s v="Male"/>
    <s v="Hyderabad"/>
    <d v="2026-05-03T00:00:00"/>
    <x v="3"/>
    <s v="No"/>
    <s v="D004"/>
    <s v="Dr. Sharma"/>
    <n v="35"/>
    <s v="Normal"/>
  </r>
  <r>
    <s v="A10005"/>
    <s v="Rangayya"/>
    <n v="20"/>
    <s v="Male"/>
    <s v="Gudivada"/>
    <d v="2026-05-04T00:00:00"/>
    <x v="4"/>
    <s v="Yes"/>
    <s v="D003"/>
    <s v="Dr. Kumar"/>
    <n v="60"/>
    <s v="Normal"/>
  </r>
  <r>
    <s v="A10006"/>
    <s v="Rangamma"/>
    <n v="18"/>
    <s v="Female"/>
    <s v="Gudivada"/>
    <d v="2026-05-05T00:00:00"/>
    <x v="0"/>
    <s v="Yes"/>
    <s v="D001"/>
    <s v="Dr. Rao"/>
    <n v="50"/>
    <s v="Normal"/>
  </r>
  <r>
    <s v="A10007"/>
    <s v="Mogalayya"/>
    <n v="25"/>
    <s v="Male"/>
    <s v="Begumpet"/>
    <d v="2026-05-06T00:00:00"/>
    <x v="2"/>
    <s v="Yes"/>
    <s v="D002"/>
    <s v="Dr. Mehta"/>
    <n v="40"/>
    <s v="Normal"/>
  </r>
  <r>
    <s v="A10008"/>
    <s v="Jangayya"/>
    <n v="45"/>
    <s v="Male"/>
    <s v="Amaravathi"/>
    <d v="2026-05-07T00:00:00"/>
    <x v="0"/>
    <s v="Yes"/>
    <s v="D001"/>
    <s v="Dr. Rao"/>
    <n v="50"/>
    <s v="Senior"/>
  </r>
  <r>
    <s v="A10009"/>
    <s v="Madhu"/>
    <n v="22"/>
    <s v="Male"/>
    <s v="Godavari"/>
    <d v="2026-05-08T00:00:00"/>
    <x v="1"/>
    <s v="Yes"/>
    <s v="D005"/>
    <s v="Dr. Reddy"/>
    <n v="70"/>
    <s v="Normal"/>
  </r>
  <r>
    <s v="A10010"/>
    <s v="Rudra"/>
    <n v="28"/>
    <s v="Male"/>
    <s v="Konaseema"/>
    <d v="2026-05-09T00:00:00"/>
    <x v="2"/>
    <s v="Yes"/>
    <s v="D002"/>
    <s v="Dr. Mehta"/>
    <n v="40"/>
    <s v="Normal"/>
  </r>
  <r>
    <s v="A10011"/>
    <s v="Mehar"/>
    <n v="29"/>
    <s v="Female"/>
    <s v="Malakpet"/>
    <d v="2026-05-10T00:00:00"/>
    <x v="3"/>
    <s v="Yes"/>
    <s v="D004"/>
    <s v="Dr. Sharma"/>
    <n v="35"/>
    <s v="Normal"/>
  </r>
  <r>
    <s v="A10012"/>
    <s v="mohan"/>
    <n v="34"/>
    <s v="Male"/>
    <s v="Kondaput"/>
    <d v="2026-05-11T00:00:00"/>
    <x v="4"/>
    <s v="Yes"/>
    <s v="D003"/>
    <s v="Dr. Kumar"/>
    <n v="60"/>
    <s v="Senior"/>
  </r>
  <r>
    <s v="A10013"/>
    <s v="Radhika"/>
    <n v="22"/>
    <s v="Female"/>
    <s v="Hafeezpet"/>
    <d v="2026-05-12T00:00:00"/>
    <x v="0"/>
    <s v="Yes"/>
    <s v="D001"/>
    <s v="Dr. Rao"/>
    <n v="50"/>
    <s v="Normal"/>
  </r>
  <r>
    <s v="A10014"/>
    <s v="Mounika"/>
    <n v="30"/>
    <s v="Female"/>
    <s v="High tech city"/>
    <d v="2026-05-13T00:00:00"/>
    <x v="2"/>
    <s v="Yes"/>
    <s v="D002"/>
    <s v="Dr. Mehta"/>
    <n v="40"/>
    <s v="Normal"/>
  </r>
  <r>
    <s v="A10015"/>
    <s v="Meghana"/>
    <n v="20"/>
    <s v="Female"/>
    <s v="Kondapur"/>
    <d v="2026-05-14T00:00:00"/>
    <x v="0"/>
    <s v="No"/>
    <s v="D001"/>
    <s v="Dr. Rao"/>
    <n v="50"/>
    <s v="Normal"/>
  </r>
  <r>
    <s v="A10016"/>
    <s v="Nagalaxmi"/>
    <n v="20"/>
    <s v="Female"/>
    <s v="Nandigama"/>
    <d v="2026-05-15T00:00:00"/>
    <x v="1"/>
    <s v="Yes"/>
    <s v="D005"/>
    <s v="Dr. Reddy"/>
    <n v="70"/>
    <s v="Normal"/>
  </r>
  <r>
    <s v="A10017"/>
    <s v="Manoj"/>
    <n v="29"/>
    <s v="Male"/>
    <s v="Nandigama"/>
    <d v="2026-05-16T00:00:00"/>
    <x v="2"/>
    <s v="No"/>
    <s v="D002"/>
    <s v="Dr. Mehta"/>
    <n v="40"/>
    <s v="Normal"/>
  </r>
  <r>
    <s v="A10018"/>
    <s v="Rekha"/>
    <n v="29"/>
    <s v="Female"/>
    <s v="Kondapur"/>
    <d v="2026-05-17T00:00:00"/>
    <x v="3"/>
    <s v="No"/>
    <s v="D004"/>
    <s v="Dr. Sharma"/>
    <n v="35"/>
    <s v="Normal"/>
  </r>
  <r>
    <s v="A10019"/>
    <s v="Happie"/>
    <n v="20"/>
    <s v="Female"/>
    <s v="Malakpet"/>
    <d v="2026-05-18T00:00:00"/>
    <x v="4"/>
    <s v="Yes"/>
    <s v="D003"/>
    <s v="Dr. Kumar"/>
    <n v="60"/>
    <s v="Normal"/>
  </r>
  <r>
    <s v="A10020"/>
    <s v="Nagarjuna"/>
    <n v="29"/>
    <s v="Male"/>
    <s v="Singareni"/>
    <d v="2026-05-19T00:00:00"/>
    <x v="0"/>
    <s v="No"/>
    <s v="D001"/>
    <s v="Dr. Rao"/>
    <n v="50"/>
    <s v="Normal"/>
  </r>
  <r>
    <s v="A10021"/>
    <s v="Sikhar"/>
    <n v="28"/>
    <s v="Male"/>
    <s v="Rajkot"/>
    <d v="2026-05-20T00:00:00"/>
    <x v="2"/>
    <s v="Yes"/>
    <s v="D002"/>
    <s v="Dr. Mehta"/>
    <n v="40"/>
    <s v="Normal"/>
  </r>
  <r>
    <s v="A10022"/>
    <s v="Dhawan"/>
    <n v="45"/>
    <s v="Male"/>
    <s v="Bengalore"/>
    <d v="2026-05-21T00:00:00"/>
    <x v="0"/>
    <s v="Yes"/>
    <s v="D001"/>
    <s v="Dr. Rao"/>
    <n v="50"/>
    <s v="Senior"/>
  </r>
  <r>
    <s v="A10023"/>
    <s v="Neelambari"/>
    <n v="34"/>
    <s v="Female"/>
    <s v="Hyderabad"/>
    <d v="2026-05-22T00:00:00"/>
    <x v="1"/>
    <s v="Yes"/>
    <s v="D005"/>
    <s v="Dr. Reddy"/>
    <n v="70"/>
    <s v="Senior"/>
  </r>
  <r>
    <s v="A10024"/>
    <s v="Aravind"/>
    <n v="22"/>
    <s v="Male"/>
    <s v="Hyderabad"/>
    <d v="2026-05-23T00:00:00"/>
    <x v="2"/>
    <s v="No"/>
    <s v="D002"/>
    <s v="Dr. Mehta"/>
    <n v="40"/>
    <s v="Normal"/>
  </r>
  <r>
    <s v="A10025"/>
    <s v="Meghana"/>
    <n v="24"/>
    <s v="Female"/>
    <s v="Hyderabad"/>
    <d v="2026-05-24T00:00:00"/>
    <x v="3"/>
    <s v="No"/>
    <s v="D004"/>
    <s v="Dr. Sharma"/>
    <n v="35"/>
    <s v="Normal"/>
  </r>
  <r>
    <s v="A10026"/>
    <s v="Simha"/>
    <n v="34"/>
    <s v="Male"/>
    <s v="Godavari"/>
    <d v="2026-05-25T00:00:00"/>
    <x v="4"/>
    <s v="Yes"/>
    <s v="D003"/>
    <s v="Dr. Kumar"/>
    <n v="60"/>
    <s v="Senior"/>
  </r>
  <r>
    <s v="A10027"/>
    <s v="Reddy"/>
    <n v="23"/>
    <s v="Male"/>
    <s v="Vizag"/>
    <d v="2026-05-26T00:00:00"/>
    <x v="0"/>
    <s v="Yes"/>
    <s v="D001"/>
    <s v="Dr. Rao"/>
    <n v="50"/>
    <s v="Normal"/>
  </r>
  <r>
    <s v="A10028"/>
    <s v="Klassen"/>
    <n v="34"/>
    <s v="Male"/>
    <s v="Petrorius"/>
    <d v="2026-05-27T00:00:00"/>
    <x v="2"/>
    <s v="Yes"/>
    <s v="D002"/>
    <s v="Dr. Mehta"/>
    <n v="40"/>
    <s v="Senior"/>
  </r>
  <r>
    <s v="A10029"/>
    <s v="Mouna"/>
    <n v="28"/>
    <s v="Female"/>
    <s v="Nalgonda"/>
    <d v="2026-05-28T00:00:00"/>
    <x v="0"/>
    <s v="Yes"/>
    <s v="D001"/>
    <s v="Dr. Rao"/>
    <n v="50"/>
    <s v="Normal"/>
  </r>
  <r>
    <s v="A10030"/>
    <s v="Dinesh"/>
    <n v="22"/>
    <s v="Male"/>
    <s v="Chennai"/>
    <d v="2026-05-29T00:00:00"/>
    <x v="1"/>
    <s v="Yes"/>
    <s v="D005"/>
    <s v="Dr. Reddy"/>
    <n v="70"/>
    <s v="Normal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">
  <r>
    <s v="A10001"/>
    <s v="Praveen"/>
    <n v="28"/>
    <s v="Male"/>
    <s v="Hyderabad"/>
    <d v="2026-04-30T00:00:00"/>
    <x v="0"/>
    <x v="0"/>
    <s v="D001"/>
    <s v="Dr. Rao"/>
    <n v="50"/>
    <x v="0"/>
  </r>
  <r>
    <s v="A10002"/>
    <s v="Dhanush"/>
    <n v="22"/>
    <s v="Male"/>
    <s v="Hyderabad"/>
    <d v="2026-05-01T00:00:00"/>
    <x v="1"/>
    <x v="0"/>
    <s v="D005"/>
    <s v="Dr. Reddy"/>
    <n v="70"/>
    <x v="0"/>
  </r>
  <r>
    <s v="A10003"/>
    <s v="Harpreet"/>
    <n v="22"/>
    <s v="Male"/>
    <s v="Hyderabad"/>
    <d v="2026-05-02T00:00:00"/>
    <x v="2"/>
    <x v="1"/>
    <s v="D002"/>
    <s v="Dr. Mehta"/>
    <n v="40"/>
    <x v="0"/>
  </r>
  <r>
    <s v="A10004"/>
    <s v="Sekhar"/>
    <n v="19"/>
    <s v="Male"/>
    <s v="Hyderabad"/>
    <d v="2026-05-03T00:00:00"/>
    <x v="3"/>
    <x v="1"/>
    <s v="D004"/>
    <s v="Dr. Sharma"/>
    <n v="35"/>
    <x v="0"/>
  </r>
  <r>
    <s v="A10005"/>
    <s v="Rangayya"/>
    <n v="20"/>
    <s v="Male"/>
    <s v="Gudivada"/>
    <d v="2026-05-04T00:00:00"/>
    <x v="4"/>
    <x v="0"/>
    <s v="D003"/>
    <s v="Dr. Kumar"/>
    <n v="60"/>
    <x v="0"/>
  </r>
  <r>
    <s v="A10006"/>
    <s v="Rangamma"/>
    <n v="18"/>
    <s v="Female"/>
    <s v="Gudivada"/>
    <d v="2026-05-05T00:00:00"/>
    <x v="0"/>
    <x v="0"/>
    <s v="D001"/>
    <s v="Dr. Rao"/>
    <n v="50"/>
    <x v="0"/>
  </r>
  <r>
    <s v="A10007"/>
    <s v="Mogalayya"/>
    <n v="25"/>
    <s v="Male"/>
    <s v="Begumpet"/>
    <d v="2026-05-06T00:00:00"/>
    <x v="2"/>
    <x v="0"/>
    <s v="D002"/>
    <s v="Dr. Mehta"/>
    <n v="40"/>
    <x v="0"/>
  </r>
  <r>
    <s v="A10008"/>
    <s v="Jangayya"/>
    <n v="45"/>
    <s v="Male"/>
    <s v="Amaravathi"/>
    <d v="2026-05-07T00:00:00"/>
    <x v="0"/>
    <x v="0"/>
    <s v="D001"/>
    <s v="Dr. Rao"/>
    <n v="50"/>
    <x v="1"/>
  </r>
  <r>
    <s v="A10009"/>
    <s v="Madhu"/>
    <n v="22"/>
    <s v="Male"/>
    <s v="Godavari"/>
    <d v="2026-05-08T00:00:00"/>
    <x v="1"/>
    <x v="0"/>
    <s v="D005"/>
    <s v="Dr. Reddy"/>
    <n v="70"/>
    <x v="0"/>
  </r>
  <r>
    <s v="A10010"/>
    <s v="Rudra"/>
    <n v="28"/>
    <s v="Male"/>
    <s v="Konaseema"/>
    <d v="2026-05-09T00:00:00"/>
    <x v="2"/>
    <x v="0"/>
    <s v="D002"/>
    <s v="Dr. Mehta"/>
    <n v="40"/>
    <x v="0"/>
  </r>
  <r>
    <s v="A10011"/>
    <s v="Mehar"/>
    <n v="29"/>
    <s v="Female"/>
    <s v="Malakpet"/>
    <d v="2026-05-10T00:00:00"/>
    <x v="3"/>
    <x v="0"/>
    <s v="D004"/>
    <s v="Dr. Sharma"/>
    <n v="35"/>
    <x v="0"/>
  </r>
  <r>
    <s v="A10012"/>
    <s v="mohan"/>
    <n v="34"/>
    <s v="Male"/>
    <s v="Kondaput"/>
    <d v="2026-05-11T00:00:00"/>
    <x v="4"/>
    <x v="0"/>
    <s v="D003"/>
    <s v="Dr. Kumar"/>
    <n v="60"/>
    <x v="1"/>
  </r>
  <r>
    <s v="A10013"/>
    <s v="Radhika"/>
    <n v="22"/>
    <s v="Female"/>
    <s v="Hafeezpet"/>
    <d v="2026-05-12T00:00:00"/>
    <x v="0"/>
    <x v="0"/>
    <s v="D001"/>
    <s v="Dr. Rao"/>
    <n v="50"/>
    <x v="0"/>
  </r>
  <r>
    <s v="A10014"/>
    <s v="Mounika"/>
    <n v="30"/>
    <s v="Female"/>
    <s v="High tech city"/>
    <d v="2026-05-13T00:00:00"/>
    <x v="2"/>
    <x v="0"/>
    <s v="D002"/>
    <s v="Dr. Mehta"/>
    <n v="40"/>
    <x v="0"/>
  </r>
  <r>
    <s v="A10015"/>
    <s v="Meghana"/>
    <n v="20"/>
    <s v="Female"/>
    <s v="Kondapur"/>
    <d v="2026-05-14T00:00:00"/>
    <x v="0"/>
    <x v="1"/>
    <s v="D001"/>
    <s v="Dr. Rao"/>
    <n v="50"/>
    <x v="0"/>
  </r>
  <r>
    <s v="A10016"/>
    <s v="Nagalaxmi"/>
    <n v="20"/>
    <s v="Female"/>
    <s v="Nandigama"/>
    <d v="2026-05-15T00:00:00"/>
    <x v="1"/>
    <x v="0"/>
    <s v="D005"/>
    <s v="Dr. Reddy"/>
    <n v="70"/>
    <x v="0"/>
  </r>
  <r>
    <s v="A10017"/>
    <s v="Manoj"/>
    <n v="29"/>
    <s v="Male"/>
    <s v="Nandigama"/>
    <d v="2026-05-16T00:00:00"/>
    <x v="2"/>
    <x v="1"/>
    <s v="D002"/>
    <s v="Dr. Mehta"/>
    <n v="40"/>
    <x v="0"/>
  </r>
  <r>
    <s v="A10018"/>
    <s v="Rekha"/>
    <n v="29"/>
    <s v="Female"/>
    <s v="Kondapur"/>
    <d v="2026-05-17T00:00:00"/>
    <x v="3"/>
    <x v="1"/>
    <s v="D004"/>
    <s v="Dr. Sharma"/>
    <n v="35"/>
    <x v="0"/>
  </r>
  <r>
    <s v="A10019"/>
    <s v="Happie"/>
    <n v="20"/>
    <s v="Female"/>
    <s v="Malakpet"/>
    <d v="2026-05-18T00:00:00"/>
    <x v="4"/>
    <x v="0"/>
    <s v="D003"/>
    <s v="Dr. Kumar"/>
    <n v="60"/>
    <x v="0"/>
  </r>
  <r>
    <s v="A10020"/>
    <s v="Nagarjuna"/>
    <n v="29"/>
    <s v="Male"/>
    <s v="Singareni"/>
    <d v="2026-05-19T00:00:00"/>
    <x v="0"/>
    <x v="1"/>
    <s v="D001"/>
    <s v="Dr. Rao"/>
    <n v="50"/>
    <x v="0"/>
  </r>
  <r>
    <s v="A10021"/>
    <s v="Sikhar"/>
    <n v="28"/>
    <s v="Male"/>
    <s v="Rajkot"/>
    <d v="2026-05-20T00:00:00"/>
    <x v="2"/>
    <x v="0"/>
    <s v="D002"/>
    <s v="Dr. Mehta"/>
    <n v="40"/>
    <x v="0"/>
  </r>
  <r>
    <s v="A10022"/>
    <s v="Dhawan"/>
    <n v="45"/>
    <s v="Male"/>
    <s v="Bengalore"/>
    <d v="2026-05-21T00:00:00"/>
    <x v="0"/>
    <x v="0"/>
    <s v="D001"/>
    <s v="Dr. Rao"/>
    <n v="50"/>
    <x v="1"/>
  </r>
  <r>
    <s v="A10023"/>
    <s v="Neelambari"/>
    <n v="34"/>
    <s v="Female"/>
    <s v="Hyderabad"/>
    <d v="2026-05-22T00:00:00"/>
    <x v="1"/>
    <x v="0"/>
    <s v="D005"/>
    <s v="Dr. Reddy"/>
    <n v="70"/>
    <x v="1"/>
  </r>
  <r>
    <s v="A10024"/>
    <s v="Aravind"/>
    <n v="22"/>
    <s v="Male"/>
    <s v="Hyderabad"/>
    <d v="2026-05-23T00:00:00"/>
    <x v="2"/>
    <x v="1"/>
    <s v="D002"/>
    <s v="Dr. Mehta"/>
    <n v="40"/>
    <x v="0"/>
  </r>
  <r>
    <s v="A10025"/>
    <s v="Meghana"/>
    <n v="24"/>
    <s v="Female"/>
    <s v="Hyderabad"/>
    <d v="2026-05-24T00:00:00"/>
    <x v="3"/>
    <x v="1"/>
    <s v="D004"/>
    <s v="Dr. Sharma"/>
    <n v="35"/>
    <x v="0"/>
  </r>
  <r>
    <s v="A10026"/>
    <s v="Simha"/>
    <n v="34"/>
    <s v="Male"/>
    <s v="Godavari"/>
    <d v="2026-05-25T00:00:00"/>
    <x v="4"/>
    <x v="0"/>
    <s v="D003"/>
    <s v="Dr. Kumar"/>
    <n v="60"/>
    <x v="1"/>
  </r>
  <r>
    <s v="A10027"/>
    <s v="Reddy"/>
    <n v="23"/>
    <s v="Male"/>
    <s v="Vizag"/>
    <d v="2026-05-26T00:00:00"/>
    <x v="0"/>
    <x v="0"/>
    <s v="D001"/>
    <s v="Dr. Rao"/>
    <n v="50"/>
    <x v="0"/>
  </r>
  <r>
    <s v="A10028"/>
    <s v="Klassen"/>
    <n v="34"/>
    <s v="Male"/>
    <s v="Petrorius"/>
    <d v="2026-05-27T00:00:00"/>
    <x v="2"/>
    <x v="0"/>
    <s v="D002"/>
    <s v="Dr. Mehta"/>
    <n v="40"/>
    <x v="1"/>
  </r>
  <r>
    <s v="A10029"/>
    <s v="Mouna"/>
    <n v="28"/>
    <s v="Female"/>
    <s v="Nalgonda"/>
    <d v="2026-05-28T00:00:00"/>
    <x v="0"/>
    <x v="0"/>
    <s v="D001"/>
    <s v="Dr. Rao"/>
    <n v="50"/>
    <x v="0"/>
  </r>
  <r>
    <s v="A10030"/>
    <s v="Dinesh"/>
    <n v="22"/>
    <s v="Male"/>
    <s v="Chennai"/>
    <d v="2026-05-29T00:00:00"/>
    <x v="1"/>
    <x v="0"/>
    <s v="D005"/>
    <s v="Dr. Reddy"/>
    <n v="70"/>
    <x v="0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">
  <r>
    <s v="A10001"/>
    <s v="Praveen"/>
    <n v="28"/>
    <s v="Male"/>
    <x v="0"/>
    <d v="2026-04-30T00:00:00"/>
    <s v="Cardiology"/>
    <s v="Yes"/>
    <s v="D001"/>
    <s v="Dr. Rao"/>
    <n v="50"/>
    <s v="Normal"/>
    <s v="Normal"/>
  </r>
  <r>
    <s v="A10002"/>
    <s v="Dhanush"/>
    <n v="22"/>
    <s v="Male"/>
    <x v="0"/>
    <d v="2026-05-01T00:00:00"/>
    <s v="Emergency"/>
    <s v="Yes"/>
    <s v="D005"/>
    <s v="Dr. Reddy"/>
    <n v="70"/>
    <s v="Normal"/>
    <s v="Normal"/>
  </r>
  <r>
    <s v="A10003"/>
    <s v="Harpreet"/>
    <n v="22"/>
    <s v="Male"/>
    <x v="0"/>
    <d v="2026-05-02T00:00:00"/>
    <s v="Neurology"/>
    <s v="No"/>
    <s v="D002"/>
    <s v="Dr. Mehta"/>
    <n v="40"/>
    <s v="Normal"/>
    <s v="Normal"/>
  </r>
  <r>
    <s v="A10004"/>
    <s v="Sekhar"/>
    <n v="19"/>
    <s v="Male"/>
    <x v="0"/>
    <d v="2026-05-03T00:00:00"/>
    <s v="Pediatrics"/>
    <s v="No"/>
    <s v="D004"/>
    <s v="Dr. Sharma"/>
    <n v="35"/>
    <s v="Normal"/>
    <s v="Normal"/>
  </r>
  <r>
    <s v="A10005"/>
    <s v="Rangayya"/>
    <n v="20"/>
    <s v="Male"/>
    <x v="1"/>
    <d v="2026-05-04T00:00:00"/>
    <s v="Orthopedics"/>
    <s v="Yes"/>
    <s v="D003"/>
    <s v="Dr. Kumar"/>
    <n v="60"/>
    <s v="Normal"/>
    <s v="Normal"/>
  </r>
  <r>
    <s v="A10006"/>
    <s v="Rangamma"/>
    <n v="18"/>
    <s v="Female"/>
    <x v="1"/>
    <d v="2026-05-05T00:00:00"/>
    <s v="Cardiology"/>
    <s v="Yes"/>
    <s v="D001"/>
    <s v="Dr. Rao"/>
    <n v="50"/>
    <s v="Normal"/>
    <s v="Normal"/>
  </r>
  <r>
    <s v="A10007"/>
    <s v="Mogalayya"/>
    <n v="25"/>
    <s v="Male"/>
    <x v="2"/>
    <d v="2026-05-06T00:00:00"/>
    <s v="Neurology"/>
    <s v="Yes"/>
    <s v="D002"/>
    <s v="Dr. Mehta"/>
    <n v="40"/>
    <s v="Normal"/>
    <s v="Normal"/>
  </r>
  <r>
    <s v="A10008"/>
    <s v="Jangayya"/>
    <n v="45"/>
    <s v="Male"/>
    <x v="3"/>
    <d v="2026-05-07T00:00:00"/>
    <s v="Cardiology"/>
    <s v="Yes"/>
    <s v="D001"/>
    <s v="Dr. Rao"/>
    <n v="50"/>
    <s v="Senior"/>
    <s v="Senior"/>
  </r>
  <r>
    <s v="A10009"/>
    <s v="Madhu"/>
    <n v="22"/>
    <s v="Male"/>
    <x v="4"/>
    <d v="2026-05-08T00:00:00"/>
    <s v="Emergency"/>
    <s v="Yes"/>
    <s v="D005"/>
    <s v="Dr. Reddy"/>
    <n v="70"/>
    <s v="Normal"/>
    <s v="Normal"/>
  </r>
  <r>
    <s v="A10010"/>
    <s v="Rudra"/>
    <n v="28"/>
    <s v="Male"/>
    <x v="5"/>
    <d v="2026-05-09T00:00:00"/>
    <s v="Neurology"/>
    <s v="Yes"/>
    <s v="D002"/>
    <s v="Dr. Mehta"/>
    <n v="40"/>
    <s v="Normal"/>
    <s v="Normal"/>
  </r>
  <r>
    <s v="A10011"/>
    <s v="Mehar"/>
    <n v="29"/>
    <s v="Female"/>
    <x v="6"/>
    <d v="2026-05-10T00:00:00"/>
    <s v="Pediatrics"/>
    <s v="Yes"/>
    <s v="D004"/>
    <s v="Dr. Sharma"/>
    <n v="35"/>
    <s v="Normal"/>
    <s v="Normal"/>
  </r>
  <r>
    <s v="A10012"/>
    <s v="mohan"/>
    <n v="34"/>
    <s v="Male"/>
    <x v="7"/>
    <d v="2026-05-11T00:00:00"/>
    <s v="Orthopedics"/>
    <s v="Yes"/>
    <s v="D003"/>
    <s v="Dr. Kumar"/>
    <n v="60"/>
    <s v="Senior"/>
    <s v="Senior"/>
  </r>
  <r>
    <s v="A10013"/>
    <s v="Radhika"/>
    <n v="22"/>
    <s v="Female"/>
    <x v="8"/>
    <d v="2026-05-12T00:00:00"/>
    <s v="Cardiology"/>
    <s v="Yes"/>
    <s v="D001"/>
    <s v="Dr. Rao"/>
    <n v="50"/>
    <s v="Normal"/>
    <s v="Normal"/>
  </r>
  <r>
    <s v="A10014"/>
    <s v="Mounika"/>
    <n v="30"/>
    <s v="Female"/>
    <x v="9"/>
    <d v="2026-05-13T00:00:00"/>
    <s v="Neurology"/>
    <s v="Yes"/>
    <s v="D002"/>
    <s v="Dr. Mehta"/>
    <n v="40"/>
    <s v="Normal"/>
    <s v="Senior"/>
  </r>
  <r>
    <s v="A10015"/>
    <s v="Meghana"/>
    <n v="20"/>
    <s v="Female"/>
    <x v="10"/>
    <d v="2026-05-14T00:00:00"/>
    <s v="Cardiology"/>
    <s v="No"/>
    <s v="D001"/>
    <s v="Dr. Rao"/>
    <n v="50"/>
    <s v="Normal"/>
    <s v="Normal"/>
  </r>
  <r>
    <s v="A10016"/>
    <s v="Nagalaxmi"/>
    <n v="20"/>
    <s v="Female"/>
    <x v="11"/>
    <d v="2026-05-15T00:00:00"/>
    <s v="Emergency"/>
    <s v="Yes"/>
    <s v="D005"/>
    <s v="Dr. Reddy"/>
    <n v="70"/>
    <s v="Normal"/>
    <s v="Normal"/>
  </r>
  <r>
    <s v="A10017"/>
    <s v="Manoj"/>
    <n v="29"/>
    <s v="Male"/>
    <x v="11"/>
    <d v="2026-05-16T00:00:00"/>
    <s v="Neurology"/>
    <s v="No"/>
    <s v="D002"/>
    <s v="Dr. Mehta"/>
    <n v="40"/>
    <s v="Normal"/>
    <s v="Normal"/>
  </r>
  <r>
    <s v="A10018"/>
    <s v="Rekha"/>
    <n v="29"/>
    <s v="Female"/>
    <x v="10"/>
    <d v="2026-05-17T00:00:00"/>
    <s v="Pediatrics"/>
    <s v="No"/>
    <s v="D004"/>
    <s v="Dr. Sharma"/>
    <n v="35"/>
    <s v="Normal"/>
    <s v="Normal"/>
  </r>
  <r>
    <s v="A10019"/>
    <s v="Happie"/>
    <n v="20"/>
    <s v="Female"/>
    <x v="6"/>
    <d v="2026-05-18T00:00:00"/>
    <s v="Orthopedics"/>
    <s v="Yes"/>
    <s v="D003"/>
    <s v="Dr. Kumar"/>
    <n v="60"/>
    <s v="Normal"/>
    <s v="Normal"/>
  </r>
  <r>
    <s v="A10020"/>
    <s v="Nagarjuna"/>
    <n v="29"/>
    <s v="Male"/>
    <x v="12"/>
    <d v="2026-05-19T00:00:00"/>
    <s v="Cardiology"/>
    <s v="No"/>
    <s v="D001"/>
    <s v="Dr. Rao"/>
    <n v="50"/>
    <s v="Normal"/>
    <s v="Normal"/>
  </r>
  <r>
    <s v="A10021"/>
    <s v="Sikhar"/>
    <n v="28"/>
    <s v="Male"/>
    <x v="13"/>
    <d v="2026-05-20T00:00:00"/>
    <s v="Neurology"/>
    <s v="Yes"/>
    <s v="D002"/>
    <s v="Dr. Mehta"/>
    <n v="40"/>
    <s v="Normal"/>
    <s v="Normal"/>
  </r>
  <r>
    <s v="A10022"/>
    <s v="Dhawan"/>
    <n v="45"/>
    <s v="Male"/>
    <x v="14"/>
    <d v="2026-05-21T00:00:00"/>
    <s v="Cardiology"/>
    <s v="Yes"/>
    <s v="D001"/>
    <s v="Dr. Rao"/>
    <n v="50"/>
    <s v="Senior"/>
    <s v="Senior"/>
  </r>
  <r>
    <s v="A10023"/>
    <s v="Neelambari"/>
    <n v="34"/>
    <s v="Female"/>
    <x v="0"/>
    <d v="2026-05-22T00:00:00"/>
    <s v="Emergency"/>
    <s v="Yes"/>
    <s v="D005"/>
    <s v="Dr. Reddy"/>
    <n v="70"/>
    <s v="Senior"/>
    <s v="Senior"/>
  </r>
  <r>
    <s v="A10024"/>
    <s v="Aravind"/>
    <n v="22"/>
    <s v="Male"/>
    <x v="0"/>
    <d v="2026-05-23T00:00:00"/>
    <s v="Neurology"/>
    <s v="No"/>
    <s v="D002"/>
    <s v="Dr. Mehta"/>
    <n v="40"/>
    <s v="Normal"/>
    <s v="Normal"/>
  </r>
  <r>
    <s v="A10025"/>
    <s v="Meghana"/>
    <n v="24"/>
    <s v="Female"/>
    <x v="0"/>
    <d v="2026-05-24T00:00:00"/>
    <s v="Pediatrics"/>
    <s v="No"/>
    <s v="D004"/>
    <s v="Dr. Sharma"/>
    <n v="35"/>
    <s v="Normal"/>
    <s v="Normal"/>
  </r>
  <r>
    <s v="A10026"/>
    <s v="Simha"/>
    <n v="34"/>
    <s v="Male"/>
    <x v="4"/>
    <d v="2026-05-25T00:00:00"/>
    <s v="Orthopedics"/>
    <s v="Yes"/>
    <s v="D003"/>
    <s v="Dr. Kumar"/>
    <n v="60"/>
    <s v="Senior"/>
    <s v="Senior"/>
  </r>
  <r>
    <s v="A10027"/>
    <s v="Reddy"/>
    <n v="23"/>
    <s v="Male"/>
    <x v="15"/>
    <d v="2026-05-26T00:00:00"/>
    <s v="Cardiology"/>
    <s v="Yes"/>
    <s v="D001"/>
    <s v="Dr. Rao"/>
    <n v="50"/>
    <s v="Normal"/>
    <s v="Normal"/>
  </r>
  <r>
    <s v="A10028"/>
    <s v="Klassen"/>
    <n v="34"/>
    <s v="Male"/>
    <x v="16"/>
    <d v="2026-05-27T00:00:00"/>
    <s v="Neurology"/>
    <s v="Yes"/>
    <s v="D002"/>
    <s v="Dr. Mehta"/>
    <n v="40"/>
    <s v="Senior"/>
    <s v="Senior"/>
  </r>
  <r>
    <s v="A10029"/>
    <s v="Mouna"/>
    <n v="28"/>
    <s v="Female"/>
    <x v="17"/>
    <d v="2026-05-28T00:00:00"/>
    <s v="Cardiology"/>
    <s v="Yes"/>
    <s v="D001"/>
    <s v="Dr. Rao"/>
    <n v="50"/>
    <s v="Normal"/>
    <s v="Normal"/>
  </r>
  <r>
    <s v="A10030"/>
    <s v="Dinesh"/>
    <n v="22"/>
    <s v="Male"/>
    <x v="18"/>
    <d v="2026-05-29T00:00:00"/>
    <s v="Emergency"/>
    <s v="Yes"/>
    <s v="D005"/>
    <s v="Dr. Reddy"/>
    <n v="70"/>
    <s v="Normal"/>
    <s v="Normal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CA66681-C8A3-4858-A9AD-CC76904EB56D}" name="PivotTable12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54:B74" firstHeaderRow="1" firstDataRow="1" firstDataCol="1"/>
  <pivotFields count="13">
    <pivotField dataField="1" showAll="0"/>
    <pivotField showAll="0"/>
    <pivotField showAll="0"/>
    <pivotField showAll="0"/>
    <pivotField axis="axisRow" showAll="0" sortType="descending">
      <items count="20">
        <item x="3"/>
        <item x="2"/>
        <item x="14"/>
        <item x="18"/>
        <item x="4"/>
        <item x="1"/>
        <item x="8"/>
        <item x="9"/>
        <item x="0"/>
        <item x="5"/>
        <item x="10"/>
        <item x="7"/>
        <item x="6"/>
        <item x="17"/>
        <item x="11"/>
        <item x="16"/>
        <item x="13"/>
        <item x="12"/>
        <item x="1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4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20">
    <i>
      <x v="8"/>
    </i>
    <i>
      <x v="14"/>
    </i>
    <i>
      <x v="12"/>
    </i>
    <i>
      <x v="10"/>
    </i>
    <i>
      <x v="4"/>
    </i>
    <i>
      <x v="5"/>
    </i>
    <i>
      <x v="1"/>
    </i>
    <i>
      <x v="3"/>
    </i>
    <i>
      <x v="11"/>
    </i>
    <i>
      <x v="2"/>
    </i>
    <i>
      <x v="16"/>
    </i>
    <i>
      <x v="13"/>
    </i>
    <i>
      <x v="6"/>
    </i>
    <i>
      <x v="15"/>
    </i>
    <i>
      <x v="7"/>
    </i>
    <i>
      <x v="17"/>
    </i>
    <i>
      <x v="18"/>
    </i>
    <i>
      <x/>
    </i>
    <i>
      <x v="9"/>
    </i>
    <i t="grand">
      <x/>
    </i>
  </rowItems>
  <colItems count="1">
    <i/>
  </colItems>
  <dataFields count="1">
    <dataField name="Count of Patient ID" fld="0" subtotal="count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>
      <pivotArea type="data" outline="0" fieldPosition="0">
        <references count="2">
          <reference field="4294967294" count="1" selected="0">
            <x v="0"/>
          </reference>
          <reference field="4" count="1" selected="0">
            <x v="8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35EF8E7-041D-4258-B1AA-F96C1B0CD910}" name="PivotTable10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>
  <location ref="O36:P41" firstHeaderRow="1" firstDataRow="1" firstDataCol="1" rowPageCount="1" colPageCount="1"/>
  <pivotFields count="12">
    <pivotField showAll="0"/>
    <pivotField showAll="0"/>
    <pivotField showAll="0"/>
    <pivotField showAll="0"/>
    <pivotField showAll="0"/>
    <pivotField numFmtId="14" showAll="0"/>
    <pivotField axis="axisRow" showAll="0" sortType="descending">
      <items count="6">
        <item x="0"/>
        <item x="1"/>
        <item x="2"/>
        <item x="4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3">
        <item x="1"/>
        <item x="0"/>
        <item t="default"/>
      </items>
    </pivotField>
    <pivotField showAll="0"/>
    <pivotField showAll="0"/>
    <pivotField showAll="0"/>
    <pivotField axis="axisPage" dataField="1" multipleItemSelectionAllowed="1" showAll="0">
      <items count="3">
        <item h="1" x="0"/>
        <item x="1"/>
        <item t="default"/>
      </items>
    </pivotField>
  </pivotFields>
  <rowFields count="1">
    <field x="6"/>
  </rowFields>
  <rowItems count="5">
    <i>
      <x v="3"/>
    </i>
    <i>
      <x/>
    </i>
    <i>
      <x v="2"/>
    </i>
    <i>
      <x v="1"/>
    </i>
    <i t="grand">
      <x/>
    </i>
  </rowItems>
  <colItems count="1">
    <i/>
  </colItems>
  <pageFields count="1">
    <pageField fld="11" hier="-1"/>
  </pageFields>
  <dataFields count="1">
    <dataField name="Count of Senior category" fld="11" subtotal="count" baseField="0" baseItem="0"/>
  </dataFields>
  <chartFormats count="1">
    <chartFormat chart="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5123E2F-8327-455B-9041-25A53FE74A24}" name="PivotTable1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J43:K46" firstHeaderRow="1" firstDataRow="1" firstDataCol="1"/>
  <pivotFields count="12">
    <pivotField dataField="1" showAll="0"/>
    <pivotField showAll="0"/>
    <pivotField showAll="0"/>
    <pivotField showAll="0"/>
    <pivotField showAll="0"/>
    <pivotField numFmtId="14" showAll="0"/>
    <pivotField showAll="0"/>
    <pivotField axis="axisRow" showAll="0" sortType="descending">
      <items count="3">
        <item x="1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</pivotFields>
  <rowFields count="1">
    <field x="7"/>
  </rowFields>
  <rowItems count="3">
    <i>
      <x v="1"/>
    </i>
    <i>
      <x/>
    </i>
    <i t="grand">
      <x/>
    </i>
  </rowItems>
  <colItems count="1">
    <i/>
  </colItems>
  <dataFields count="1">
    <dataField name="Count of Patient ID" fld="0" subtotal="count" showDataAs="percentOfTotal" baseField="0" baseItem="0" numFmtId="10"/>
  </dataFields>
  <formats count="2">
    <format dxfId="0">
      <pivotArea collapsedLevelsAreSubtotals="1" fieldPosition="0">
        <references count="1">
          <reference field="7" count="1">
            <x v="1"/>
          </reference>
        </references>
      </pivotArea>
    </format>
    <format dxfId="1">
      <pivotArea collapsedLevelsAreSubtotals="1" fieldPosition="0">
        <references count="1">
          <reference field="7" count="1">
            <x v="0"/>
          </reference>
        </references>
      </pivotArea>
    </format>
  </formats>
  <chartFormats count="3">
    <chartFormat chart="3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5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3" format="6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96E73B7-3B3B-411A-BEC2-88A109D418F3}" name="PivotTable3" cacheId="0" applyNumberFormats="0" applyBorderFormats="0" applyFontFormats="0" applyPatternFormats="0" applyAlignmentFormats="0" applyWidthHeightFormats="1" dataCaption="Values" updatedVersion="8" minRefreshableVersion="3" useAutoFormatting="1" colGrandTotals="0" itemPrintTitles="1" createdVersion="8" indent="0" outline="1" outlineData="1" multipleFieldFilters="0" rowHeaderCaption="Departments">
  <location ref="E4:G11" firstHeaderRow="1" firstDataRow="2" firstDataCol="1"/>
  <pivotFields count="12">
    <pivotField dataField="1" showAll="0"/>
    <pivotField showAll="0"/>
    <pivotField showAll="0"/>
    <pivotField showAll="0"/>
    <pivotField showAll="0"/>
    <pivotField numFmtId="14" showAll="0">
      <items count="3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axis="axisRow" showAll="0" sortType="descending">
      <items count="6">
        <item x="0"/>
        <item x="1"/>
        <item x="2"/>
        <item x="4"/>
        <item x="3"/>
        <item t="default"/>
      </items>
      <autoSortScope>
        <pivotArea dataOnly="0" outline="0" fieldPosition="0">
          <references count="2">
            <reference field="4294967294" count="1" selected="0">
              <x v="0"/>
            </reference>
            <reference field="7" count="1" selected="0">
              <x v="1"/>
            </reference>
          </references>
        </pivotArea>
      </autoSortScope>
    </pivotField>
    <pivotField axis="axisCol" showAll="0">
      <items count="3">
        <item x="1"/>
        <item x="0"/>
        <item t="default"/>
      </items>
    </pivotField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6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7"/>
  </colFields>
  <colItems count="2">
    <i>
      <x/>
    </i>
    <i>
      <x v="1"/>
    </i>
  </colItems>
  <dataFields count="1">
    <dataField name="Count of Patient ID" fld="0" subtotal="count" showDataAs="percentOfTotal" baseField="6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857EB0E-5952-4726-A3A3-326D9305D0F6}" name="PivotTable5" cacheId="0" applyNumberFormats="0" applyBorderFormats="0" applyFontFormats="0" applyPatternFormats="0" applyAlignmentFormats="0" applyWidthHeightFormats="1" dataCaption="Values" updatedVersion="8" minRefreshableVersion="3" useAutoFormatting="1" colGrandTotals="0" itemPrintTitles="1" createdVersion="8" indent="0" outline="1" outlineData="1" multipleFieldFilters="0" rowHeaderCaption="Departments">
  <location ref="O4:T25" firstHeaderRow="1" firstDataRow="2" firstDataCol="1"/>
  <pivotFields count="12">
    <pivotField dataField="1" showAll="0"/>
    <pivotField showAll="0"/>
    <pivotField showAll="0"/>
    <pivotField showAll="0"/>
    <pivotField axis="axisRow" showAll="0">
      <items count="20">
        <item x="3"/>
        <item x="2"/>
        <item x="14"/>
        <item x="18"/>
        <item x="4"/>
        <item x="1"/>
        <item x="8"/>
        <item x="9"/>
        <item x="0"/>
        <item x="5"/>
        <item x="10"/>
        <item x="7"/>
        <item x="6"/>
        <item x="17"/>
        <item x="11"/>
        <item x="16"/>
        <item x="13"/>
        <item x="12"/>
        <item x="15"/>
        <item t="default"/>
      </items>
    </pivotField>
    <pivotField numFmtId="14" showAll="0">
      <items count="3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axis="axisCol" showAll="0">
      <items count="6">
        <item x="0"/>
        <item x="1"/>
        <item x="2"/>
        <item x="4"/>
        <item x="3"/>
        <item t="default"/>
      </items>
    </pivotField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4"/>
  </rowFields>
  <rowItems count="2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 t="grand">
      <x/>
    </i>
  </rowItems>
  <colFields count="1">
    <field x="6"/>
  </colFields>
  <colItems count="5">
    <i>
      <x/>
    </i>
    <i>
      <x v="1"/>
    </i>
    <i>
      <x v="2"/>
    </i>
    <i>
      <x v="3"/>
    </i>
    <i>
      <x v="4"/>
    </i>
  </colItems>
  <dataFields count="1">
    <dataField name="Count of Patient ID" fld="0" subtotal="count" baseField="6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7236E6B-E3DE-48ED-B26C-69BAFBE5E16E}" name="PivotTable1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Departments">
  <location ref="J29:K35" firstHeaderRow="1" firstDataRow="1" firstDataCol="1"/>
  <pivotFields count="12">
    <pivotField showAll="0"/>
    <pivotField showAll="0"/>
    <pivotField showAll="0"/>
    <pivotField showAll="0"/>
    <pivotField showAll="0"/>
    <pivotField numFmtId="14" showAll="0"/>
    <pivotField axis="axisRow" showAll="0">
      <items count="6">
        <item x="0"/>
        <item x="1"/>
        <item x="2"/>
        <item x="4"/>
        <item x="3"/>
        <item t="default"/>
      </items>
    </pivotField>
    <pivotField showAll="0"/>
    <pivotField showAll="0"/>
    <pivotField showAll="0"/>
    <pivotField showAll="0"/>
    <pivotField dataField="1" showAll="0"/>
  </pivotFields>
  <rowFields count="1">
    <field x="6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Senior category" fld="1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7A09BC6-8EB6-4AB3-88E2-B1FF45B92044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7" rowHeaderCaption="Months">
  <location ref="E17:F20" firstHeaderRow="1" firstDataRow="1" firstDataCol="1"/>
  <pivotFields count="12">
    <pivotField dataField="1" showAll="0"/>
    <pivotField showAll="0"/>
    <pivotField showAll="0"/>
    <pivotField showAll="0"/>
    <pivotField showAll="0"/>
    <pivotField numFmtId="14" showAll="0">
      <items count="3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showAll="0"/>
    <pivotField showAll="0"/>
    <pivotField showAll="0"/>
    <pivotField showAll="0"/>
    <pivotField showAll="0"/>
    <pivotField axis="axisRow" showAll="0" sortType="descending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11"/>
  </rowFields>
  <rowItems count="3">
    <i>
      <x v="5"/>
    </i>
    <i>
      <x v="4"/>
    </i>
    <i t="grand">
      <x/>
    </i>
  </rowItems>
  <colItems count="1">
    <i/>
  </colItems>
  <dataFields count="1">
    <dataField name="Count of Patient ID" fld="0" subtotal="count" baseField="0" baseItem="0"/>
  </dataFields>
  <formats count="4">
    <format dxfId="5">
      <pivotArea outline="0" collapsedLevelsAreSubtotals="1" fieldPosition="0"/>
    </format>
    <format dxfId="4">
      <pivotArea collapsedLevelsAreSubtotals="1" fieldPosition="0">
        <references count="1">
          <reference field="11" count="1">
            <x v="4"/>
          </reference>
        </references>
      </pivotArea>
    </format>
    <format dxfId="3">
      <pivotArea collapsedLevelsAreSubtotals="1" fieldPosition="0">
        <references count="1">
          <reference field="11" count="1">
            <x v="5"/>
          </reference>
        </references>
      </pivotArea>
    </format>
    <format dxfId="2">
      <pivotArea grandRow="1" outline="0" collapsedLevelsAreSubtotals="1" fieldPosition="0"/>
    </format>
  </formats>
  <chartFormats count="7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>
      <pivotArea type="data" outline="0" fieldPosition="0">
        <references count="2">
          <reference field="4294967294" count="1" selected="0">
            <x v="0"/>
          </reference>
          <reference field="11" count="1" selected="0">
            <x v="4"/>
          </reference>
        </references>
      </pivotArea>
    </chartFormat>
    <chartFormat chart="3" format="4">
      <pivotArea type="data" outline="0" fieldPosition="0">
        <references count="2">
          <reference field="4294967294" count="1" selected="0">
            <x v="0"/>
          </reference>
          <reference field="11" count="1" selected="0">
            <x v="5"/>
          </reference>
        </references>
      </pivotArea>
    </chartFormat>
    <chartFormat chart="1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1DE3C46-E436-4645-98B7-CC80B63EF67E}" name="PivotTable9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city">
  <location ref="A29:D50" firstHeaderRow="1" firstDataRow="2" firstDataCol="1"/>
  <pivotFields count="12">
    <pivotField dataField="1" showAll="0"/>
    <pivotField showAll="0"/>
    <pivotField showAll="0"/>
    <pivotField showAll="0"/>
    <pivotField axis="axisRow" showAll="0">
      <items count="20">
        <item x="3"/>
        <item x="2"/>
        <item x="14"/>
        <item x="18"/>
        <item x="4"/>
        <item x="1"/>
        <item x="8"/>
        <item x="9"/>
        <item x="0"/>
        <item x="5"/>
        <item x="10"/>
        <item x="7"/>
        <item x="6"/>
        <item x="17"/>
        <item x="11"/>
        <item x="16"/>
        <item x="13"/>
        <item x="12"/>
        <item x="15"/>
        <item t="default"/>
      </items>
    </pivotField>
    <pivotField numFmtId="14" showAll="0">
      <items count="3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showAll="0"/>
    <pivotField axis="axisCol" showAll="0">
      <items count="3">
        <item x="1"/>
        <item x="0"/>
        <item t="default"/>
      </items>
    </pivotField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4"/>
  </rowFields>
  <rowItems count="2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 t="grand">
      <x/>
    </i>
  </rowItems>
  <colFields count="1">
    <field x="7"/>
  </colFields>
  <colItems count="3">
    <i>
      <x/>
    </i>
    <i>
      <x v="1"/>
    </i>
    <i t="grand">
      <x/>
    </i>
  </colItems>
  <dataFields count="1">
    <dataField name="Count of Patient ID" fld="0" subtotal="count" baseField="0" baseItem="0"/>
  </dataFields>
  <formats count="4">
    <format dxfId="9">
      <pivotArea outline="0" collapsedLevelsAreSubtotals="1" fieldPosition="0"/>
    </format>
    <format dxfId="8">
      <pivotArea collapsedLevelsAreSubtotals="1" fieldPosition="0">
        <references count="1">
          <reference field="4" count="18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</reference>
        </references>
      </pivotArea>
    </format>
    <format dxfId="7">
      <pivotArea grandRow="1" outline="0" collapsedLevelsAreSubtotals="1" fieldPosition="0"/>
    </format>
    <format dxfId="6">
      <pivotArea collapsedLevelsAreSubtotals="1" fieldPosition="0">
        <references count="1">
          <reference field="4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7409432-B299-464B-ADAF-827C70652555}" name="PivotTable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Departments">
  <location ref="J17:K21" firstHeaderRow="1" firstDataRow="1" firstDataCol="1" rowPageCount="1" colPageCount="1"/>
  <pivotFields count="12">
    <pivotField axis="axisPage" dataField="1" showAll="0">
      <items count="3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showAll="0"/>
    <pivotField showAll="0"/>
    <pivotField showAll="0"/>
    <pivotField showAll="0"/>
    <pivotField numFmtId="14" showAll="0">
      <items count="3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axis="axisRow" showAll="0" measureFilter="1" sortType="descending">
      <items count="6">
        <item x="0"/>
        <item x="1"/>
        <item x="2"/>
        <item x="4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6"/>
  </rowFields>
  <rowItems count="4">
    <i>
      <x/>
    </i>
    <i>
      <x v="2"/>
    </i>
    <i>
      <x v="1"/>
    </i>
    <i t="grand">
      <x/>
    </i>
  </rowItems>
  <colItems count="1">
    <i/>
  </colItems>
  <pageFields count="1">
    <pageField fld="0" hier="-1"/>
  </pageFields>
  <dataFields count="1">
    <dataField name="Count of Patient ID" fld="0" subtotal="count" baseField="0" baseItem="0" numFmtId="1"/>
  </dataFields>
  <formats count="1">
    <format dxfId="10">
      <pivotArea outline="0" collapsedLevelsAreSubtotals="1" fieldPosition="0"/>
    </format>
  </formats>
  <pivotTableStyleInfo name="PivotStyleLight16" showRowHeaders="1" showColHeaders="1" showRowStripes="0" showColStripes="0" showLastColumn="1"/>
  <filters count="1">
    <filter fld="6" type="count" evalOrder="-1" id="1" iMeasureFld="0">
      <autoFilter ref="A1">
        <filterColumn colId="0">
          <top10 val="3" filterVal="3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038D493-6F32-47E7-8BE6-2E7A0EF8DE78}" name="PivotTable4" cacheId="0" applyNumberFormats="0" applyBorderFormats="0" applyFontFormats="0" applyPatternFormats="0" applyAlignmentFormats="0" applyWidthHeightFormats="1" dataCaption="Values" updatedVersion="8" minRefreshableVersion="3" useAutoFormatting="1" colGrandTotals="0" itemPrintTitles="1" createdVersion="8" indent="0" outline="1" outlineData="1" multipleFieldFilters="0" rowHeaderCaption="Departments">
  <location ref="J4:L11" firstHeaderRow="1" firstDataRow="2" firstDataCol="1"/>
  <pivotFields count="12">
    <pivotField dataField="1" showAll="0"/>
    <pivotField showAll="0"/>
    <pivotField showAll="0"/>
    <pivotField showAll="0"/>
    <pivotField showAll="0"/>
    <pivotField numFmtId="14" showAll="0">
      <items count="3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axis="axisRow" showAll="0" sortType="descending">
      <items count="6">
        <item x="0"/>
        <item x="1"/>
        <item x="2"/>
        <item x="4"/>
        <item x="3"/>
        <item t="default"/>
      </items>
      <autoSortScope>
        <pivotArea dataOnly="0" outline="0" fieldPosition="0">
          <references count="2">
            <reference field="4294967294" count="1" selected="0">
              <x v="0"/>
            </reference>
            <reference field="7" count="1" selected="0">
              <x v="1"/>
            </reference>
          </references>
        </pivotArea>
      </autoSortScope>
    </pivotField>
    <pivotField axis="axisCol" showAll="0">
      <items count="3">
        <item x="1"/>
        <item x="0"/>
        <item t="default"/>
      </items>
    </pivotField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6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7"/>
  </colFields>
  <colItems count="2">
    <i>
      <x/>
    </i>
    <i>
      <x v="1"/>
    </i>
  </colItems>
  <dataFields count="1">
    <dataField name="Count of Patient ID" fld="0" subtotal="count" showDataAs="percentOfTotal" baseField="6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CF82AC5-05CB-4908-A238-FBAB18E9157D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 rowHeaderCaption="Departments">
  <location ref="A4:B10" firstHeaderRow="1" firstDataRow="1" firstDataCol="1"/>
  <pivotFields count="12">
    <pivotField dataField="1" showAll="0"/>
    <pivotField showAll="0"/>
    <pivotField showAll="0"/>
    <pivotField showAll="0"/>
    <pivotField showAll="0"/>
    <pivotField numFmtId="14" showAll="0">
      <items count="3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axis="axisRow" showAll="0" sortType="descending">
      <items count="6">
        <item x="0"/>
        <item x="1"/>
        <item x="2"/>
        <item x="4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6"/>
  </rowFields>
  <rowItems count="6">
    <i>
      <x/>
    </i>
    <i>
      <x v="2"/>
    </i>
    <i>
      <x v="1"/>
    </i>
    <i>
      <x v="4"/>
    </i>
    <i>
      <x v="3"/>
    </i>
    <i t="grand">
      <x/>
    </i>
  </rowItems>
  <colItems count="1">
    <i/>
  </colItems>
  <dataFields count="1">
    <dataField name="Count of Patient ID" fld="0" subtotal="count" baseField="0" baseItem="0"/>
  </dataFields>
  <chartFormats count="3"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C6D0D69-41C8-48AE-8348-6228B0D240FB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Departments">
  <location ref="A17:B23" firstHeaderRow="1" firstDataRow="1" firstDataCol="1"/>
  <pivotFields count="12">
    <pivotField showAll="0"/>
    <pivotField showAll="0"/>
    <pivotField dataField="1" showAll="0"/>
    <pivotField showAll="0"/>
    <pivotField showAll="0"/>
    <pivotField numFmtId="14" showAll="0">
      <items count="3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axis="axisRow" showAll="0">
      <items count="6">
        <item x="0"/>
        <item x="1"/>
        <item x="2"/>
        <item x="4"/>
        <item x="3"/>
        <item t="default"/>
      </items>
    </pivotField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6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Average of Age" fld="2" subtotal="average" baseField="6" baseItem="2" numFmtId="164"/>
  </dataFields>
  <formats count="1">
    <format dxfId="11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12" Type="http://schemas.openxmlformats.org/officeDocument/2006/relationships/pivotTable" Target="../pivotTables/pivotTable12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ivotTable" Target="../pivotTables/pivotTable11.xml"/><Relationship Id="rId5" Type="http://schemas.openxmlformats.org/officeDocument/2006/relationships/pivotTable" Target="../pivotTables/pivotTable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27DEAF-797C-44E8-BAE6-757FCE6903AD}">
  <dimension ref="A1:N31"/>
  <sheetViews>
    <sheetView workbookViewId="0">
      <selection activeCell="F13" sqref="F13"/>
    </sheetView>
  </sheetViews>
  <sheetFormatPr defaultRowHeight="14.4" x14ac:dyDescent="0.3"/>
  <cols>
    <col min="1" max="1" width="10.33203125" bestFit="1" customWidth="1"/>
    <col min="2" max="2" width="7.88671875" bestFit="1" customWidth="1"/>
    <col min="3" max="3" width="11.88671875" bestFit="1" customWidth="1"/>
    <col min="4" max="4" width="18.6640625" bestFit="1" customWidth="1"/>
    <col min="5" max="5" width="12.33203125" bestFit="1" customWidth="1"/>
    <col min="6" max="6" width="18.6640625" bestFit="1" customWidth="1"/>
    <col min="7" max="7" width="19.77734375" customWidth="1"/>
    <col min="8" max="8" width="11.6640625" bestFit="1" customWidth="1"/>
    <col min="9" max="9" width="15" bestFit="1" customWidth="1"/>
    <col min="10" max="10" width="12.77734375" bestFit="1" customWidth="1"/>
    <col min="11" max="11" width="13.109375" bestFit="1" customWidth="1"/>
    <col min="12" max="12" width="14.6640625" customWidth="1"/>
    <col min="13" max="13" width="10.77734375" customWidth="1"/>
  </cols>
  <sheetData>
    <row r="1" spans="1:14" ht="15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128</v>
      </c>
    </row>
    <row r="2" spans="1:14" x14ac:dyDescent="0.3">
      <c r="A2" t="s">
        <v>12</v>
      </c>
      <c r="B2" t="s">
        <v>13</v>
      </c>
      <c r="C2">
        <v>28</v>
      </c>
      <c r="D2" t="s">
        <v>14</v>
      </c>
      <c r="E2" t="s">
        <v>15</v>
      </c>
      <c r="F2" s="2">
        <v>46142</v>
      </c>
      <c r="G2" t="s">
        <v>16</v>
      </c>
      <c r="H2" t="s">
        <v>17</v>
      </c>
      <c r="I2" t="str">
        <f>VLOOKUP(G2,[1]Department_info!$A$2:$B$6,2,FALSE)</f>
        <v>D001</v>
      </c>
      <c r="J2" t="str">
        <f>INDEX([1]Department_info!$D$2:$D$6,MATCH(Patient_records!G2,[1]Department_info!$A$2:$A$6,0))</f>
        <v>Dr. Rao</v>
      </c>
      <c r="K2">
        <f>INDEX([1]Department_info!$E$2:$E$6,MATCH(Patient_records!G2,[1]Department_info!$A$2:$A$6,0))</f>
        <v>50</v>
      </c>
      <c r="L2" t="str">
        <f t="shared" ref="L2:L31" si="0">IF(C2&gt;30,"Senior","Normal")</f>
        <v>Normal</v>
      </c>
      <c r="M2" t="str">
        <f t="shared" ref="M2:M31" si="1">IF(C2 &gt;= 30, "Senior","Normal")</f>
        <v>Normal</v>
      </c>
    </row>
    <row r="3" spans="1:14" x14ac:dyDescent="0.3">
      <c r="A3" t="s">
        <v>18</v>
      </c>
      <c r="B3" t="s">
        <v>19</v>
      </c>
      <c r="C3">
        <v>22</v>
      </c>
      <c r="D3" t="s">
        <v>14</v>
      </c>
      <c r="E3" t="s">
        <v>15</v>
      </c>
      <c r="F3" s="2">
        <v>46143</v>
      </c>
      <c r="G3" t="s">
        <v>20</v>
      </c>
      <c r="H3" t="s">
        <v>17</v>
      </c>
      <c r="I3" t="str">
        <f>VLOOKUP(G3,[1]Department_info!$A$2:$B$6,2,FALSE)</f>
        <v>D005</v>
      </c>
      <c r="J3" t="str">
        <f>INDEX([1]Department_info!$D$2:$D$6,MATCH(Patient_records!G3,[1]Department_info!$A$2:$A$6,0))</f>
        <v>Dr. Reddy</v>
      </c>
      <c r="K3">
        <f>INDEX([1]Department_info!$E$2:$E$6,MATCH(Patient_records!G3,[1]Department_info!$A$2:$A$6,0))</f>
        <v>70</v>
      </c>
      <c r="L3" t="str">
        <f t="shared" si="0"/>
        <v>Normal</v>
      </c>
      <c r="M3" t="str">
        <f t="shared" si="1"/>
        <v>Normal</v>
      </c>
    </row>
    <row r="4" spans="1:14" x14ac:dyDescent="0.3">
      <c r="A4" t="s">
        <v>21</v>
      </c>
      <c r="B4" t="s">
        <v>22</v>
      </c>
      <c r="C4">
        <v>22</v>
      </c>
      <c r="D4" t="s">
        <v>14</v>
      </c>
      <c r="E4" t="s">
        <v>15</v>
      </c>
      <c r="F4" s="2">
        <v>46144</v>
      </c>
      <c r="G4" t="s">
        <v>23</v>
      </c>
      <c r="H4" t="s">
        <v>24</v>
      </c>
      <c r="I4" t="str">
        <f>VLOOKUP(G4,[1]Department_info!$A$2:$B$6,2,FALSE)</f>
        <v>D002</v>
      </c>
      <c r="J4" t="str">
        <f>INDEX([1]Department_info!$D$2:$D$6,MATCH(Patient_records!G4,[1]Department_info!$A$2:$A$6,0))</f>
        <v>Dr. Mehta</v>
      </c>
      <c r="K4">
        <f>INDEX([1]Department_info!$E$2:$E$6,MATCH(Patient_records!G4,[1]Department_info!$A$2:$A$6,0))</f>
        <v>40</v>
      </c>
      <c r="L4" t="str">
        <f t="shared" si="0"/>
        <v>Normal</v>
      </c>
      <c r="M4" t="str">
        <f t="shared" si="1"/>
        <v>Normal</v>
      </c>
    </row>
    <row r="5" spans="1:14" x14ac:dyDescent="0.3">
      <c r="A5" t="s">
        <v>25</v>
      </c>
      <c r="B5" t="s">
        <v>26</v>
      </c>
      <c r="C5">
        <v>19</v>
      </c>
      <c r="D5" t="s">
        <v>14</v>
      </c>
      <c r="E5" t="s">
        <v>15</v>
      </c>
      <c r="F5" s="2">
        <v>46145</v>
      </c>
      <c r="G5" t="s">
        <v>27</v>
      </c>
      <c r="H5" t="s">
        <v>24</v>
      </c>
      <c r="I5" t="str">
        <f>VLOOKUP(G5,[1]Department_info!$A$2:$B$6,2,FALSE)</f>
        <v>D004</v>
      </c>
      <c r="J5" t="str">
        <f>INDEX([1]Department_info!$D$2:$D$6,MATCH(Patient_records!G5,[1]Department_info!$A$2:$A$6,0))</f>
        <v>Dr. Sharma</v>
      </c>
      <c r="K5">
        <f>INDEX([1]Department_info!$E$2:$E$6,MATCH(Patient_records!G5,[1]Department_info!$A$2:$A$6,0))</f>
        <v>35</v>
      </c>
      <c r="L5" t="str">
        <f t="shared" si="0"/>
        <v>Normal</v>
      </c>
      <c r="M5" t="str">
        <f>IF(C5 &gt;= 30, "Senior","Normal")</f>
        <v>Normal</v>
      </c>
    </row>
    <row r="6" spans="1:14" x14ac:dyDescent="0.3">
      <c r="A6" t="s">
        <v>28</v>
      </c>
      <c r="B6" t="s">
        <v>29</v>
      </c>
      <c r="C6">
        <v>20</v>
      </c>
      <c r="D6" t="s">
        <v>14</v>
      </c>
      <c r="E6" t="s">
        <v>30</v>
      </c>
      <c r="F6" s="2">
        <v>46146</v>
      </c>
      <c r="G6" t="s">
        <v>31</v>
      </c>
      <c r="H6" t="s">
        <v>17</v>
      </c>
      <c r="I6" t="str">
        <f>VLOOKUP(G6,[1]Department_info!$A$2:$B$6,2,FALSE)</f>
        <v>D003</v>
      </c>
      <c r="J6" t="str">
        <f>INDEX([1]Department_info!$D$2:$D$6,MATCH(Patient_records!G6,[1]Department_info!$A$2:$A$6,0))</f>
        <v>Dr. Kumar</v>
      </c>
      <c r="K6">
        <f>INDEX([1]Department_info!$E$2:$E$6,MATCH(Patient_records!G6,[1]Department_info!$A$2:$A$6,0))</f>
        <v>60</v>
      </c>
      <c r="L6" t="str">
        <f t="shared" si="0"/>
        <v>Normal</v>
      </c>
      <c r="M6" t="str">
        <f t="shared" si="1"/>
        <v>Normal</v>
      </c>
      <c r="N6" s="12">
        <f>COUNTIF($H$2:$H$31,"Yes")/30</f>
        <v>0.73333333333333328</v>
      </c>
    </row>
    <row r="7" spans="1:14" x14ac:dyDescent="0.3">
      <c r="A7" t="s">
        <v>32</v>
      </c>
      <c r="B7" t="s">
        <v>33</v>
      </c>
      <c r="C7">
        <v>18</v>
      </c>
      <c r="D7" t="s">
        <v>34</v>
      </c>
      <c r="E7" t="s">
        <v>30</v>
      </c>
      <c r="F7" s="2">
        <v>46147</v>
      </c>
      <c r="G7" t="s">
        <v>16</v>
      </c>
      <c r="H7" t="s">
        <v>17</v>
      </c>
      <c r="I7" t="str">
        <f>VLOOKUP(G7,[1]Department_info!$A$2:$B$6,2,FALSE)</f>
        <v>D001</v>
      </c>
      <c r="J7" t="str">
        <f>INDEX([1]Department_info!$D$2:$D$6,MATCH(Patient_records!G7,[1]Department_info!$A$2:$A$6,0))</f>
        <v>Dr. Rao</v>
      </c>
      <c r="K7">
        <f>INDEX([1]Department_info!$E$2:$E$6,MATCH(Patient_records!G7,[1]Department_info!$A$2:$A$6,0))</f>
        <v>50</v>
      </c>
      <c r="L7" t="str">
        <f t="shared" si="0"/>
        <v>Normal</v>
      </c>
      <c r="M7" t="str">
        <f t="shared" si="1"/>
        <v>Normal</v>
      </c>
      <c r="N7" s="12">
        <f>COUNTIF($H$2:$H$31,"No")/30</f>
        <v>0.26666666666666666</v>
      </c>
    </row>
    <row r="8" spans="1:14" x14ac:dyDescent="0.3">
      <c r="A8" t="s">
        <v>35</v>
      </c>
      <c r="B8" t="s">
        <v>36</v>
      </c>
      <c r="C8">
        <v>25</v>
      </c>
      <c r="D8" t="s">
        <v>14</v>
      </c>
      <c r="E8" t="s">
        <v>37</v>
      </c>
      <c r="F8" s="2">
        <v>46148</v>
      </c>
      <c r="G8" t="s">
        <v>23</v>
      </c>
      <c r="H8" t="s">
        <v>17</v>
      </c>
      <c r="I8" t="str">
        <f>VLOOKUP(G8,[1]Department_info!$A$2:$B$6,2,FALSE)</f>
        <v>D002</v>
      </c>
      <c r="J8" t="str">
        <f>INDEX([1]Department_info!$D$2:$D$6,MATCH(Patient_records!G8,[1]Department_info!$A$2:$A$6,0))</f>
        <v>Dr. Mehta</v>
      </c>
      <c r="K8">
        <f>INDEX([1]Department_info!$E$2:$E$6,MATCH(Patient_records!G8,[1]Department_info!$A$2:$A$6,0))</f>
        <v>40</v>
      </c>
      <c r="L8" t="str">
        <f t="shared" si="0"/>
        <v>Normal</v>
      </c>
      <c r="M8" t="str">
        <f t="shared" si="1"/>
        <v>Normal</v>
      </c>
    </row>
    <row r="9" spans="1:14" x14ac:dyDescent="0.3">
      <c r="A9" t="s">
        <v>38</v>
      </c>
      <c r="B9" t="s">
        <v>39</v>
      </c>
      <c r="C9">
        <v>45</v>
      </c>
      <c r="D9" t="s">
        <v>14</v>
      </c>
      <c r="E9" t="s">
        <v>40</v>
      </c>
      <c r="F9" s="2">
        <v>46149</v>
      </c>
      <c r="G9" t="s">
        <v>16</v>
      </c>
      <c r="H9" t="s">
        <v>17</v>
      </c>
      <c r="I9" t="str">
        <f>VLOOKUP(G9,[1]Department_info!$A$2:$B$6,2,FALSE)</f>
        <v>D001</v>
      </c>
      <c r="J9" t="str">
        <f>INDEX([1]Department_info!$D$2:$D$6,MATCH(Patient_records!G9,[1]Department_info!$A$2:$A$6,0))</f>
        <v>Dr. Rao</v>
      </c>
      <c r="K9">
        <f>INDEX([1]Department_info!$E$2:$E$6,MATCH(Patient_records!G9,[1]Department_info!$A$2:$A$6,0))</f>
        <v>50</v>
      </c>
      <c r="L9" t="str">
        <f t="shared" si="0"/>
        <v>Senior</v>
      </c>
      <c r="M9" t="str">
        <f t="shared" si="1"/>
        <v>Senior</v>
      </c>
      <c r="N9" s="6">
        <f>AVERAGE(C2:C31)</f>
        <v>26.833333333333332</v>
      </c>
    </row>
    <row r="10" spans="1:14" x14ac:dyDescent="0.3">
      <c r="A10" t="s">
        <v>41</v>
      </c>
      <c r="B10" t="s">
        <v>42</v>
      </c>
      <c r="C10">
        <v>22</v>
      </c>
      <c r="D10" t="s">
        <v>14</v>
      </c>
      <c r="E10" t="s">
        <v>43</v>
      </c>
      <c r="F10" s="2">
        <v>46150</v>
      </c>
      <c r="G10" t="s">
        <v>20</v>
      </c>
      <c r="H10" t="s">
        <v>17</v>
      </c>
      <c r="I10" t="str">
        <f>VLOOKUP(G10,[1]Department_info!$A$2:$B$6,2,FALSE)</f>
        <v>D005</v>
      </c>
      <c r="J10" t="str">
        <f>INDEX([1]Department_info!$D$2:$D$6,MATCH(Patient_records!G10,[1]Department_info!$A$2:$A$6,0))</f>
        <v>Dr. Reddy</v>
      </c>
      <c r="K10">
        <f>INDEX([1]Department_info!$E$2:$E$6,MATCH(Patient_records!G10,[1]Department_info!$A$2:$A$6,0))</f>
        <v>70</v>
      </c>
      <c r="L10" t="str">
        <f t="shared" si="0"/>
        <v>Normal</v>
      </c>
      <c r="M10" t="str">
        <f t="shared" si="1"/>
        <v>Normal</v>
      </c>
    </row>
    <row r="11" spans="1:14" x14ac:dyDescent="0.3">
      <c r="A11" t="s">
        <v>44</v>
      </c>
      <c r="B11" t="s">
        <v>45</v>
      </c>
      <c r="C11">
        <v>28</v>
      </c>
      <c r="D11" t="s">
        <v>14</v>
      </c>
      <c r="E11" t="s">
        <v>46</v>
      </c>
      <c r="F11" s="2">
        <v>46151</v>
      </c>
      <c r="G11" t="s">
        <v>23</v>
      </c>
      <c r="H11" t="s">
        <v>17</v>
      </c>
      <c r="I11" t="str">
        <f>VLOOKUP(G11,[1]Department_info!$A$2:$B$6,2,FALSE)</f>
        <v>D002</v>
      </c>
      <c r="J11" t="str">
        <f>INDEX([1]Department_info!$D$2:$D$6,MATCH(Patient_records!G11,[1]Department_info!$A$2:$A$6,0))</f>
        <v>Dr. Mehta</v>
      </c>
      <c r="K11">
        <f>INDEX([1]Department_info!$E$2:$E$6,MATCH(Patient_records!G11,[1]Department_info!$A$2:$A$6,0))</f>
        <v>40</v>
      </c>
      <c r="L11" t="str">
        <f t="shared" si="0"/>
        <v>Normal</v>
      </c>
      <c r="M11" t="str">
        <f t="shared" si="1"/>
        <v>Normal</v>
      </c>
    </row>
    <row r="12" spans="1:14" x14ac:dyDescent="0.3">
      <c r="A12" t="s">
        <v>47</v>
      </c>
      <c r="B12" t="s">
        <v>48</v>
      </c>
      <c r="C12">
        <v>29</v>
      </c>
      <c r="D12" t="s">
        <v>34</v>
      </c>
      <c r="E12" t="s">
        <v>49</v>
      </c>
      <c r="F12" s="2">
        <v>46152</v>
      </c>
      <c r="G12" t="s">
        <v>27</v>
      </c>
      <c r="H12" t="s">
        <v>17</v>
      </c>
      <c r="I12" t="str">
        <f>VLOOKUP(G12,[1]Department_info!$A$2:$B$6,2,FALSE)</f>
        <v>D004</v>
      </c>
      <c r="J12" t="str">
        <f>INDEX([1]Department_info!$D$2:$D$6,MATCH(Patient_records!G12,[1]Department_info!$A$2:$A$6,0))</f>
        <v>Dr. Sharma</v>
      </c>
      <c r="K12">
        <f>INDEX([1]Department_info!$E$2:$E$6,MATCH(Patient_records!G12,[1]Department_info!$A$2:$A$6,0))</f>
        <v>35</v>
      </c>
      <c r="L12" t="str">
        <f t="shared" si="0"/>
        <v>Normal</v>
      </c>
      <c r="M12" t="str">
        <f t="shared" si="1"/>
        <v>Normal</v>
      </c>
    </row>
    <row r="13" spans="1:14" x14ac:dyDescent="0.3">
      <c r="A13" t="s">
        <v>50</v>
      </c>
      <c r="B13" t="s">
        <v>51</v>
      </c>
      <c r="C13">
        <v>34</v>
      </c>
      <c r="D13" t="s">
        <v>14</v>
      </c>
      <c r="E13" t="s">
        <v>52</v>
      </c>
      <c r="F13" s="2">
        <v>46153</v>
      </c>
      <c r="G13" t="s">
        <v>31</v>
      </c>
      <c r="H13" t="s">
        <v>17</v>
      </c>
      <c r="I13" t="str">
        <f>VLOOKUP(G13,[1]Department_info!$A$2:$B$6,2,FALSE)</f>
        <v>D003</v>
      </c>
      <c r="J13" t="str">
        <f>INDEX([1]Department_info!$D$2:$D$6,MATCH(Patient_records!G13,[1]Department_info!$A$2:$A$6,0))</f>
        <v>Dr. Kumar</v>
      </c>
      <c r="K13">
        <f>INDEX([1]Department_info!$E$2:$E$6,MATCH(Patient_records!G13,[1]Department_info!$A$2:$A$6,0))</f>
        <v>60</v>
      </c>
      <c r="L13" t="str">
        <f t="shared" si="0"/>
        <v>Senior</v>
      </c>
      <c r="M13" t="str">
        <f t="shared" si="1"/>
        <v>Senior</v>
      </c>
    </row>
    <row r="14" spans="1:14" x14ac:dyDescent="0.3">
      <c r="A14" t="s">
        <v>53</v>
      </c>
      <c r="B14" t="s">
        <v>54</v>
      </c>
      <c r="C14">
        <v>22</v>
      </c>
      <c r="D14" t="s">
        <v>34</v>
      </c>
      <c r="E14" t="s">
        <v>55</v>
      </c>
      <c r="F14" s="2">
        <v>46154</v>
      </c>
      <c r="G14" t="s">
        <v>16</v>
      </c>
      <c r="H14" t="s">
        <v>17</v>
      </c>
      <c r="I14" t="str">
        <f>VLOOKUP(G14,[1]Department_info!$A$2:$B$6,2,FALSE)</f>
        <v>D001</v>
      </c>
      <c r="J14" t="str">
        <f>INDEX([1]Department_info!$D$2:$D$6,MATCH(Patient_records!G14,[1]Department_info!$A$2:$A$6,0))</f>
        <v>Dr. Rao</v>
      </c>
      <c r="K14">
        <f>INDEX([1]Department_info!$E$2:$E$6,MATCH(Patient_records!G14,[1]Department_info!$A$2:$A$6,0))</f>
        <v>50</v>
      </c>
      <c r="L14" t="str">
        <f t="shared" si="0"/>
        <v>Normal</v>
      </c>
      <c r="M14" t="str">
        <f t="shared" si="1"/>
        <v>Normal</v>
      </c>
    </row>
    <row r="15" spans="1:14" x14ac:dyDescent="0.3">
      <c r="A15" t="s">
        <v>56</v>
      </c>
      <c r="B15" t="s">
        <v>57</v>
      </c>
      <c r="C15">
        <v>30</v>
      </c>
      <c r="D15" t="s">
        <v>34</v>
      </c>
      <c r="E15" t="s">
        <v>58</v>
      </c>
      <c r="F15" s="2">
        <v>46155</v>
      </c>
      <c r="G15" t="s">
        <v>23</v>
      </c>
      <c r="H15" t="s">
        <v>17</v>
      </c>
      <c r="I15" t="str">
        <f>VLOOKUP(G15,[1]Department_info!$A$2:$B$6,2,FALSE)</f>
        <v>D002</v>
      </c>
      <c r="J15" t="str">
        <f>INDEX([1]Department_info!$D$2:$D$6,MATCH(Patient_records!G15,[1]Department_info!$A$2:$A$6,0))</f>
        <v>Dr. Mehta</v>
      </c>
      <c r="K15">
        <f>INDEX([1]Department_info!$E$2:$E$6,MATCH(Patient_records!G15,[1]Department_info!$A$2:$A$6,0))</f>
        <v>40</v>
      </c>
      <c r="L15" t="str">
        <f t="shared" si="0"/>
        <v>Normal</v>
      </c>
      <c r="M15" t="str">
        <f t="shared" si="1"/>
        <v>Senior</v>
      </c>
    </row>
    <row r="16" spans="1:14" x14ac:dyDescent="0.3">
      <c r="A16" t="s">
        <v>59</v>
      </c>
      <c r="B16" t="s">
        <v>60</v>
      </c>
      <c r="C16">
        <v>20</v>
      </c>
      <c r="D16" t="s">
        <v>34</v>
      </c>
      <c r="E16" t="s">
        <v>61</v>
      </c>
      <c r="F16" s="2">
        <v>46156</v>
      </c>
      <c r="G16" t="s">
        <v>16</v>
      </c>
      <c r="H16" t="s">
        <v>24</v>
      </c>
      <c r="I16" t="str">
        <f>VLOOKUP(G16,[1]Department_info!$A$2:$B$6,2,FALSE)</f>
        <v>D001</v>
      </c>
      <c r="J16" t="str">
        <f>INDEX([1]Department_info!$D$2:$D$6,MATCH(Patient_records!G16,[1]Department_info!$A$2:$A$6,0))</f>
        <v>Dr. Rao</v>
      </c>
      <c r="K16">
        <f>INDEX([1]Department_info!$E$2:$E$6,MATCH(Patient_records!G16,[1]Department_info!$A$2:$A$6,0))</f>
        <v>50</v>
      </c>
      <c r="L16" t="str">
        <f t="shared" si="0"/>
        <v>Normal</v>
      </c>
      <c r="M16" t="str">
        <f t="shared" si="1"/>
        <v>Normal</v>
      </c>
    </row>
    <row r="17" spans="1:13" x14ac:dyDescent="0.3">
      <c r="A17" t="s">
        <v>62</v>
      </c>
      <c r="B17" t="s">
        <v>63</v>
      </c>
      <c r="C17">
        <v>20</v>
      </c>
      <c r="D17" t="s">
        <v>34</v>
      </c>
      <c r="E17" t="s">
        <v>64</v>
      </c>
      <c r="F17" s="2">
        <v>46157</v>
      </c>
      <c r="G17" t="s">
        <v>20</v>
      </c>
      <c r="H17" t="s">
        <v>17</v>
      </c>
      <c r="I17" t="str">
        <f>VLOOKUP(G17,[1]Department_info!$A$2:$B$6,2,FALSE)</f>
        <v>D005</v>
      </c>
      <c r="J17" t="str">
        <f>INDEX([1]Department_info!$D$2:$D$6,MATCH(Patient_records!G17,[1]Department_info!$A$2:$A$6,0))</f>
        <v>Dr. Reddy</v>
      </c>
      <c r="K17">
        <f>INDEX([1]Department_info!$E$2:$E$6,MATCH(Patient_records!G17,[1]Department_info!$A$2:$A$6,0))</f>
        <v>70</v>
      </c>
      <c r="L17" t="str">
        <f t="shared" si="0"/>
        <v>Normal</v>
      </c>
      <c r="M17" t="str">
        <f t="shared" si="1"/>
        <v>Normal</v>
      </c>
    </row>
    <row r="18" spans="1:13" x14ac:dyDescent="0.3">
      <c r="A18" t="s">
        <v>65</v>
      </c>
      <c r="B18" t="s">
        <v>66</v>
      </c>
      <c r="C18">
        <v>29</v>
      </c>
      <c r="D18" t="s">
        <v>14</v>
      </c>
      <c r="E18" t="s">
        <v>64</v>
      </c>
      <c r="F18" s="2">
        <v>46158</v>
      </c>
      <c r="G18" t="s">
        <v>23</v>
      </c>
      <c r="H18" t="s">
        <v>24</v>
      </c>
      <c r="I18" t="str">
        <f>VLOOKUP(G18,[1]Department_info!$A$2:$B$6,2,FALSE)</f>
        <v>D002</v>
      </c>
      <c r="J18" t="str">
        <f>INDEX([1]Department_info!$D$2:$D$6,MATCH(Patient_records!G18,[1]Department_info!$A$2:$A$6,0))</f>
        <v>Dr. Mehta</v>
      </c>
      <c r="K18">
        <f>INDEX([1]Department_info!$E$2:$E$6,MATCH(Patient_records!G18,[1]Department_info!$A$2:$A$6,0))</f>
        <v>40</v>
      </c>
      <c r="L18" t="str">
        <f t="shared" si="0"/>
        <v>Normal</v>
      </c>
      <c r="M18" t="str">
        <f t="shared" si="1"/>
        <v>Normal</v>
      </c>
    </row>
    <row r="19" spans="1:13" x14ac:dyDescent="0.3">
      <c r="A19" t="s">
        <v>67</v>
      </c>
      <c r="B19" t="s">
        <v>68</v>
      </c>
      <c r="C19">
        <v>29</v>
      </c>
      <c r="D19" t="s">
        <v>34</v>
      </c>
      <c r="E19" t="s">
        <v>61</v>
      </c>
      <c r="F19" s="2">
        <v>46159</v>
      </c>
      <c r="G19" t="s">
        <v>27</v>
      </c>
      <c r="H19" t="s">
        <v>24</v>
      </c>
      <c r="I19" t="str">
        <f>VLOOKUP(G19,[1]Department_info!$A$2:$B$6,2,FALSE)</f>
        <v>D004</v>
      </c>
      <c r="J19" t="str">
        <f>INDEX([1]Department_info!$D$2:$D$6,MATCH(Patient_records!G19,[1]Department_info!$A$2:$A$6,0))</f>
        <v>Dr. Sharma</v>
      </c>
      <c r="K19">
        <f>INDEX([1]Department_info!$E$2:$E$6,MATCH(Patient_records!G19,[1]Department_info!$A$2:$A$6,0))</f>
        <v>35</v>
      </c>
      <c r="L19" t="str">
        <f t="shared" si="0"/>
        <v>Normal</v>
      </c>
      <c r="M19" t="str">
        <f t="shared" si="1"/>
        <v>Normal</v>
      </c>
    </row>
    <row r="20" spans="1:13" x14ac:dyDescent="0.3">
      <c r="A20" t="s">
        <v>69</v>
      </c>
      <c r="B20" t="s">
        <v>70</v>
      </c>
      <c r="C20">
        <v>20</v>
      </c>
      <c r="D20" t="s">
        <v>34</v>
      </c>
      <c r="E20" t="s">
        <v>49</v>
      </c>
      <c r="F20" s="2">
        <v>46160</v>
      </c>
      <c r="G20" t="s">
        <v>31</v>
      </c>
      <c r="H20" t="s">
        <v>17</v>
      </c>
      <c r="I20" t="str">
        <f>VLOOKUP(G20,[1]Department_info!$A$2:$B$6,2,FALSE)</f>
        <v>D003</v>
      </c>
      <c r="J20" t="str">
        <f>INDEX([1]Department_info!$D$2:$D$6,MATCH(Patient_records!G20,[1]Department_info!$A$2:$A$6,0))</f>
        <v>Dr. Kumar</v>
      </c>
      <c r="K20">
        <f>INDEX([1]Department_info!$E$2:$E$6,MATCH(Patient_records!G20,[1]Department_info!$A$2:$A$6,0))</f>
        <v>60</v>
      </c>
      <c r="L20" t="str">
        <f t="shared" si="0"/>
        <v>Normal</v>
      </c>
      <c r="M20" t="str">
        <f t="shared" si="1"/>
        <v>Normal</v>
      </c>
    </row>
    <row r="21" spans="1:13" x14ac:dyDescent="0.3">
      <c r="A21" t="s">
        <v>71</v>
      </c>
      <c r="B21" t="s">
        <v>72</v>
      </c>
      <c r="C21">
        <v>29</v>
      </c>
      <c r="D21" t="s">
        <v>14</v>
      </c>
      <c r="E21" t="s">
        <v>73</v>
      </c>
      <c r="F21" s="2">
        <v>46161</v>
      </c>
      <c r="G21" t="s">
        <v>16</v>
      </c>
      <c r="H21" t="s">
        <v>24</v>
      </c>
      <c r="I21" t="str">
        <f>VLOOKUP(G21,[1]Department_info!$A$2:$B$6,2,FALSE)</f>
        <v>D001</v>
      </c>
      <c r="J21" t="str">
        <f>INDEX([1]Department_info!$D$2:$D$6,MATCH(Patient_records!G21,[1]Department_info!$A$2:$A$6,0))</f>
        <v>Dr. Rao</v>
      </c>
      <c r="K21">
        <f>INDEX([1]Department_info!$E$2:$E$6,MATCH(Patient_records!G21,[1]Department_info!$A$2:$A$6,0))</f>
        <v>50</v>
      </c>
      <c r="L21" t="str">
        <f t="shared" si="0"/>
        <v>Normal</v>
      </c>
      <c r="M21" t="str">
        <f t="shared" si="1"/>
        <v>Normal</v>
      </c>
    </row>
    <row r="22" spans="1:13" x14ac:dyDescent="0.3">
      <c r="A22" t="s">
        <v>74</v>
      </c>
      <c r="B22" t="s">
        <v>75</v>
      </c>
      <c r="C22">
        <v>28</v>
      </c>
      <c r="D22" t="s">
        <v>14</v>
      </c>
      <c r="E22" t="s">
        <v>76</v>
      </c>
      <c r="F22" s="2">
        <v>46162</v>
      </c>
      <c r="G22" t="s">
        <v>23</v>
      </c>
      <c r="H22" t="s">
        <v>17</v>
      </c>
      <c r="I22" t="str">
        <f>VLOOKUP(G22,[1]Department_info!$A$2:$B$6,2,FALSE)</f>
        <v>D002</v>
      </c>
      <c r="J22" t="str">
        <f>INDEX([1]Department_info!$D$2:$D$6,MATCH(Patient_records!G22,[1]Department_info!$A$2:$A$6,0))</f>
        <v>Dr. Mehta</v>
      </c>
      <c r="K22">
        <f>INDEX([1]Department_info!$E$2:$E$6,MATCH(Patient_records!G22,[1]Department_info!$A$2:$A$6,0))</f>
        <v>40</v>
      </c>
      <c r="L22" t="str">
        <f t="shared" si="0"/>
        <v>Normal</v>
      </c>
      <c r="M22" t="str">
        <f t="shared" si="1"/>
        <v>Normal</v>
      </c>
    </row>
    <row r="23" spans="1:13" x14ac:dyDescent="0.3">
      <c r="A23" t="s">
        <v>77</v>
      </c>
      <c r="B23" t="s">
        <v>78</v>
      </c>
      <c r="C23">
        <v>45</v>
      </c>
      <c r="D23" t="s">
        <v>14</v>
      </c>
      <c r="E23" t="s">
        <v>79</v>
      </c>
      <c r="F23" s="2">
        <v>46163</v>
      </c>
      <c r="G23" t="s">
        <v>16</v>
      </c>
      <c r="H23" t="s">
        <v>17</v>
      </c>
      <c r="I23" t="str">
        <f>VLOOKUP(G23,[1]Department_info!$A$2:$B$6,2,FALSE)</f>
        <v>D001</v>
      </c>
      <c r="J23" t="str">
        <f>INDEX([1]Department_info!$D$2:$D$6,MATCH(Patient_records!G23,[1]Department_info!$A$2:$A$6,0))</f>
        <v>Dr. Rao</v>
      </c>
      <c r="K23">
        <f>INDEX([1]Department_info!$E$2:$E$6,MATCH(Patient_records!G23,[1]Department_info!$A$2:$A$6,0))</f>
        <v>50</v>
      </c>
      <c r="L23" t="str">
        <f t="shared" si="0"/>
        <v>Senior</v>
      </c>
      <c r="M23" t="str">
        <f t="shared" si="1"/>
        <v>Senior</v>
      </c>
    </row>
    <row r="24" spans="1:13" x14ac:dyDescent="0.3">
      <c r="A24" t="s">
        <v>80</v>
      </c>
      <c r="B24" t="s">
        <v>81</v>
      </c>
      <c r="C24">
        <v>34</v>
      </c>
      <c r="D24" t="s">
        <v>34</v>
      </c>
      <c r="E24" t="s">
        <v>15</v>
      </c>
      <c r="F24" s="2">
        <v>46164</v>
      </c>
      <c r="G24" t="s">
        <v>20</v>
      </c>
      <c r="H24" t="s">
        <v>17</v>
      </c>
      <c r="I24" t="str">
        <f>VLOOKUP(G24,[1]Department_info!$A$2:$B$6,2,FALSE)</f>
        <v>D005</v>
      </c>
      <c r="J24" t="str">
        <f>INDEX([1]Department_info!$D$2:$D$6,MATCH(Patient_records!G24,[1]Department_info!$A$2:$A$6,0))</f>
        <v>Dr. Reddy</v>
      </c>
      <c r="K24">
        <f>INDEX([1]Department_info!$E$2:$E$6,MATCH(Patient_records!G24,[1]Department_info!$A$2:$A$6,0))</f>
        <v>70</v>
      </c>
      <c r="L24" t="str">
        <f t="shared" si="0"/>
        <v>Senior</v>
      </c>
      <c r="M24" t="str">
        <f t="shared" si="1"/>
        <v>Senior</v>
      </c>
    </row>
    <row r="25" spans="1:13" x14ac:dyDescent="0.3">
      <c r="A25" t="s">
        <v>82</v>
      </c>
      <c r="B25" t="s">
        <v>83</v>
      </c>
      <c r="C25">
        <v>22</v>
      </c>
      <c r="D25" t="s">
        <v>14</v>
      </c>
      <c r="E25" t="s">
        <v>15</v>
      </c>
      <c r="F25" s="2">
        <v>46165</v>
      </c>
      <c r="G25" t="s">
        <v>23</v>
      </c>
      <c r="H25" t="s">
        <v>24</v>
      </c>
      <c r="I25" t="str">
        <f>VLOOKUP(G25,[1]Department_info!$A$2:$B$6,2,FALSE)</f>
        <v>D002</v>
      </c>
      <c r="J25" t="str">
        <f>INDEX([1]Department_info!$D$2:$D$6,MATCH(Patient_records!G25,[1]Department_info!$A$2:$A$6,0))</f>
        <v>Dr. Mehta</v>
      </c>
      <c r="K25">
        <f>INDEX([1]Department_info!$E$2:$E$6,MATCH(Patient_records!G25,[1]Department_info!$A$2:$A$6,0))</f>
        <v>40</v>
      </c>
      <c r="L25" t="str">
        <f t="shared" si="0"/>
        <v>Normal</v>
      </c>
      <c r="M25" t="str">
        <f t="shared" si="1"/>
        <v>Normal</v>
      </c>
    </row>
    <row r="26" spans="1:13" x14ac:dyDescent="0.3">
      <c r="A26" t="s">
        <v>84</v>
      </c>
      <c r="B26" t="s">
        <v>60</v>
      </c>
      <c r="C26">
        <v>24</v>
      </c>
      <c r="D26" t="s">
        <v>34</v>
      </c>
      <c r="E26" t="s">
        <v>15</v>
      </c>
      <c r="F26" s="2">
        <v>46166</v>
      </c>
      <c r="G26" t="s">
        <v>27</v>
      </c>
      <c r="H26" t="s">
        <v>24</v>
      </c>
      <c r="I26" t="str">
        <f>VLOOKUP(G26,[1]Department_info!$A$2:$B$6,2,FALSE)</f>
        <v>D004</v>
      </c>
      <c r="J26" t="str">
        <f>INDEX([1]Department_info!$D$2:$D$6,MATCH(Patient_records!G26,[1]Department_info!$A$2:$A$6,0))</f>
        <v>Dr. Sharma</v>
      </c>
      <c r="K26">
        <f>INDEX([1]Department_info!$E$2:$E$6,MATCH(Patient_records!G26,[1]Department_info!$A$2:$A$6,0))</f>
        <v>35</v>
      </c>
      <c r="L26" t="str">
        <f t="shared" si="0"/>
        <v>Normal</v>
      </c>
      <c r="M26" t="str">
        <f t="shared" si="1"/>
        <v>Normal</v>
      </c>
    </row>
    <row r="27" spans="1:13" x14ac:dyDescent="0.3">
      <c r="A27" t="s">
        <v>85</v>
      </c>
      <c r="B27" t="s">
        <v>86</v>
      </c>
      <c r="C27">
        <v>34</v>
      </c>
      <c r="D27" t="s">
        <v>14</v>
      </c>
      <c r="E27" t="s">
        <v>43</v>
      </c>
      <c r="F27" s="2">
        <v>46167</v>
      </c>
      <c r="G27" t="s">
        <v>31</v>
      </c>
      <c r="H27" t="s">
        <v>17</v>
      </c>
      <c r="I27" t="str">
        <f>VLOOKUP(G27,[1]Department_info!$A$2:$B$6,2,FALSE)</f>
        <v>D003</v>
      </c>
      <c r="J27" t="str">
        <f>INDEX([1]Department_info!$D$2:$D$6,MATCH(Patient_records!G27,[1]Department_info!$A$2:$A$6,0))</f>
        <v>Dr. Kumar</v>
      </c>
      <c r="K27">
        <f>INDEX([1]Department_info!$E$2:$E$6,MATCH(Patient_records!G27,[1]Department_info!$A$2:$A$6,0))</f>
        <v>60</v>
      </c>
      <c r="L27" t="str">
        <f t="shared" si="0"/>
        <v>Senior</v>
      </c>
      <c r="M27" t="str">
        <f t="shared" si="1"/>
        <v>Senior</v>
      </c>
    </row>
    <row r="28" spans="1:13" x14ac:dyDescent="0.3">
      <c r="A28" t="s">
        <v>87</v>
      </c>
      <c r="B28" t="s">
        <v>88</v>
      </c>
      <c r="C28">
        <v>23</v>
      </c>
      <c r="D28" t="s">
        <v>14</v>
      </c>
      <c r="E28" t="s">
        <v>89</v>
      </c>
      <c r="F28" s="2">
        <v>46168</v>
      </c>
      <c r="G28" t="s">
        <v>16</v>
      </c>
      <c r="H28" t="s">
        <v>17</v>
      </c>
      <c r="I28" t="str">
        <f>VLOOKUP(G28,[1]Department_info!$A$2:$B$6,2,FALSE)</f>
        <v>D001</v>
      </c>
      <c r="J28" t="str">
        <f>INDEX([1]Department_info!$D$2:$D$6,MATCH(Patient_records!G28,[1]Department_info!$A$2:$A$6,0))</f>
        <v>Dr. Rao</v>
      </c>
      <c r="K28">
        <f>INDEX([1]Department_info!$E$2:$E$6,MATCH(Patient_records!G28,[1]Department_info!$A$2:$A$6,0))</f>
        <v>50</v>
      </c>
      <c r="L28" t="str">
        <f t="shared" si="0"/>
        <v>Normal</v>
      </c>
      <c r="M28" t="str">
        <f t="shared" si="1"/>
        <v>Normal</v>
      </c>
    </row>
    <row r="29" spans="1:13" x14ac:dyDescent="0.3">
      <c r="A29" t="s">
        <v>90</v>
      </c>
      <c r="B29" t="s">
        <v>91</v>
      </c>
      <c r="C29">
        <v>34</v>
      </c>
      <c r="D29" t="s">
        <v>14</v>
      </c>
      <c r="E29" t="s">
        <v>92</v>
      </c>
      <c r="F29" s="2">
        <v>46169</v>
      </c>
      <c r="G29" t="s">
        <v>23</v>
      </c>
      <c r="H29" t="s">
        <v>17</v>
      </c>
      <c r="I29" t="str">
        <f>VLOOKUP(G29,[1]Department_info!$A$2:$B$6,2,FALSE)</f>
        <v>D002</v>
      </c>
      <c r="J29" t="str">
        <f>INDEX([1]Department_info!$D$2:$D$6,MATCH(Patient_records!G29,[1]Department_info!$A$2:$A$6,0))</f>
        <v>Dr. Mehta</v>
      </c>
      <c r="K29">
        <f>INDEX([1]Department_info!$E$2:$E$6,MATCH(Patient_records!G29,[1]Department_info!$A$2:$A$6,0))</f>
        <v>40</v>
      </c>
      <c r="L29" t="str">
        <f t="shared" si="0"/>
        <v>Senior</v>
      </c>
      <c r="M29" t="str">
        <f t="shared" si="1"/>
        <v>Senior</v>
      </c>
    </row>
    <row r="30" spans="1:13" x14ac:dyDescent="0.3">
      <c r="A30" t="s">
        <v>93</v>
      </c>
      <c r="B30" t="s">
        <v>94</v>
      </c>
      <c r="C30">
        <v>28</v>
      </c>
      <c r="D30" t="s">
        <v>34</v>
      </c>
      <c r="E30" t="s">
        <v>95</v>
      </c>
      <c r="F30" s="2">
        <v>46170</v>
      </c>
      <c r="G30" t="s">
        <v>16</v>
      </c>
      <c r="H30" t="s">
        <v>17</v>
      </c>
      <c r="I30" t="str">
        <f>VLOOKUP(G30,[1]Department_info!$A$2:$B$6,2,FALSE)</f>
        <v>D001</v>
      </c>
      <c r="J30" t="str">
        <f>INDEX([1]Department_info!$D$2:$D$6,MATCH(Patient_records!G30,[1]Department_info!$A$2:$A$6,0))</f>
        <v>Dr. Rao</v>
      </c>
      <c r="K30">
        <f>INDEX([1]Department_info!$E$2:$E$6,MATCH(Patient_records!G30,[1]Department_info!$A$2:$A$6,0))</f>
        <v>50</v>
      </c>
      <c r="L30" t="str">
        <f t="shared" si="0"/>
        <v>Normal</v>
      </c>
      <c r="M30" t="str">
        <f t="shared" si="1"/>
        <v>Normal</v>
      </c>
    </row>
    <row r="31" spans="1:13" x14ac:dyDescent="0.3">
      <c r="A31" t="s">
        <v>96</v>
      </c>
      <c r="B31" t="s">
        <v>97</v>
      </c>
      <c r="C31">
        <v>22</v>
      </c>
      <c r="D31" t="s">
        <v>14</v>
      </c>
      <c r="E31" t="s">
        <v>98</v>
      </c>
      <c r="F31" s="2">
        <v>46171</v>
      </c>
      <c r="G31" t="s">
        <v>20</v>
      </c>
      <c r="H31" t="s">
        <v>17</v>
      </c>
      <c r="I31" t="str">
        <f>VLOOKUP(G31,[1]Department_info!$A$2:$B$6,2,FALSE)</f>
        <v>D005</v>
      </c>
      <c r="J31" t="str">
        <f>INDEX([1]Department_info!$D$2:$D$6,MATCH(Patient_records!G31,[1]Department_info!$A$2:$A$6,0))</f>
        <v>Dr. Reddy</v>
      </c>
      <c r="K31">
        <f>INDEX([1]Department_info!$E$2:$E$6,MATCH(Patient_records!G31,[1]Department_info!$A$2:$A$6,0))</f>
        <v>70</v>
      </c>
      <c r="L31" t="str">
        <f t="shared" si="0"/>
        <v>Normal</v>
      </c>
      <c r="M31" t="str">
        <f t="shared" si="1"/>
        <v>Normal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1B9D4A-03C2-4439-9E61-AF08D9C4632E}">
  <dimension ref="A1:I6"/>
  <sheetViews>
    <sheetView workbookViewId="0">
      <selection activeCell="F12" sqref="F12"/>
    </sheetView>
  </sheetViews>
  <sheetFormatPr defaultRowHeight="14.4" x14ac:dyDescent="0.3"/>
  <cols>
    <col min="1" max="1" width="17.44140625" customWidth="1"/>
    <col min="2" max="2" width="18.44140625" customWidth="1"/>
    <col min="3" max="3" width="9.21875" customWidth="1"/>
    <col min="4" max="4" width="13.6640625" customWidth="1"/>
    <col min="5" max="5" width="12" customWidth="1"/>
    <col min="6" max="6" width="22.6640625" customWidth="1"/>
    <col min="7" max="7" width="33.88671875" customWidth="1"/>
    <col min="8" max="8" width="18.33203125" customWidth="1"/>
    <col min="9" max="9" width="16.109375" customWidth="1"/>
  </cols>
  <sheetData>
    <row r="1" spans="1:9" ht="45" customHeight="1" x14ac:dyDescent="0.3">
      <c r="A1" s="3" t="s">
        <v>99</v>
      </c>
      <c r="B1" s="3" t="s">
        <v>100</v>
      </c>
      <c r="C1" s="3" t="s">
        <v>101</v>
      </c>
      <c r="D1" s="3" t="s">
        <v>9</v>
      </c>
      <c r="E1" s="3" t="s">
        <v>10</v>
      </c>
      <c r="F1" s="3" t="s">
        <v>102</v>
      </c>
      <c r="G1" s="3" t="s">
        <v>103</v>
      </c>
      <c r="H1" s="4" t="s">
        <v>104</v>
      </c>
      <c r="I1" s="4" t="s">
        <v>105</v>
      </c>
    </row>
    <row r="2" spans="1:9" ht="21" customHeight="1" x14ac:dyDescent="0.3">
      <c r="A2" s="5" t="s">
        <v>16</v>
      </c>
      <c r="B2" s="5" t="s">
        <v>106</v>
      </c>
      <c r="C2" s="5">
        <v>2</v>
      </c>
      <c r="D2" s="5" t="s">
        <v>107</v>
      </c>
      <c r="E2" s="5">
        <v>50</v>
      </c>
      <c r="F2">
        <f>COUNTIF([1]Patient_records!$J$2:$J$31,Department_info!D2)</f>
        <v>9</v>
      </c>
      <c r="G2" s="6">
        <f>AVERAGEIF([1]Patient_records!$G$2:$G$31,Department_info!A2,[1]Patient_records!$C$2:$C$31)</f>
        <v>28.666666666666668</v>
      </c>
      <c r="H2" s="6">
        <f>COUNTIF([1]Patient_records!$G$2:$G$31,Department_info!A2) / Department_info!E2</f>
        <v>0.18</v>
      </c>
      <c r="I2" t="str">
        <f>IF(H2&gt;0.8,"Over Capacity","Normal")</f>
        <v>Normal</v>
      </c>
    </row>
    <row r="3" spans="1:9" ht="28.8" customHeight="1" x14ac:dyDescent="0.3">
      <c r="A3" s="5" t="s">
        <v>23</v>
      </c>
      <c r="B3" s="5" t="s">
        <v>108</v>
      </c>
      <c r="C3" s="5">
        <v>3</v>
      </c>
      <c r="D3" s="5" t="s">
        <v>109</v>
      </c>
      <c r="E3" s="5">
        <v>40</v>
      </c>
      <c r="F3">
        <f>COUNTIF([1]Patient_records!$J$2:$J$31,Department_info!D3)</f>
        <v>8</v>
      </c>
      <c r="G3" s="6">
        <f>AVERAGEIF([1]Patient_records!$G$2:$G$31,Department_info!A3,[1]Patient_records!$C$2:$C$31)</f>
        <v>27.25</v>
      </c>
      <c r="H3" s="6">
        <f>COUNTIF([1]Patient_records!$G$2:$G$31,Department_info!A3) / Department_info!E3</f>
        <v>0.2</v>
      </c>
      <c r="I3" t="str">
        <f>IF(H3&gt;0.8,"Over Capacity","Normal")</f>
        <v>Normal</v>
      </c>
    </row>
    <row r="4" spans="1:9" ht="28.8" customHeight="1" x14ac:dyDescent="0.3">
      <c r="A4" s="5" t="s">
        <v>31</v>
      </c>
      <c r="B4" s="5" t="s">
        <v>110</v>
      </c>
      <c r="C4" s="5">
        <v>1</v>
      </c>
      <c r="D4" s="5" t="s">
        <v>111</v>
      </c>
      <c r="E4" s="5">
        <v>60</v>
      </c>
      <c r="F4">
        <f>COUNTIF([1]Patient_records!$J$2:$J$31,Department_info!D4)</f>
        <v>4</v>
      </c>
      <c r="G4" s="6">
        <f>AVERAGEIF([1]Patient_records!$G$2:$G$31,Department_info!A4,[1]Patient_records!$C$2:$C$31)</f>
        <v>27</v>
      </c>
      <c r="H4" s="6">
        <f>COUNTIF([1]Patient_records!$G$2:$G$31,Department_info!A4) / Department_info!E4</f>
        <v>6.6666666666666666E-2</v>
      </c>
      <c r="I4" t="str">
        <f>IF(H4&gt;0.8,"Over Capacity","Normal")</f>
        <v>Normal</v>
      </c>
    </row>
    <row r="5" spans="1:9" ht="28.8" customHeight="1" x14ac:dyDescent="0.3">
      <c r="A5" s="5" t="s">
        <v>27</v>
      </c>
      <c r="B5" s="5" t="s">
        <v>112</v>
      </c>
      <c r="C5" s="5">
        <v>4</v>
      </c>
      <c r="D5" s="5" t="s">
        <v>113</v>
      </c>
      <c r="E5" s="5">
        <v>35</v>
      </c>
      <c r="F5">
        <f>COUNTIF([1]Patient_records!$J$2:$J$31,Department_info!D5)</f>
        <v>4</v>
      </c>
      <c r="G5" s="6">
        <f>AVERAGEIF([1]Patient_records!$G$2:$G$31,Department_info!A5,[1]Patient_records!$C$2:$C$31)</f>
        <v>25.25</v>
      </c>
      <c r="H5" s="6">
        <f>COUNTIF([1]Patient_records!$G$2:$G$31,Department_info!A5) / Department_info!E5</f>
        <v>0.11428571428571428</v>
      </c>
      <c r="I5" t="str">
        <f>IF(H5&gt;0.8,"Over Capacity","Normal")</f>
        <v>Normal</v>
      </c>
    </row>
    <row r="6" spans="1:9" ht="28.8" customHeight="1" x14ac:dyDescent="0.3">
      <c r="A6" s="5" t="s">
        <v>20</v>
      </c>
      <c r="B6" s="5" t="s">
        <v>114</v>
      </c>
      <c r="C6" s="5">
        <v>0</v>
      </c>
      <c r="D6" s="5" t="s">
        <v>115</v>
      </c>
      <c r="E6" s="5">
        <v>70</v>
      </c>
      <c r="F6">
        <f>COUNTIF([1]Patient_records!$J$2:$J$31,Department_info!D6)</f>
        <v>5</v>
      </c>
      <c r="G6" s="6">
        <f>AVERAGEIF([1]Patient_records!$G$2:$G$31,Department_info!A6,[1]Patient_records!$C$2:$C$31)</f>
        <v>24</v>
      </c>
      <c r="H6" s="6">
        <f>COUNTIF([1]Patient_records!$G$2:$G$31,Department_info!A6) / Department_info!E6</f>
        <v>7.1428571428571425E-2</v>
      </c>
      <c r="I6" t="str">
        <f>IF(H6&gt;0.8,"Over Capacity","Normal")</f>
        <v>Normal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804E98-8737-4854-9D9B-B264A317EE69}">
  <dimension ref="A4:T74"/>
  <sheetViews>
    <sheetView topLeftCell="A51" workbookViewId="0">
      <selection activeCell="A55" sqref="A55:B60"/>
    </sheetView>
  </sheetViews>
  <sheetFormatPr defaultRowHeight="14.4" x14ac:dyDescent="0.3"/>
  <cols>
    <col min="1" max="1" width="12.5546875" bestFit="1" customWidth="1"/>
    <col min="2" max="2" width="17.21875" bestFit="1" customWidth="1"/>
    <col min="3" max="3" width="3.77734375" bestFit="1" customWidth="1"/>
    <col min="4" max="4" width="10.77734375" bestFit="1" customWidth="1"/>
    <col min="5" max="5" width="17.21875" bestFit="1" customWidth="1"/>
    <col min="6" max="6" width="15.5546875" bestFit="1" customWidth="1"/>
    <col min="7" max="7" width="7" bestFit="1" customWidth="1"/>
    <col min="8" max="8" width="10.77734375" bestFit="1" customWidth="1"/>
    <col min="10" max="10" width="12.5546875" bestFit="1" customWidth="1"/>
    <col min="11" max="11" width="17.21875" bestFit="1" customWidth="1"/>
    <col min="12" max="12" width="7" bestFit="1" customWidth="1"/>
    <col min="15" max="15" width="13.77734375" bestFit="1" customWidth="1"/>
    <col min="16" max="16" width="22.21875" bestFit="1" customWidth="1"/>
    <col min="17" max="17" width="10.33203125" bestFit="1" customWidth="1"/>
    <col min="18" max="18" width="9.77734375" bestFit="1" customWidth="1"/>
    <col min="19" max="19" width="11.21875" bestFit="1" customWidth="1"/>
    <col min="20" max="20" width="9.109375" bestFit="1" customWidth="1"/>
  </cols>
  <sheetData>
    <row r="4" spans="1:20" x14ac:dyDescent="0.3">
      <c r="A4" s="9" t="s">
        <v>119</v>
      </c>
      <c r="B4" t="s">
        <v>121</v>
      </c>
      <c r="E4" s="9" t="s">
        <v>121</v>
      </c>
      <c r="F4" s="9" t="s">
        <v>120</v>
      </c>
      <c r="J4" s="9" t="s">
        <v>121</v>
      </c>
      <c r="K4" s="9" t="s">
        <v>120</v>
      </c>
      <c r="O4" s="9" t="s">
        <v>121</v>
      </c>
      <c r="P4" s="9" t="s">
        <v>120</v>
      </c>
    </row>
    <row r="5" spans="1:20" x14ac:dyDescent="0.3">
      <c r="A5" s="8" t="s">
        <v>16</v>
      </c>
      <c r="B5" s="13">
        <v>9</v>
      </c>
      <c r="E5" s="9" t="s">
        <v>119</v>
      </c>
      <c r="F5" t="s">
        <v>24</v>
      </c>
      <c r="G5" t="s">
        <v>17</v>
      </c>
      <c r="J5" s="9" t="s">
        <v>119</v>
      </c>
      <c r="K5" t="s">
        <v>24</v>
      </c>
      <c r="L5" t="s">
        <v>17</v>
      </c>
      <c r="O5" s="9" t="s">
        <v>119</v>
      </c>
      <c r="P5" t="s">
        <v>16</v>
      </c>
      <c r="Q5" t="s">
        <v>20</v>
      </c>
      <c r="R5" t="s">
        <v>23</v>
      </c>
      <c r="S5" t="s">
        <v>31</v>
      </c>
      <c r="T5" t="s">
        <v>27</v>
      </c>
    </row>
    <row r="6" spans="1:20" x14ac:dyDescent="0.3">
      <c r="A6" s="8" t="s">
        <v>23</v>
      </c>
      <c r="B6" s="13">
        <v>8</v>
      </c>
      <c r="E6" s="8" t="s">
        <v>16</v>
      </c>
      <c r="F6" s="10">
        <v>6.6666666666666666E-2</v>
      </c>
      <c r="G6" s="10">
        <v>0.23333333333333334</v>
      </c>
      <c r="J6" s="8" t="s">
        <v>16</v>
      </c>
      <c r="K6" s="10">
        <v>6.6666666666666666E-2</v>
      </c>
      <c r="L6" s="10">
        <v>0.23333333333333334</v>
      </c>
      <c r="O6" s="8" t="s">
        <v>40</v>
      </c>
      <c r="P6">
        <v>1</v>
      </c>
    </row>
    <row r="7" spans="1:20" x14ac:dyDescent="0.3">
      <c r="A7" s="8" t="s">
        <v>20</v>
      </c>
      <c r="B7" s="13">
        <v>5</v>
      </c>
      <c r="E7" s="8" t="s">
        <v>20</v>
      </c>
      <c r="F7" s="10">
        <v>0</v>
      </c>
      <c r="G7" s="10">
        <v>0.16666666666666666</v>
      </c>
      <c r="J7" s="8" t="s">
        <v>20</v>
      </c>
      <c r="K7" s="10">
        <v>0</v>
      </c>
      <c r="L7" s="10">
        <v>0.16666666666666666</v>
      </c>
      <c r="O7" s="8" t="s">
        <v>37</v>
      </c>
      <c r="R7">
        <v>1</v>
      </c>
    </row>
    <row r="8" spans="1:20" x14ac:dyDescent="0.3">
      <c r="A8" s="8" t="s">
        <v>27</v>
      </c>
      <c r="B8" s="13">
        <v>4</v>
      </c>
      <c r="E8" s="8" t="s">
        <v>23</v>
      </c>
      <c r="F8" s="10">
        <v>0.1</v>
      </c>
      <c r="G8" s="10">
        <v>0.16666666666666666</v>
      </c>
      <c r="J8" s="8" t="s">
        <v>23</v>
      </c>
      <c r="K8" s="10">
        <v>0.1</v>
      </c>
      <c r="L8" s="10">
        <v>0.16666666666666666</v>
      </c>
      <c r="O8" s="8" t="s">
        <v>79</v>
      </c>
      <c r="P8">
        <v>1</v>
      </c>
    </row>
    <row r="9" spans="1:20" x14ac:dyDescent="0.3">
      <c r="A9" s="8" t="s">
        <v>31</v>
      </c>
      <c r="B9" s="13">
        <v>4</v>
      </c>
      <c r="E9" s="8" t="s">
        <v>31</v>
      </c>
      <c r="F9" s="10">
        <v>0</v>
      </c>
      <c r="G9" s="10">
        <v>0.13333333333333333</v>
      </c>
      <c r="J9" s="8" t="s">
        <v>31</v>
      </c>
      <c r="K9" s="10">
        <v>0</v>
      </c>
      <c r="L9" s="10">
        <v>0.13333333333333333</v>
      </c>
      <c r="O9" s="8" t="s">
        <v>98</v>
      </c>
      <c r="Q9">
        <v>1</v>
      </c>
    </row>
    <row r="10" spans="1:20" x14ac:dyDescent="0.3">
      <c r="A10" s="8" t="s">
        <v>116</v>
      </c>
      <c r="B10" s="13">
        <v>30</v>
      </c>
      <c r="E10" s="8" t="s">
        <v>27</v>
      </c>
      <c r="F10" s="10">
        <v>0.1</v>
      </c>
      <c r="G10" s="10">
        <v>3.3333333333333333E-2</v>
      </c>
      <c r="J10" s="8" t="s">
        <v>27</v>
      </c>
      <c r="K10" s="10">
        <v>0.1</v>
      </c>
      <c r="L10" s="10">
        <v>3.3333333333333333E-2</v>
      </c>
      <c r="O10" s="8" t="s">
        <v>43</v>
      </c>
      <c r="Q10">
        <v>1</v>
      </c>
      <c r="S10">
        <v>1</v>
      </c>
    </row>
    <row r="11" spans="1:20" x14ac:dyDescent="0.3">
      <c r="E11" s="8" t="s">
        <v>116</v>
      </c>
      <c r="F11" s="10">
        <v>0.26666666666666666</v>
      </c>
      <c r="G11" s="10">
        <v>0.73333333333333328</v>
      </c>
      <c r="J11" s="8" t="s">
        <v>116</v>
      </c>
      <c r="K11" s="10">
        <v>0.26666666666666666</v>
      </c>
      <c r="L11" s="10">
        <v>0.73333333333333328</v>
      </c>
      <c r="O11" s="8" t="s">
        <v>30</v>
      </c>
      <c r="P11">
        <v>1</v>
      </c>
      <c r="S11">
        <v>1</v>
      </c>
    </row>
    <row r="12" spans="1:20" x14ac:dyDescent="0.3">
      <c r="O12" s="8" t="s">
        <v>55</v>
      </c>
      <c r="P12">
        <v>1</v>
      </c>
    </row>
    <row r="13" spans="1:20" x14ac:dyDescent="0.3">
      <c r="O13" s="8" t="s">
        <v>58</v>
      </c>
      <c r="R13">
        <v>1</v>
      </c>
    </row>
    <row r="14" spans="1:20" x14ac:dyDescent="0.3">
      <c r="O14" s="8" t="s">
        <v>15</v>
      </c>
      <c r="P14">
        <v>1</v>
      </c>
      <c r="Q14">
        <v>2</v>
      </c>
      <c r="R14">
        <v>2</v>
      </c>
      <c r="T14">
        <v>2</v>
      </c>
    </row>
    <row r="15" spans="1:20" x14ac:dyDescent="0.3">
      <c r="J15" s="9" t="s">
        <v>0</v>
      </c>
      <c r="K15" t="s">
        <v>126</v>
      </c>
      <c r="O15" s="8" t="s">
        <v>46</v>
      </c>
      <c r="R15">
        <v>1</v>
      </c>
    </row>
    <row r="16" spans="1:20" x14ac:dyDescent="0.3">
      <c r="O16" s="8" t="s">
        <v>61</v>
      </c>
      <c r="P16">
        <v>1</v>
      </c>
      <c r="T16">
        <v>1</v>
      </c>
    </row>
    <row r="17" spans="1:20" x14ac:dyDescent="0.3">
      <c r="A17" s="9" t="s">
        <v>119</v>
      </c>
      <c r="B17" t="s">
        <v>125</v>
      </c>
      <c r="E17" s="9" t="s">
        <v>124</v>
      </c>
      <c r="F17" t="s">
        <v>121</v>
      </c>
      <c r="J17" s="9" t="s">
        <v>119</v>
      </c>
      <c r="K17" t="s">
        <v>121</v>
      </c>
      <c r="O17" s="8" t="s">
        <v>52</v>
      </c>
      <c r="S17">
        <v>1</v>
      </c>
    </row>
    <row r="18" spans="1:20" x14ac:dyDescent="0.3">
      <c r="A18" s="8" t="s">
        <v>16</v>
      </c>
      <c r="B18" s="6">
        <v>28.666666666666668</v>
      </c>
      <c r="E18" s="8" t="s">
        <v>123</v>
      </c>
      <c r="F18" s="7">
        <v>29</v>
      </c>
      <c r="J18" s="8" t="s">
        <v>16</v>
      </c>
      <c r="K18" s="7">
        <v>9</v>
      </c>
      <c r="O18" s="8" t="s">
        <v>49</v>
      </c>
      <c r="S18">
        <v>1</v>
      </c>
      <c r="T18">
        <v>1</v>
      </c>
    </row>
    <row r="19" spans="1:20" x14ac:dyDescent="0.3">
      <c r="A19" s="8" t="s">
        <v>20</v>
      </c>
      <c r="B19" s="6">
        <v>24</v>
      </c>
      <c r="E19" s="8" t="s">
        <v>122</v>
      </c>
      <c r="F19" s="7">
        <v>1</v>
      </c>
      <c r="J19" s="8" t="s">
        <v>23</v>
      </c>
      <c r="K19" s="7">
        <v>8</v>
      </c>
      <c r="O19" s="8" t="s">
        <v>95</v>
      </c>
      <c r="P19">
        <v>1</v>
      </c>
    </row>
    <row r="20" spans="1:20" x14ac:dyDescent="0.3">
      <c r="A20" s="8" t="s">
        <v>23</v>
      </c>
      <c r="B20" s="6">
        <v>27.25</v>
      </c>
      <c r="E20" s="8" t="s">
        <v>116</v>
      </c>
      <c r="F20" s="7">
        <v>30</v>
      </c>
      <c r="J20" s="8" t="s">
        <v>20</v>
      </c>
      <c r="K20" s="7">
        <v>5</v>
      </c>
      <c r="O20" s="8" t="s">
        <v>64</v>
      </c>
      <c r="Q20">
        <v>1</v>
      </c>
      <c r="R20">
        <v>1</v>
      </c>
    </row>
    <row r="21" spans="1:20" x14ac:dyDescent="0.3">
      <c r="A21" s="8" t="s">
        <v>31</v>
      </c>
      <c r="B21" s="6">
        <v>27</v>
      </c>
      <c r="J21" s="8" t="s">
        <v>116</v>
      </c>
      <c r="K21" s="7">
        <v>22</v>
      </c>
      <c r="O21" s="8" t="s">
        <v>92</v>
      </c>
      <c r="R21">
        <v>1</v>
      </c>
    </row>
    <row r="22" spans="1:20" x14ac:dyDescent="0.3">
      <c r="A22" s="8" t="s">
        <v>27</v>
      </c>
      <c r="B22" s="6">
        <v>25.25</v>
      </c>
      <c r="O22" s="8" t="s">
        <v>76</v>
      </c>
      <c r="R22">
        <v>1</v>
      </c>
    </row>
    <row r="23" spans="1:20" x14ac:dyDescent="0.3">
      <c r="A23" s="8" t="s">
        <v>116</v>
      </c>
      <c r="B23" s="6">
        <v>26.833333333333332</v>
      </c>
      <c r="O23" s="8" t="s">
        <v>73</v>
      </c>
      <c r="P23">
        <v>1</v>
      </c>
    </row>
    <row r="24" spans="1:20" x14ac:dyDescent="0.3">
      <c r="O24" s="8" t="s">
        <v>89</v>
      </c>
      <c r="P24">
        <v>1</v>
      </c>
    </row>
    <row r="25" spans="1:20" x14ac:dyDescent="0.3">
      <c r="O25" s="8" t="s">
        <v>116</v>
      </c>
      <c r="P25">
        <v>9</v>
      </c>
      <c r="Q25">
        <v>5</v>
      </c>
      <c r="R25">
        <v>8</v>
      </c>
      <c r="S25">
        <v>4</v>
      </c>
      <c r="T25">
        <v>4</v>
      </c>
    </row>
    <row r="29" spans="1:20" x14ac:dyDescent="0.3">
      <c r="A29" s="9" t="s">
        <v>121</v>
      </c>
      <c r="B29" s="9" t="s">
        <v>120</v>
      </c>
      <c r="J29" s="9" t="s">
        <v>119</v>
      </c>
      <c r="K29" t="s">
        <v>118</v>
      </c>
    </row>
    <row r="30" spans="1:20" x14ac:dyDescent="0.3">
      <c r="A30" s="9" t="s">
        <v>117</v>
      </c>
      <c r="B30" t="s">
        <v>24</v>
      </c>
      <c r="C30" t="s">
        <v>17</v>
      </c>
      <c r="D30" t="s">
        <v>116</v>
      </c>
      <c r="J30" s="8" t="s">
        <v>16</v>
      </c>
      <c r="K30">
        <v>9</v>
      </c>
    </row>
    <row r="31" spans="1:20" x14ac:dyDescent="0.3">
      <c r="A31" s="8" t="s">
        <v>40</v>
      </c>
      <c r="B31" s="7"/>
      <c r="C31" s="7">
        <v>1</v>
      </c>
      <c r="D31" s="7">
        <v>1</v>
      </c>
      <c r="J31" s="8" t="s">
        <v>20</v>
      </c>
      <c r="K31">
        <v>5</v>
      </c>
    </row>
    <row r="32" spans="1:20" x14ac:dyDescent="0.3">
      <c r="A32" s="8" t="s">
        <v>37</v>
      </c>
      <c r="B32" s="7"/>
      <c r="C32" s="7">
        <v>1</v>
      </c>
      <c r="D32" s="7">
        <v>1</v>
      </c>
      <c r="J32" s="8" t="s">
        <v>23</v>
      </c>
      <c r="K32">
        <v>8</v>
      </c>
    </row>
    <row r="33" spans="1:16" x14ac:dyDescent="0.3">
      <c r="A33" s="8" t="s">
        <v>79</v>
      </c>
      <c r="B33" s="7"/>
      <c r="C33" s="7">
        <v>1</v>
      </c>
      <c r="D33" s="7">
        <v>1</v>
      </c>
      <c r="J33" s="8" t="s">
        <v>31</v>
      </c>
      <c r="K33">
        <v>4</v>
      </c>
    </row>
    <row r="34" spans="1:16" x14ac:dyDescent="0.3">
      <c r="A34" s="8" t="s">
        <v>98</v>
      </c>
      <c r="B34" s="7"/>
      <c r="C34" s="7">
        <v>1</v>
      </c>
      <c r="D34" s="7">
        <v>1</v>
      </c>
      <c r="J34" s="8" t="s">
        <v>27</v>
      </c>
      <c r="K34">
        <v>4</v>
      </c>
      <c r="O34" s="9" t="s">
        <v>11</v>
      </c>
      <c r="P34" t="s">
        <v>129</v>
      </c>
    </row>
    <row r="35" spans="1:16" x14ac:dyDescent="0.3">
      <c r="A35" s="8" t="s">
        <v>43</v>
      </c>
      <c r="B35" s="7"/>
      <c r="C35" s="7">
        <v>2</v>
      </c>
      <c r="D35" s="7">
        <v>2</v>
      </c>
      <c r="J35" s="8" t="s">
        <v>116</v>
      </c>
      <c r="K35">
        <v>30</v>
      </c>
    </row>
    <row r="36" spans="1:16" x14ac:dyDescent="0.3">
      <c r="A36" s="8" t="s">
        <v>30</v>
      </c>
      <c r="B36" s="7"/>
      <c r="C36" s="7">
        <v>2</v>
      </c>
      <c r="D36" s="7">
        <v>2</v>
      </c>
      <c r="O36" s="9" t="s">
        <v>127</v>
      </c>
      <c r="P36" t="s">
        <v>118</v>
      </c>
    </row>
    <row r="37" spans="1:16" x14ac:dyDescent="0.3">
      <c r="A37" s="8" t="s">
        <v>55</v>
      </c>
      <c r="B37" s="7"/>
      <c r="C37" s="7">
        <v>1</v>
      </c>
      <c r="D37" s="7">
        <v>1</v>
      </c>
      <c r="O37" s="8" t="s">
        <v>31</v>
      </c>
      <c r="P37" s="13">
        <v>2</v>
      </c>
    </row>
    <row r="38" spans="1:16" x14ac:dyDescent="0.3">
      <c r="A38" s="8" t="s">
        <v>58</v>
      </c>
      <c r="B38" s="7"/>
      <c r="C38" s="7">
        <v>1</v>
      </c>
      <c r="D38" s="7">
        <v>1</v>
      </c>
      <c r="O38" s="8" t="s">
        <v>16</v>
      </c>
      <c r="P38" s="13">
        <v>2</v>
      </c>
    </row>
    <row r="39" spans="1:16" x14ac:dyDescent="0.3">
      <c r="A39" s="8" t="s">
        <v>15</v>
      </c>
      <c r="B39" s="7">
        <v>4</v>
      </c>
      <c r="C39" s="7">
        <v>3</v>
      </c>
      <c r="D39" s="7">
        <v>7</v>
      </c>
      <c r="O39" s="8" t="s">
        <v>23</v>
      </c>
      <c r="P39" s="13">
        <v>1</v>
      </c>
    </row>
    <row r="40" spans="1:16" x14ac:dyDescent="0.3">
      <c r="A40" s="8" t="s">
        <v>46</v>
      </c>
      <c r="B40" s="7"/>
      <c r="C40" s="7">
        <v>1</v>
      </c>
      <c r="D40" s="7">
        <v>1</v>
      </c>
      <c r="O40" s="8" t="s">
        <v>20</v>
      </c>
      <c r="P40" s="13">
        <v>1</v>
      </c>
    </row>
    <row r="41" spans="1:16" x14ac:dyDescent="0.3">
      <c r="A41" s="8" t="s">
        <v>61</v>
      </c>
      <c r="B41" s="7">
        <v>2</v>
      </c>
      <c r="C41" s="7"/>
      <c r="D41" s="7">
        <v>2</v>
      </c>
      <c r="O41" s="8" t="s">
        <v>116</v>
      </c>
      <c r="P41" s="13">
        <v>6</v>
      </c>
    </row>
    <row r="42" spans="1:16" x14ac:dyDescent="0.3">
      <c r="A42" s="8" t="s">
        <v>52</v>
      </c>
      <c r="B42" s="7"/>
      <c r="C42" s="7">
        <v>1</v>
      </c>
      <c r="D42" s="7">
        <v>1</v>
      </c>
    </row>
    <row r="43" spans="1:16" x14ac:dyDescent="0.3">
      <c r="A43" s="8" t="s">
        <v>49</v>
      </c>
      <c r="B43" s="7"/>
      <c r="C43" s="7">
        <v>2</v>
      </c>
      <c r="D43" s="7">
        <v>2</v>
      </c>
      <c r="J43" s="9" t="s">
        <v>127</v>
      </c>
      <c r="K43" t="s">
        <v>121</v>
      </c>
    </row>
    <row r="44" spans="1:16" x14ac:dyDescent="0.3">
      <c r="A44" s="8" t="s">
        <v>95</v>
      </c>
      <c r="B44" s="7"/>
      <c r="C44" s="7">
        <v>1</v>
      </c>
      <c r="D44" s="7">
        <v>1</v>
      </c>
      <c r="J44" s="8" t="s">
        <v>17</v>
      </c>
      <c r="K44" s="14">
        <v>0.73333333333333328</v>
      </c>
    </row>
    <row r="45" spans="1:16" x14ac:dyDescent="0.3">
      <c r="A45" s="8" t="s">
        <v>64</v>
      </c>
      <c r="B45" s="7">
        <v>1</v>
      </c>
      <c r="C45" s="7">
        <v>1</v>
      </c>
      <c r="D45" s="7">
        <v>2</v>
      </c>
      <c r="J45" s="8" t="s">
        <v>24</v>
      </c>
      <c r="K45" s="14">
        <v>0.26666666666666666</v>
      </c>
    </row>
    <row r="46" spans="1:16" x14ac:dyDescent="0.3">
      <c r="A46" s="8" t="s">
        <v>92</v>
      </c>
      <c r="B46" s="7"/>
      <c r="C46" s="7">
        <v>1</v>
      </c>
      <c r="D46" s="7">
        <v>1</v>
      </c>
      <c r="J46" s="8" t="s">
        <v>116</v>
      </c>
      <c r="K46" s="10">
        <v>1</v>
      </c>
    </row>
    <row r="47" spans="1:16" x14ac:dyDescent="0.3">
      <c r="A47" s="8" t="s">
        <v>76</v>
      </c>
      <c r="B47" s="7"/>
      <c r="C47" s="7">
        <v>1</v>
      </c>
      <c r="D47" s="7">
        <v>1</v>
      </c>
    </row>
    <row r="48" spans="1:16" x14ac:dyDescent="0.3">
      <c r="A48" s="8" t="s">
        <v>73</v>
      </c>
      <c r="B48" s="7">
        <v>1</v>
      </c>
      <c r="C48" s="7"/>
      <c r="D48" s="7">
        <v>1</v>
      </c>
    </row>
    <row r="49" spans="1:4" x14ac:dyDescent="0.3">
      <c r="A49" s="8" t="s">
        <v>89</v>
      </c>
      <c r="B49" s="7"/>
      <c r="C49" s="7">
        <v>1</v>
      </c>
      <c r="D49" s="7">
        <v>1</v>
      </c>
    </row>
    <row r="50" spans="1:4" x14ac:dyDescent="0.3">
      <c r="A50" s="8" t="s">
        <v>116</v>
      </c>
      <c r="B50" s="7">
        <v>8</v>
      </c>
      <c r="C50" s="7">
        <v>22</v>
      </c>
      <c r="D50" s="7">
        <v>30</v>
      </c>
    </row>
    <row r="54" spans="1:4" x14ac:dyDescent="0.3">
      <c r="A54" s="9" t="s">
        <v>127</v>
      </c>
      <c r="B54" t="s">
        <v>121</v>
      </c>
    </row>
    <row r="55" spans="1:4" x14ac:dyDescent="0.3">
      <c r="A55" s="8" t="s">
        <v>15</v>
      </c>
      <c r="B55" s="13">
        <v>7</v>
      </c>
    </row>
    <row r="56" spans="1:4" x14ac:dyDescent="0.3">
      <c r="A56" s="8" t="s">
        <v>64</v>
      </c>
      <c r="B56" s="13">
        <v>2</v>
      </c>
    </row>
    <row r="57" spans="1:4" x14ac:dyDescent="0.3">
      <c r="A57" s="8" t="s">
        <v>49</v>
      </c>
      <c r="B57" s="13">
        <v>2</v>
      </c>
    </row>
    <row r="58" spans="1:4" x14ac:dyDescent="0.3">
      <c r="A58" s="8" t="s">
        <v>61</v>
      </c>
      <c r="B58" s="13">
        <v>2</v>
      </c>
    </row>
    <row r="59" spans="1:4" x14ac:dyDescent="0.3">
      <c r="A59" s="8" t="s">
        <v>43</v>
      </c>
      <c r="B59" s="13">
        <v>2</v>
      </c>
    </row>
    <row r="60" spans="1:4" x14ac:dyDescent="0.3">
      <c r="A60" s="8" t="s">
        <v>30</v>
      </c>
      <c r="B60" s="13">
        <v>2</v>
      </c>
    </row>
    <row r="61" spans="1:4" x14ac:dyDescent="0.3">
      <c r="A61" s="8" t="s">
        <v>37</v>
      </c>
      <c r="B61" s="13">
        <v>1</v>
      </c>
    </row>
    <row r="62" spans="1:4" x14ac:dyDescent="0.3">
      <c r="A62" s="8" t="s">
        <v>98</v>
      </c>
      <c r="B62" s="13">
        <v>1</v>
      </c>
    </row>
    <row r="63" spans="1:4" x14ac:dyDescent="0.3">
      <c r="A63" s="8" t="s">
        <v>52</v>
      </c>
      <c r="B63" s="13">
        <v>1</v>
      </c>
    </row>
    <row r="64" spans="1:4" x14ac:dyDescent="0.3">
      <c r="A64" s="8" t="s">
        <v>79</v>
      </c>
      <c r="B64" s="13">
        <v>1</v>
      </c>
    </row>
    <row r="65" spans="1:2" x14ac:dyDescent="0.3">
      <c r="A65" s="8" t="s">
        <v>76</v>
      </c>
      <c r="B65" s="13">
        <v>1</v>
      </c>
    </row>
    <row r="66" spans="1:2" x14ac:dyDescent="0.3">
      <c r="A66" s="8" t="s">
        <v>95</v>
      </c>
      <c r="B66" s="13">
        <v>1</v>
      </c>
    </row>
    <row r="67" spans="1:2" x14ac:dyDescent="0.3">
      <c r="A67" s="8" t="s">
        <v>55</v>
      </c>
      <c r="B67" s="13">
        <v>1</v>
      </c>
    </row>
    <row r="68" spans="1:2" x14ac:dyDescent="0.3">
      <c r="A68" s="8" t="s">
        <v>92</v>
      </c>
      <c r="B68" s="13">
        <v>1</v>
      </c>
    </row>
    <row r="69" spans="1:2" x14ac:dyDescent="0.3">
      <c r="A69" s="8" t="s">
        <v>58</v>
      </c>
      <c r="B69" s="13">
        <v>1</v>
      </c>
    </row>
    <row r="70" spans="1:2" x14ac:dyDescent="0.3">
      <c r="A70" s="8" t="s">
        <v>73</v>
      </c>
      <c r="B70" s="13">
        <v>1</v>
      </c>
    </row>
    <row r="71" spans="1:2" x14ac:dyDescent="0.3">
      <c r="A71" s="8" t="s">
        <v>89</v>
      </c>
      <c r="B71" s="13">
        <v>1</v>
      </c>
    </row>
    <row r="72" spans="1:2" x14ac:dyDescent="0.3">
      <c r="A72" s="8" t="s">
        <v>40</v>
      </c>
      <c r="B72" s="13">
        <v>1</v>
      </c>
    </row>
    <row r="73" spans="1:2" x14ac:dyDescent="0.3">
      <c r="A73" s="8" t="s">
        <v>46</v>
      </c>
      <c r="B73" s="13">
        <v>1</v>
      </c>
    </row>
    <row r="74" spans="1:2" x14ac:dyDescent="0.3">
      <c r="A74" s="8" t="s">
        <v>116</v>
      </c>
      <c r="B74" s="13">
        <v>30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6E1E66-D3F4-4E3B-8932-7DBC5E997C16}">
  <dimension ref="A1:N25"/>
  <sheetViews>
    <sheetView showGridLines="0" showRowColHeaders="0" tabSelected="1" zoomScale="174" zoomScaleNormal="174" workbookViewId="0">
      <selection activeCell="F20" sqref="F20"/>
    </sheetView>
  </sheetViews>
  <sheetFormatPr defaultColWidth="0" defaultRowHeight="14.4" zeroHeight="1" x14ac:dyDescent="0.3"/>
  <cols>
    <col min="1" max="14" width="8.88671875" style="11" customWidth="1"/>
    <col min="15" max="16384" width="8.88671875" style="11" hidden="1"/>
  </cols>
  <sheetData>
    <row r="1" x14ac:dyDescent="0.3"/>
    <row r="2" x14ac:dyDescent="0.3"/>
    <row r="3" x14ac:dyDescent="0.3"/>
    <row r="4" x14ac:dyDescent="0.3"/>
    <row r="5" x14ac:dyDescent="0.3"/>
    <row r="6" x14ac:dyDescent="0.3"/>
    <row r="7" x14ac:dyDescent="0.3"/>
    <row r="8" x14ac:dyDescent="0.3"/>
    <row r="9" x14ac:dyDescent="0.3"/>
    <row r="10" x14ac:dyDescent="0.3"/>
    <row r="11" x14ac:dyDescent="0.3"/>
    <row r="12" x14ac:dyDescent="0.3"/>
    <row r="13" x14ac:dyDescent="0.3"/>
    <row r="14" x14ac:dyDescent="0.3"/>
    <row r="15" x14ac:dyDescent="0.3"/>
    <row r="16" x14ac:dyDescent="0.3"/>
    <row r="17" s="11" customFormat="1" x14ac:dyDescent="0.3"/>
    <row r="18" s="11" customFormat="1" x14ac:dyDescent="0.3"/>
    <row r="19" s="11" customFormat="1" x14ac:dyDescent="0.3"/>
    <row r="20" s="11" customFormat="1" x14ac:dyDescent="0.3"/>
    <row r="21" s="11" customFormat="1" x14ac:dyDescent="0.3"/>
    <row r="22" s="11" customFormat="1" x14ac:dyDescent="0.3"/>
    <row r="23" s="11" customFormat="1" x14ac:dyDescent="0.3"/>
    <row r="24" s="11" customFormat="1" x14ac:dyDescent="0.3"/>
    <row r="25" s="11" customFormat="1" x14ac:dyDescent="0.3"/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Patient_records</vt:lpstr>
      <vt:lpstr>Department_info</vt:lpstr>
      <vt:lpstr>Pivot_reports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Praveen Tirumani</dc:creator>
  <cp:lastModifiedBy>Praveen Tirumani</cp:lastModifiedBy>
  <dcterms:created xsi:type="dcterms:W3CDTF">2026-05-05T04:51:05Z</dcterms:created>
  <dcterms:modified xsi:type="dcterms:W3CDTF">2026-05-05T06:27:37Z</dcterms:modified>
</cp:coreProperties>
</file>