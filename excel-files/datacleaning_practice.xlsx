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a4f0da8943f55f/Data Science Journey/healthcare-analyst-journey/Excel Files/"/>
    </mc:Choice>
  </mc:AlternateContent>
  <xr:revisionPtr revIDLastSave="391" documentId="8_{8463B081-6DEA-463D-83A2-2AF0735E764F}" xr6:coauthVersionLast="47" xr6:coauthVersionMax="47" xr10:uidLastSave="{AC5804EA-0799-49C6-8B00-C53F2C0804FD}"/>
  <bookViews>
    <workbookView xWindow="-108" yWindow="-108" windowWidth="23256" windowHeight="12456" xr2:uid="{F6F911A0-3472-426A-905A-C29EAA133303}"/>
  </bookViews>
  <sheets>
    <sheet name="Raw_data" sheetId="1" r:id="rId1"/>
    <sheet name="working" sheetId="3" r:id="rId2"/>
    <sheet name="Cleaned_Data" sheetId="2" r:id="rId3"/>
    <sheet name="Report" sheetId="4" r:id="rId4"/>
  </sheets>
  <definedNames>
    <definedName name="_xlnm._FilterDatabase" localSheetId="2" hidden="1">Cleaned_Data!$A$1:$I$20</definedName>
    <definedName name="_xlnm._FilterDatabase" localSheetId="1" hidden="1">working!$A$1:$P$21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" i="3"/>
  <c r="W2" i="3"/>
  <c r="W3" i="3" s="1"/>
  <c r="X2" i="3"/>
  <c r="X3" i="3" s="1"/>
  <c r="Y2" i="3"/>
  <c r="Y3" i="3" s="1"/>
  <c r="Z2" i="3"/>
  <c r="Z3" i="3" s="1"/>
  <c r="AA2" i="3"/>
  <c r="AA3" i="3" s="1"/>
  <c r="AB2" i="3"/>
  <c r="AB3" i="3" s="1"/>
  <c r="AC2" i="3"/>
  <c r="AC3" i="3" s="1"/>
  <c r="V2" i="3"/>
  <c r="V3" i="3" s="1"/>
  <c r="U2" i="3"/>
  <c r="U3" i="3" s="1"/>
  <c r="AD2" i="3" l="1"/>
  <c r="AD3" i="3" s="1"/>
</calcChain>
</file>

<file path=xl/sharedStrings.xml><?xml version="1.0" encoding="utf-8"?>
<sst xmlns="http://schemas.openxmlformats.org/spreadsheetml/2006/main" count="333" uniqueCount="155">
  <si>
    <t>PatientID,PatientName,Department,Doctor,VisitDate,Age,ShowedUp,BillAmount,OccupancyRate</t>
  </si>
  <si>
    <t>P001,Ravi Kumar,Cardiology,Dr.Rao,01-02-2025,45,Yes,5000,85%</t>
  </si>
  <si>
    <t>P002, sita reddy ,cardio,Dr. Mehta,02/02/2025,34,YES,4500,90%</t>
  </si>
  <si>
    <t>P003,AMIT SHARMA,CARDIOLOGY,Dr.Rao ,2025-02-03,29,No,7000,110%</t>
  </si>
  <si>
    <t>P004,Pooja Verma,Neurology,Dr.Kumar,04-02-2025,,Yes,6200,75%</t>
  </si>
  <si>
    <t>P005,Kiran,Neuro,Dr.Kumar,32-02-2025,41,no,3000,65%</t>
  </si>
  <si>
    <t>P006,Anjali Rao,Orthopedics,Dr. Sharma,06-02-2025,250,Yes,8000,88%</t>
  </si>
  <si>
    <t>P007,Rahul Mehta,Orthopedics,Dr.Sharma,07-02-2025,38,,9000,95%</t>
  </si>
  <si>
    <t>P008,Ravi Kumar,Cardiology,Dr.Rao,01-02-2025,45,Yes,5000,85%</t>
  </si>
  <si>
    <t>P009,Meena Iyer,Pediatrics,Dr.Reddy,08-02-2025,-5,Yes,-2000,70%</t>
  </si>
  <si>
    <t>P010,Arjun Das,Emergency,Dr.Reddy,09-02-2025,31,Y,15000,120%</t>
  </si>
  <si>
    <t>P011,,Cardiology,Dr.Rao,10-02-2025,27,Yes,5200,82%</t>
  </si>
  <si>
    <t>P012,Sneha Kapoor, Cardiology ,Dr.Rao,11-02-2025,29,Yes,6100,85 %</t>
  </si>
  <si>
    <t>P013,Varun,cardiology dept,Dr.Rao,12-02-2025,33,No,4100,84%</t>
  </si>
  <si>
    <t>P014,Divya Sharma,Neurolgy,Dr.Kumar,13-02-2025,36,Yes,5600,76%</t>
  </si>
  <si>
    <t>P015,Ramesh Naidu,Emergency,Dr.Reddy,14-02-2025,44,Maybe,7200,92%</t>
  </si>
  <si>
    <t>P016,Priya Singh,CARDIO,Dr.Rao,15-02-2025,TextAge,Yes,6400,89%</t>
  </si>
  <si>
    <t>P017,Vikram Rao,Orthopedics,Dr. Sharma,16-02-2025,39,No,1,000,93%</t>
  </si>
  <si>
    <t>P018,Sunita,Neurology,Dr.Kumar,17-02-2025,28,Yes,,80%</t>
  </si>
  <si>
    <t>P019,Arun Kumar,Emergency,Dr.Reddy,18-02-2025,35,No,5400,101%</t>
  </si>
  <si>
    <t>P020,Ravi Kumar,Cardiology,Dr.Rao,01-02-2025,45,Yes,5000,85%</t>
  </si>
  <si>
    <t>PatientID</t>
  </si>
  <si>
    <t>PatientName</t>
  </si>
  <si>
    <t>Department</t>
  </si>
  <si>
    <t>Doctor</t>
  </si>
  <si>
    <t>VisitDate</t>
  </si>
  <si>
    <t>Age</t>
  </si>
  <si>
    <t>P001</t>
  </si>
  <si>
    <t>Ravi Kumar</t>
  </si>
  <si>
    <t>Cardiology</t>
  </si>
  <si>
    <t>Dr.Rao</t>
  </si>
  <si>
    <t>Yes</t>
  </si>
  <si>
    <t>P002</t>
  </si>
  <si>
    <t xml:space="preserve"> sita reddy </t>
  </si>
  <si>
    <t>cardio</t>
  </si>
  <si>
    <t>Dr. Mehta</t>
  </si>
  <si>
    <t>YES</t>
  </si>
  <si>
    <t>P003</t>
  </si>
  <si>
    <t>AMIT SHARMA</t>
  </si>
  <si>
    <t>CARDIOLOGY</t>
  </si>
  <si>
    <t xml:space="preserve">Dr.Rao </t>
  </si>
  <si>
    <t>No</t>
  </si>
  <si>
    <t>P004</t>
  </si>
  <si>
    <t>Pooja Verma</t>
  </si>
  <si>
    <t>Neurology</t>
  </si>
  <si>
    <t>Dr.Kumar</t>
  </si>
  <si>
    <t>P005</t>
  </si>
  <si>
    <t>Kiran</t>
  </si>
  <si>
    <t>Neuro</t>
  </si>
  <si>
    <t>32-02-2025</t>
  </si>
  <si>
    <t>no</t>
  </si>
  <si>
    <t>P006</t>
  </si>
  <si>
    <t>Anjali Rao</t>
  </si>
  <si>
    <t>Orthopedics</t>
  </si>
  <si>
    <t>Dr. Sharma</t>
  </si>
  <si>
    <t>P007</t>
  </si>
  <si>
    <t>Rahul Mehta</t>
  </si>
  <si>
    <t>Dr.Sharma</t>
  </si>
  <si>
    <t>P008</t>
  </si>
  <si>
    <t>P009</t>
  </si>
  <si>
    <t>Meena Iyer</t>
  </si>
  <si>
    <t>Pediatrics</t>
  </si>
  <si>
    <t>Dr.Reddy</t>
  </si>
  <si>
    <t>P010</t>
  </si>
  <si>
    <t>Arjun Das</t>
  </si>
  <si>
    <t>Emergency</t>
  </si>
  <si>
    <t>Y</t>
  </si>
  <si>
    <t>P011</t>
  </si>
  <si>
    <t>P012</t>
  </si>
  <si>
    <t>Sneha Kapoor</t>
  </si>
  <si>
    <t xml:space="preserve"> Cardiology </t>
  </si>
  <si>
    <t>P013</t>
  </si>
  <si>
    <t>Varun</t>
  </si>
  <si>
    <t>cardiology dept</t>
  </si>
  <si>
    <t>P014</t>
  </si>
  <si>
    <t>Divya Sharma</t>
  </si>
  <si>
    <t>Neurolgy</t>
  </si>
  <si>
    <t>P015</t>
  </si>
  <si>
    <t>Ramesh Naidu</t>
  </si>
  <si>
    <t>Maybe</t>
  </si>
  <si>
    <t>P016</t>
  </si>
  <si>
    <t>Priya Singh</t>
  </si>
  <si>
    <t>CARDIO</t>
  </si>
  <si>
    <t>TextAge</t>
  </si>
  <si>
    <t>P017</t>
  </si>
  <si>
    <t>Vikram Rao</t>
  </si>
  <si>
    <t>P018</t>
  </si>
  <si>
    <t>Sunita</t>
  </si>
  <si>
    <t>P019</t>
  </si>
  <si>
    <t>Arun Kumar</t>
  </si>
  <si>
    <t>P020</t>
  </si>
  <si>
    <t>Bill_Amount</t>
  </si>
  <si>
    <t>Occupancy_Rate</t>
  </si>
  <si>
    <t>Showed_Up</t>
  </si>
  <si>
    <t>Blanks %</t>
  </si>
  <si>
    <t>Blanks count</t>
  </si>
  <si>
    <t>duplicate_rows</t>
  </si>
  <si>
    <t>Row Labels</t>
  </si>
  <si>
    <t>Grand Total</t>
  </si>
  <si>
    <t>Duplicate_rows</t>
  </si>
  <si>
    <t>Text Consistency</t>
  </si>
  <si>
    <t>Department_clean</t>
  </si>
  <si>
    <t>Department Mapping Table</t>
  </si>
  <si>
    <t>Doctor mapping</t>
  </si>
  <si>
    <t>Dr Kumar</t>
  </si>
  <si>
    <t>Dr Rao</t>
  </si>
  <si>
    <t>Dr Reddy</t>
  </si>
  <si>
    <t>Dr Sharma</t>
  </si>
  <si>
    <t>Dr Mehta</t>
  </si>
  <si>
    <t>Showup</t>
  </si>
  <si>
    <t>Unknown</t>
  </si>
  <si>
    <t>Doctor_clean</t>
  </si>
  <si>
    <t>Valid_date</t>
  </si>
  <si>
    <t>Numerical Consistency</t>
  </si>
  <si>
    <t>Visit Date</t>
  </si>
  <si>
    <t>To</t>
  </si>
  <si>
    <t>This</t>
  </si>
  <si>
    <t>Invalid</t>
  </si>
  <si>
    <t>Age_clean</t>
  </si>
  <si>
    <t xml:space="preserve">Invalid </t>
  </si>
  <si>
    <t>Bill Amount</t>
  </si>
  <si>
    <t>Bill_Amount_clean</t>
  </si>
  <si>
    <t>invalid</t>
  </si>
  <si>
    <t>Occupancy_clean</t>
  </si>
  <si>
    <t>Occupancy</t>
  </si>
  <si>
    <t>Sita Reddy</t>
  </si>
  <si>
    <t>Amit Sharma</t>
  </si>
  <si>
    <t>Patient_Name</t>
  </si>
  <si>
    <t>Doctor Name</t>
  </si>
  <si>
    <t>Occupancy_rate</t>
  </si>
  <si>
    <t>Showedup</t>
  </si>
  <si>
    <t>Found inconsistent department names such as "cardio", "CARDIO", and "cardiology dept".</t>
  </si>
  <si>
    <t>→ Standardized all values to "Cardiology" using TRIM, PROPER, and mapping tables to maintain category consistency in analysis and Pivot Tables.</t>
  </si>
  <si>
    <t>Found inconsistent doctor name formats such as "Dr.Rao", "Dr Rao", and "Dr.Sharma".</t>
  </si>
  <si>
    <t>→ Standardized doctor names into a single readable format to avoid duplicate categories during reporting.</t>
  </si>
  <si>
    <t>Found inconsistent values in the Showed_Up column such as "YES", "Y", and "Maybe".</t>
  </si>
  <si>
    <t>→ Converted them into standardized values like "Yes", "No", and "Unknown" for easier filtering and analysis.</t>
  </si>
  <si>
    <t>Found extra spaces and mixed text casing in text columns.</t>
  </si>
  <si>
    <t>→ Used TRIM and PROPER functions to clean spaces and standardize capitalization.</t>
  </si>
  <si>
    <t>Found an invalid date value "32-02-2025".</t>
  </si>
  <si>
    <t>→ Identified it using ISNUMBER/date validation and corrected it after checking logical date consistency.</t>
  </si>
  <si>
    <t>Found missing values in columns such as Patient Name, Age, Bill Amount, and Showed_Up.</t>
  </si>
  <si>
    <t>→ Replaced categorical missing values with "Unknown" and numerical missing/invalid values with median-based values where appropriate.</t>
  </si>
  <si>
    <t>Found invalid age values such as -5, 250, and text entries like "TextAge".</t>
  </si>
  <si>
    <t>→ Marked them as invalid and replaced them using a reasonable median age to maintain numeric consistency.</t>
  </si>
  <si>
    <t>Found invalid bill amount values such as negative amounts and missing entries.</t>
  </si>
  <si>
    <t>→ Replaced invalid or missing values using median-based correction to avoid affecting calculations.</t>
  </si>
  <si>
    <t>Found unrealistic occupancy rates such as 110%, 120%, and 101%.</t>
  </si>
  <si>
    <t>→ Treated values above 100% as invalid and corrected them using logical replacement values.</t>
  </si>
  <si>
    <t>Checked for duplicate records using PatientID and visit information.</t>
  </si>
  <si>
    <t>→ No true duplicate rows were found, so all records were retained.</t>
  </si>
  <si>
    <t>Validated date formatting and converted dates into a consistent readable format such as "01 February 2025".</t>
  </si>
  <si>
    <t>→ This ensured proper sorting, filtering, and Pivot Table grouping.</t>
  </si>
  <si>
    <t>Created cleaned and standardized output columns instead of directly modifying raw data.</t>
  </si>
  <si>
    <t>→ This helped preserve the original dataset and made validation easier.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</si>
</sst>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9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left" vertical="center" indent="1"/>
    </xf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een Tirumani" refreshedDate="46155.431165393522" createdVersion="8" refreshedVersion="8" minRefreshableVersion="3" recordCount="20" xr:uid="{1C02BB57-C7EA-4CF3-B5E4-366D7EF726AB}">
  <cacheSource type="worksheet">
    <worksheetSource ref="A1:O21" sheet="working"/>
  </cacheSource>
  <cacheFields count="9">
    <cacheField name="PatientID" numFmtId="0">
      <sharedItems count="2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</sharedItems>
    </cacheField>
    <cacheField name="PatientName" numFmtId="0">
      <sharedItems containsBlank="1"/>
    </cacheField>
    <cacheField name="Department" numFmtId="0">
      <sharedItems count="10">
        <s v="Cardiology"/>
        <s v="cardio"/>
        <s v="Neurology"/>
        <s v="Neuro"/>
        <s v="Orthopedics"/>
        <s v="Pediatrics"/>
        <s v="Emergency"/>
        <s v=" Cardiology "/>
        <s v="cardiology dept"/>
        <s v="Neurolgy"/>
      </sharedItems>
    </cacheField>
    <cacheField name="Doctor" numFmtId="0">
      <sharedItems count="7">
        <s v="Dr.Rao"/>
        <s v="Dr. Mehta"/>
        <s v="Dr.Rao "/>
        <s v="Dr.Kumar"/>
        <s v="Dr. Sharma"/>
        <s v="Dr.Sharma"/>
        <s v="Dr.Reddy"/>
      </sharedItems>
    </cacheField>
    <cacheField name="VisitDate" numFmtId="0">
      <sharedItems containsDate="1" containsMixedTypes="1" minDate="2025-02-01T00:00:00" maxDate="2025-02-19T00:00:00" count="18">
        <d v="2025-02-01T00:00:00"/>
        <d v="2025-02-02T00:00:00"/>
        <d v="2025-02-03T00:00:00"/>
        <d v="2025-02-04T00:00:00"/>
        <s v="32-02-2025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</sharedItems>
    </cacheField>
    <cacheField name="Age" numFmtId="0">
      <sharedItems containsBlank="1" containsMixedTypes="1" containsNumber="1" containsInteger="1" minValue="-5" maxValue="250"/>
    </cacheField>
    <cacheField name="Showed_Up" numFmtId="0">
      <sharedItems containsBlank="1" count="5">
        <s v="Yes"/>
        <s v="No"/>
        <m/>
        <s v="Y"/>
        <s v="Maybe"/>
      </sharedItems>
    </cacheField>
    <cacheField name="Bill_Amount" numFmtId="0">
      <sharedItems containsString="0" containsBlank="1" containsNumber="1" containsInteger="1" minValue="-2000" maxValue="15000"/>
    </cacheField>
    <cacheField name="Occupancy_Rate" numFmtId="0">
      <sharedItems containsSemiMixedTypes="0" containsString="0" containsNumber="1" minValue="0" maxValue="1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Ravi Kumar"/>
    <x v="0"/>
    <x v="0"/>
    <x v="0"/>
    <n v="45"/>
    <x v="0"/>
    <n v="5000"/>
    <n v="0.85"/>
  </r>
  <r>
    <x v="1"/>
    <s v=" sita reddy "/>
    <x v="1"/>
    <x v="1"/>
    <x v="1"/>
    <n v="34"/>
    <x v="0"/>
    <n v="4500"/>
    <n v="0.9"/>
  </r>
  <r>
    <x v="2"/>
    <s v="AMIT SHARMA"/>
    <x v="0"/>
    <x v="2"/>
    <x v="2"/>
    <n v="29"/>
    <x v="1"/>
    <n v="7000"/>
    <n v="1.1000000000000001"/>
  </r>
  <r>
    <x v="3"/>
    <s v="Pooja Verma"/>
    <x v="2"/>
    <x v="3"/>
    <x v="3"/>
    <m/>
    <x v="0"/>
    <n v="6200"/>
    <n v="0.75"/>
  </r>
  <r>
    <x v="4"/>
    <s v="Kiran"/>
    <x v="3"/>
    <x v="3"/>
    <x v="4"/>
    <n v="41"/>
    <x v="1"/>
    <n v="3000"/>
    <n v="0.65"/>
  </r>
  <r>
    <x v="5"/>
    <s v="Anjali Rao"/>
    <x v="4"/>
    <x v="4"/>
    <x v="5"/>
    <n v="250"/>
    <x v="0"/>
    <n v="8000"/>
    <n v="0.88"/>
  </r>
  <r>
    <x v="6"/>
    <s v="Rahul Mehta"/>
    <x v="4"/>
    <x v="5"/>
    <x v="6"/>
    <n v="38"/>
    <x v="2"/>
    <n v="9000"/>
    <n v="0.95"/>
  </r>
  <r>
    <x v="7"/>
    <s v="Ravi Kumar"/>
    <x v="0"/>
    <x v="0"/>
    <x v="0"/>
    <n v="45"/>
    <x v="0"/>
    <n v="5000"/>
    <n v="0.85"/>
  </r>
  <r>
    <x v="8"/>
    <s v="Meena Iyer"/>
    <x v="5"/>
    <x v="6"/>
    <x v="7"/>
    <n v="-5"/>
    <x v="0"/>
    <n v="-2000"/>
    <n v="0.7"/>
  </r>
  <r>
    <x v="9"/>
    <s v="Arjun Das"/>
    <x v="6"/>
    <x v="6"/>
    <x v="8"/>
    <n v="31"/>
    <x v="3"/>
    <n v="15000"/>
    <n v="1.2"/>
  </r>
  <r>
    <x v="10"/>
    <m/>
    <x v="0"/>
    <x v="0"/>
    <x v="9"/>
    <n v="27"/>
    <x v="0"/>
    <n v="5200"/>
    <n v="0.82"/>
  </r>
  <r>
    <x v="11"/>
    <s v="Sneha Kapoor"/>
    <x v="7"/>
    <x v="0"/>
    <x v="10"/>
    <n v="29"/>
    <x v="0"/>
    <n v="6100"/>
    <n v="0.85"/>
  </r>
  <r>
    <x v="12"/>
    <s v="Varun"/>
    <x v="8"/>
    <x v="0"/>
    <x v="11"/>
    <n v="33"/>
    <x v="1"/>
    <n v="4100"/>
    <n v="0.84"/>
  </r>
  <r>
    <x v="13"/>
    <s v="Divya Sharma"/>
    <x v="9"/>
    <x v="3"/>
    <x v="12"/>
    <n v="36"/>
    <x v="0"/>
    <n v="5600"/>
    <n v="0.76"/>
  </r>
  <r>
    <x v="14"/>
    <s v="Ramesh Naidu"/>
    <x v="6"/>
    <x v="6"/>
    <x v="13"/>
    <n v="44"/>
    <x v="4"/>
    <n v="7200"/>
    <n v="0.92"/>
  </r>
  <r>
    <x v="15"/>
    <s v="Priya Singh"/>
    <x v="1"/>
    <x v="0"/>
    <x v="14"/>
    <s v="TextAge"/>
    <x v="0"/>
    <n v="6400"/>
    <n v="0.89"/>
  </r>
  <r>
    <x v="16"/>
    <s v="Vikram Rao"/>
    <x v="4"/>
    <x v="4"/>
    <x v="15"/>
    <n v="39"/>
    <x v="1"/>
    <n v="1"/>
    <n v="0"/>
  </r>
  <r>
    <x v="17"/>
    <s v="Sunita"/>
    <x v="2"/>
    <x v="3"/>
    <x v="16"/>
    <n v="28"/>
    <x v="0"/>
    <m/>
    <n v="0.8"/>
  </r>
  <r>
    <x v="18"/>
    <s v="Arun Kumar"/>
    <x v="6"/>
    <x v="6"/>
    <x v="17"/>
    <n v="35"/>
    <x v="1"/>
    <n v="5400"/>
    <n v="1.01"/>
  </r>
  <r>
    <x v="19"/>
    <s v="Ravi Kumar"/>
    <x v="0"/>
    <x v="0"/>
    <x v="0"/>
    <n v="45"/>
    <x v="0"/>
    <n v="5000"/>
    <n v="0.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BF3DF3-7AB7-40D4-A60D-7037176EAB9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C6:AC25" firstHeaderRow="1" firstDataRow="1" firstDataCol="1"/>
  <pivotFields count="9"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>
      <items count="11">
        <item x="7"/>
        <item x="1"/>
        <item x="0"/>
        <item x="8"/>
        <item x="6"/>
        <item x="3"/>
        <item x="9"/>
        <item x="2"/>
        <item x="4"/>
        <item x="5"/>
        <item t="default"/>
      </items>
    </pivotField>
    <pivotField showAll="0">
      <items count="8">
        <item x="1"/>
        <item x="4"/>
        <item x="3"/>
        <item x="0"/>
        <item x="2"/>
        <item x="6"/>
        <item x="5"/>
        <item t="default"/>
      </items>
    </pivotField>
    <pivotField axis="axisRow" showAll="0">
      <items count="19">
        <item x="4"/>
        <item x="0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>
      <items count="6">
        <item x="4"/>
        <item x="1"/>
        <item x="3"/>
        <item x="0"/>
        <item x="2"/>
        <item t="default"/>
      </items>
    </pivotField>
    <pivotField showAll="0"/>
    <pivotField showAll="0"/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D964-9B01-481F-9E38-182FE5DCAF18}">
  <dimension ref="A1:A21"/>
  <sheetViews>
    <sheetView tabSelected="1" workbookViewId="0">
      <selection activeCell="I7" sqref="I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D0E-20D6-4F9F-B23C-34DCC1487E5B}">
  <dimension ref="A1:AD36"/>
  <sheetViews>
    <sheetView topLeftCell="P12" workbookViewId="0">
      <selection sqref="A1:AD38"/>
    </sheetView>
  </sheetViews>
  <sheetFormatPr defaultRowHeight="14.4" x14ac:dyDescent="0.3"/>
  <cols>
    <col min="2" max="2" width="13.77734375" bestFit="1" customWidth="1"/>
    <col min="3" max="3" width="12.88671875" bestFit="1" customWidth="1"/>
    <col min="4" max="4" width="13.6640625" bestFit="1" customWidth="1"/>
    <col min="5" max="5" width="18.44140625" bestFit="1" customWidth="1"/>
    <col min="6" max="6" width="10" bestFit="1" customWidth="1"/>
    <col min="7" max="7" width="14.21875" bestFit="1" customWidth="1"/>
    <col min="8" max="8" width="10.33203125" bestFit="1" customWidth="1"/>
    <col min="9" max="9" width="10.33203125" customWidth="1"/>
    <col min="11" max="11" width="11.5546875" bestFit="1" customWidth="1"/>
    <col min="12" max="12" width="9.77734375" bestFit="1" customWidth="1"/>
    <col min="13" max="13" width="10.88671875" bestFit="1" customWidth="1"/>
    <col min="14" max="14" width="18.5546875" bestFit="1" customWidth="1"/>
    <col min="15" max="15" width="14" customWidth="1"/>
    <col min="16" max="16" width="17.5546875" bestFit="1" customWidth="1"/>
    <col min="20" max="20" width="23.44140625" bestFit="1" customWidth="1"/>
    <col min="21" max="21" width="10.88671875" bestFit="1" customWidth="1"/>
    <col min="22" max="22" width="11.6640625" bestFit="1" customWidth="1"/>
    <col min="23" max="23" width="14.109375" bestFit="1" customWidth="1"/>
    <col min="24" max="24" width="10.88671875" bestFit="1" customWidth="1"/>
    <col min="25" max="25" width="9.88671875" bestFit="1" customWidth="1"/>
    <col min="27" max="27" width="10.77734375" bestFit="1" customWidth="1"/>
    <col min="29" max="29" width="12.5546875" bestFit="1" customWidth="1"/>
    <col min="30" max="30" width="19.21875" bestFit="1" customWidth="1"/>
  </cols>
  <sheetData>
    <row r="1" spans="1:30" x14ac:dyDescent="0.3">
      <c r="A1" t="s">
        <v>21</v>
      </c>
      <c r="B1" t="s">
        <v>99</v>
      </c>
      <c r="C1" t="s">
        <v>22</v>
      </c>
      <c r="D1" t="s">
        <v>23</v>
      </c>
      <c r="E1" t="s">
        <v>101</v>
      </c>
      <c r="F1" t="s">
        <v>24</v>
      </c>
      <c r="G1" t="s">
        <v>111</v>
      </c>
      <c r="H1" t="s">
        <v>25</v>
      </c>
      <c r="I1" t="s">
        <v>112</v>
      </c>
      <c r="J1" t="s">
        <v>26</v>
      </c>
      <c r="K1" t="s">
        <v>118</v>
      </c>
      <c r="L1" t="s">
        <v>93</v>
      </c>
      <c r="M1" t="s">
        <v>91</v>
      </c>
      <c r="N1" t="s">
        <v>121</v>
      </c>
      <c r="O1" t="s">
        <v>92</v>
      </c>
      <c r="P1" t="s">
        <v>123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93</v>
      </c>
      <c r="AB1" t="s">
        <v>91</v>
      </c>
      <c r="AC1" t="s">
        <v>92</v>
      </c>
    </row>
    <row r="2" spans="1:30" x14ac:dyDescent="0.3">
      <c r="A2" t="s">
        <v>27</v>
      </c>
      <c r="B2">
        <f>COUNTIF($A$2:$A$21,A2)</f>
        <v>1</v>
      </c>
      <c r="C2" t="s">
        <v>28</v>
      </c>
      <c r="D2" t="s">
        <v>29</v>
      </c>
      <c r="F2" t="s">
        <v>30</v>
      </c>
      <c r="H2" s="1">
        <v>45689</v>
      </c>
      <c r="I2" s="1" t="b">
        <f t="shared" ref="I2:I21" si="0">ISNUMBER(H2)</f>
        <v>1</v>
      </c>
      <c r="J2">
        <v>45</v>
      </c>
      <c r="K2" t="str">
        <f t="shared" ref="K2:K21" si="1">IF(AND(J2&gt;0,J2&lt;120),"Valid","Invalid")</f>
        <v>Valid</v>
      </c>
      <c r="L2" t="s">
        <v>31</v>
      </c>
      <c r="M2">
        <v>5000</v>
      </c>
      <c r="N2" t="str">
        <f>IF(AND(M2&gt;0,ISNUMBER(M2)),"Valid","Invalid")</f>
        <v>Valid</v>
      </c>
      <c r="O2" s="2">
        <v>0.85</v>
      </c>
      <c r="P2" t="str">
        <f>IF(AND(O2&gt;0%,O2&lt;=100%),"Valid","Invalid")</f>
        <v>Valid</v>
      </c>
      <c r="T2" t="s">
        <v>95</v>
      </c>
      <c r="U2">
        <f>COUNTBLANK(A2:A21)</f>
        <v>0</v>
      </c>
      <c r="V2">
        <f>COUNTBLANK(C2:C21)</f>
        <v>1</v>
      </c>
      <c r="W2">
        <f>COUNTBLANK(D2:D21)</f>
        <v>0</v>
      </c>
      <c r="X2">
        <f>COUNTBLANK(F2:F21)</f>
        <v>0</v>
      </c>
      <c r="Y2">
        <f>COUNTBLANK(H2:H21)</f>
        <v>0</v>
      </c>
      <c r="Z2">
        <f>COUNTBLANK(J2:J21)</f>
        <v>1</v>
      </c>
      <c r="AA2">
        <f>COUNTBLANK(L2:L21)</f>
        <v>1</v>
      </c>
      <c r="AB2">
        <f>COUNTBLANK(M2:M21)</f>
        <v>1</v>
      </c>
      <c r="AC2">
        <f t="shared" ref="AC2:AD2" si="2">COUNTBLANK(O2:O21)</f>
        <v>0</v>
      </c>
      <c r="AD2">
        <f t="shared" si="2"/>
        <v>0</v>
      </c>
    </row>
    <row r="3" spans="1:30" x14ac:dyDescent="0.3">
      <c r="A3" t="s">
        <v>32</v>
      </c>
      <c r="B3">
        <f t="shared" ref="B3:B21" si="3">COUNTIF($A$2:$A$21,A3)</f>
        <v>1</v>
      </c>
      <c r="C3" t="s">
        <v>33</v>
      </c>
      <c r="D3" t="s">
        <v>34</v>
      </c>
      <c r="F3" t="s">
        <v>35</v>
      </c>
      <c r="H3" s="1">
        <v>45690</v>
      </c>
      <c r="I3" s="1" t="b">
        <f t="shared" si="0"/>
        <v>1</v>
      </c>
      <c r="J3">
        <v>34</v>
      </c>
      <c r="K3" t="str">
        <f t="shared" si="1"/>
        <v>Valid</v>
      </c>
      <c r="L3" t="s">
        <v>36</v>
      </c>
      <c r="M3">
        <v>4500</v>
      </c>
      <c r="N3" t="str">
        <f t="shared" ref="N3:N21" si="4">IF(AND(M3&gt;0,ISNUMBER(M3)),"Valid","Invalid")</f>
        <v>Valid</v>
      </c>
      <c r="O3" s="2">
        <v>0.9</v>
      </c>
      <c r="P3" t="str">
        <f t="shared" ref="P3:P21" si="5">IF(AND(O3&gt;0%,O3&lt;=100%),"Valid","Invalid")</f>
        <v>Valid</v>
      </c>
      <c r="T3" t="s">
        <v>94</v>
      </c>
      <c r="U3" s="3">
        <f>IFERROR(U2/20,0)</f>
        <v>0</v>
      </c>
      <c r="V3" s="3">
        <f t="shared" ref="V3:AD3" si="6">IFERROR(V2/20,0)</f>
        <v>0.05</v>
      </c>
      <c r="W3" s="3">
        <f t="shared" si="6"/>
        <v>0</v>
      </c>
      <c r="X3" s="3">
        <f t="shared" si="6"/>
        <v>0</v>
      </c>
      <c r="Y3" s="3">
        <f t="shared" si="6"/>
        <v>0</v>
      </c>
      <c r="Z3" s="3">
        <f t="shared" si="6"/>
        <v>0.05</v>
      </c>
      <c r="AA3" s="3">
        <f t="shared" si="6"/>
        <v>0.05</v>
      </c>
      <c r="AB3" s="3">
        <f t="shared" si="6"/>
        <v>0.05</v>
      </c>
      <c r="AC3" s="3">
        <f t="shared" si="6"/>
        <v>0</v>
      </c>
      <c r="AD3" s="3">
        <f t="shared" si="6"/>
        <v>0</v>
      </c>
    </row>
    <row r="4" spans="1:30" x14ac:dyDescent="0.3">
      <c r="A4" t="s">
        <v>37</v>
      </c>
      <c r="B4">
        <f t="shared" si="3"/>
        <v>1</v>
      </c>
      <c r="C4" t="s">
        <v>38</v>
      </c>
      <c r="D4" t="s">
        <v>39</v>
      </c>
      <c r="F4" t="s">
        <v>40</v>
      </c>
      <c r="H4" s="1">
        <v>45691</v>
      </c>
      <c r="I4" s="1" t="b">
        <f t="shared" si="0"/>
        <v>1</v>
      </c>
      <c r="J4">
        <v>29</v>
      </c>
      <c r="K4" t="str">
        <f t="shared" si="1"/>
        <v>Valid</v>
      </c>
      <c r="L4" t="s">
        <v>41</v>
      </c>
      <c r="M4">
        <v>7000</v>
      </c>
      <c r="N4" t="str">
        <f t="shared" si="4"/>
        <v>Valid</v>
      </c>
      <c r="O4" s="2">
        <v>1.1000000000000001</v>
      </c>
      <c r="P4" t="str">
        <f t="shared" si="5"/>
        <v>Invalid</v>
      </c>
    </row>
    <row r="5" spans="1:30" x14ac:dyDescent="0.3">
      <c r="A5" t="s">
        <v>42</v>
      </c>
      <c r="B5">
        <f t="shared" si="3"/>
        <v>1</v>
      </c>
      <c r="C5" t="s">
        <v>43</v>
      </c>
      <c r="D5" t="s">
        <v>44</v>
      </c>
      <c r="F5" t="s">
        <v>45</v>
      </c>
      <c r="H5" s="1">
        <v>45692</v>
      </c>
      <c r="I5" s="1" t="b">
        <f t="shared" si="0"/>
        <v>1</v>
      </c>
      <c r="K5" t="str">
        <f t="shared" si="1"/>
        <v>Invalid</v>
      </c>
      <c r="L5" t="s">
        <v>31</v>
      </c>
      <c r="M5">
        <v>6200</v>
      </c>
      <c r="N5" t="str">
        <f t="shared" si="4"/>
        <v>Valid</v>
      </c>
      <c r="O5" s="2">
        <v>0.75</v>
      </c>
      <c r="P5" t="str">
        <f t="shared" si="5"/>
        <v>Valid</v>
      </c>
    </row>
    <row r="6" spans="1:30" x14ac:dyDescent="0.3">
      <c r="A6" t="s">
        <v>46</v>
      </c>
      <c r="B6">
        <f t="shared" si="3"/>
        <v>1</v>
      </c>
      <c r="C6" t="s">
        <v>47</v>
      </c>
      <c r="D6" t="s">
        <v>48</v>
      </c>
      <c r="F6" t="s">
        <v>45</v>
      </c>
      <c r="H6" t="s">
        <v>49</v>
      </c>
      <c r="I6" s="1" t="b">
        <f t="shared" si="0"/>
        <v>0</v>
      </c>
      <c r="J6">
        <v>41</v>
      </c>
      <c r="K6" t="str">
        <f t="shared" si="1"/>
        <v>Valid</v>
      </c>
      <c r="L6" t="s">
        <v>50</v>
      </c>
      <c r="M6">
        <v>3000</v>
      </c>
      <c r="N6" t="str">
        <f t="shared" si="4"/>
        <v>Valid</v>
      </c>
      <c r="O6" s="2">
        <v>0.65</v>
      </c>
      <c r="P6" t="str">
        <f t="shared" si="5"/>
        <v>Valid</v>
      </c>
      <c r="T6" t="s">
        <v>96</v>
      </c>
      <c r="U6">
        <v>0</v>
      </c>
      <c r="AC6" s="4" t="s">
        <v>97</v>
      </c>
    </row>
    <row r="7" spans="1:30" x14ac:dyDescent="0.3">
      <c r="A7" t="s">
        <v>51</v>
      </c>
      <c r="B7">
        <f t="shared" si="3"/>
        <v>1</v>
      </c>
      <c r="C7" t="s">
        <v>52</v>
      </c>
      <c r="D7" t="s">
        <v>53</v>
      </c>
      <c r="F7" t="s">
        <v>54</v>
      </c>
      <c r="H7" s="1">
        <v>45694</v>
      </c>
      <c r="I7" s="1" t="b">
        <f t="shared" si="0"/>
        <v>1</v>
      </c>
      <c r="J7">
        <v>250</v>
      </c>
      <c r="K7" t="str">
        <f t="shared" si="1"/>
        <v>Invalid</v>
      </c>
      <c r="L7" t="s">
        <v>31</v>
      </c>
      <c r="M7" s="8">
        <v>8000</v>
      </c>
      <c r="N7" t="str">
        <f t="shared" si="4"/>
        <v>Valid</v>
      </c>
      <c r="O7" s="2">
        <v>0.88</v>
      </c>
      <c r="P7" t="str">
        <f t="shared" si="5"/>
        <v>Valid</v>
      </c>
      <c r="AC7" s="5" t="s">
        <v>49</v>
      </c>
    </row>
    <row r="8" spans="1:30" x14ac:dyDescent="0.3">
      <c r="A8" t="s">
        <v>55</v>
      </c>
      <c r="B8">
        <f t="shared" si="3"/>
        <v>1</v>
      </c>
      <c r="C8" t="s">
        <v>56</v>
      </c>
      <c r="D8" t="s">
        <v>53</v>
      </c>
      <c r="F8" t="s">
        <v>57</v>
      </c>
      <c r="H8" s="1">
        <v>45695</v>
      </c>
      <c r="I8" s="1" t="b">
        <f t="shared" si="0"/>
        <v>1</v>
      </c>
      <c r="J8">
        <v>38</v>
      </c>
      <c r="K8" t="str">
        <f t="shared" si="1"/>
        <v>Valid</v>
      </c>
      <c r="M8">
        <v>9000</v>
      </c>
      <c r="N8" t="str">
        <f t="shared" si="4"/>
        <v>Valid</v>
      </c>
      <c r="O8" s="2">
        <v>0.95</v>
      </c>
      <c r="P8" t="str">
        <f t="shared" si="5"/>
        <v>Valid</v>
      </c>
      <c r="AC8" s="6">
        <v>45689</v>
      </c>
    </row>
    <row r="9" spans="1:30" x14ac:dyDescent="0.3">
      <c r="A9" t="s">
        <v>58</v>
      </c>
      <c r="B9">
        <f t="shared" si="3"/>
        <v>1</v>
      </c>
      <c r="C9" t="s">
        <v>28</v>
      </c>
      <c r="D9" t="s">
        <v>29</v>
      </c>
      <c r="F9" t="s">
        <v>30</v>
      </c>
      <c r="H9" s="1">
        <v>45689</v>
      </c>
      <c r="I9" s="1" t="b">
        <f t="shared" si="0"/>
        <v>1</v>
      </c>
      <c r="J9">
        <v>45</v>
      </c>
      <c r="K9" t="str">
        <f t="shared" si="1"/>
        <v>Valid</v>
      </c>
      <c r="L9" t="s">
        <v>31</v>
      </c>
      <c r="M9">
        <v>5000</v>
      </c>
      <c r="N9" t="str">
        <f t="shared" si="4"/>
        <v>Valid</v>
      </c>
      <c r="O9" s="2">
        <v>0.85</v>
      </c>
      <c r="P9" t="str">
        <f t="shared" si="5"/>
        <v>Valid</v>
      </c>
      <c r="T9" t="s">
        <v>100</v>
      </c>
      <c r="AC9" s="6">
        <v>45690</v>
      </c>
    </row>
    <row r="10" spans="1:30" x14ac:dyDescent="0.3">
      <c r="A10" t="s">
        <v>59</v>
      </c>
      <c r="B10">
        <f t="shared" si="3"/>
        <v>1</v>
      </c>
      <c r="C10" t="s">
        <v>60</v>
      </c>
      <c r="D10" t="s">
        <v>61</v>
      </c>
      <c r="F10" t="s">
        <v>62</v>
      </c>
      <c r="H10" s="1">
        <v>45696</v>
      </c>
      <c r="I10" s="1" t="b">
        <f t="shared" si="0"/>
        <v>1</v>
      </c>
      <c r="J10">
        <v>-5</v>
      </c>
      <c r="K10" t="str">
        <f t="shared" si="1"/>
        <v>Invalid</v>
      </c>
      <c r="L10" t="s">
        <v>31</v>
      </c>
      <c r="M10">
        <v>-2000</v>
      </c>
      <c r="N10" t="str">
        <f t="shared" si="4"/>
        <v>Invalid</v>
      </c>
      <c r="O10" s="2">
        <v>0.7</v>
      </c>
      <c r="P10" t="str">
        <f t="shared" si="5"/>
        <v>Valid</v>
      </c>
      <c r="T10" t="s">
        <v>102</v>
      </c>
      <c r="W10" t="s">
        <v>103</v>
      </c>
      <c r="Z10" t="s">
        <v>109</v>
      </c>
      <c r="AC10" s="6">
        <v>45691</v>
      </c>
    </row>
    <row r="11" spans="1:30" x14ac:dyDescent="0.3">
      <c r="A11" t="s">
        <v>63</v>
      </c>
      <c r="B11">
        <f t="shared" si="3"/>
        <v>1</v>
      </c>
      <c r="C11" t="s">
        <v>64</v>
      </c>
      <c r="D11" t="s">
        <v>65</v>
      </c>
      <c r="F11" t="s">
        <v>62</v>
      </c>
      <c r="H11" s="1">
        <v>45697</v>
      </c>
      <c r="I11" s="1" t="b">
        <f t="shared" si="0"/>
        <v>1</v>
      </c>
      <c r="J11">
        <v>31</v>
      </c>
      <c r="K11" t="str">
        <f t="shared" si="1"/>
        <v>Valid</v>
      </c>
      <c r="L11" t="s">
        <v>66</v>
      </c>
      <c r="M11">
        <v>15000</v>
      </c>
      <c r="N11" t="str">
        <f t="shared" si="4"/>
        <v>Valid</v>
      </c>
      <c r="O11" s="2">
        <v>1.2</v>
      </c>
      <c r="P11" t="str">
        <f t="shared" si="5"/>
        <v>Invalid</v>
      </c>
      <c r="AC11" s="6">
        <v>45692</v>
      </c>
    </row>
    <row r="12" spans="1:30" x14ac:dyDescent="0.3">
      <c r="A12" t="s">
        <v>67</v>
      </c>
      <c r="B12">
        <f t="shared" si="3"/>
        <v>1</v>
      </c>
      <c r="D12" t="s">
        <v>29</v>
      </c>
      <c r="F12" t="s">
        <v>30</v>
      </c>
      <c r="H12" s="1">
        <v>45698</v>
      </c>
      <c r="I12" s="1" t="b">
        <f t="shared" si="0"/>
        <v>1</v>
      </c>
      <c r="J12">
        <v>27</v>
      </c>
      <c r="K12" t="str">
        <f t="shared" si="1"/>
        <v>Valid</v>
      </c>
      <c r="L12" t="s">
        <v>31</v>
      </c>
      <c r="M12">
        <v>5200</v>
      </c>
      <c r="N12" t="str">
        <f t="shared" si="4"/>
        <v>Valid</v>
      </c>
      <c r="O12" s="2">
        <v>0.82</v>
      </c>
      <c r="P12" t="str">
        <f t="shared" si="5"/>
        <v>Valid</v>
      </c>
      <c r="T12" s="5" t="s">
        <v>70</v>
      </c>
      <c r="U12" t="s">
        <v>29</v>
      </c>
      <c r="W12" t="s">
        <v>35</v>
      </c>
      <c r="X12" t="s">
        <v>108</v>
      </c>
      <c r="Z12" t="s">
        <v>79</v>
      </c>
      <c r="AA12" t="s">
        <v>110</v>
      </c>
      <c r="AC12" s="6">
        <v>45694</v>
      </c>
    </row>
    <row r="13" spans="1:30" x14ac:dyDescent="0.3">
      <c r="A13" t="s">
        <v>68</v>
      </c>
      <c r="B13">
        <f t="shared" si="3"/>
        <v>1</v>
      </c>
      <c r="C13" t="s">
        <v>69</v>
      </c>
      <c r="D13" t="s">
        <v>70</v>
      </c>
      <c r="F13" t="s">
        <v>30</v>
      </c>
      <c r="H13" s="1">
        <v>45699</v>
      </c>
      <c r="I13" s="1" t="b">
        <f t="shared" si="0"/>
        <v>1</v>
      </c>
      <c r="J13">
        <v>29</v>
      </c>
      <c r="K13" t="str">
        <f t="shared" si="1"/>
        <v>Valid</v>
      </c>
      <c r="L13" t="s">
        <v>31</v>
      </c>
      <c r="M13">
        <v>6100</v>
      </c>
      <c r="N13" t="str">
        <f t="shared" si="4"/>
        <v>Valid</v>
      </c>
      <c r="O13" s="2">
        <v>0.85</v>
      </c>
      <c r="P13" t="str">
        <f t="shared" si="5"/>
        <v>Valid</v>
      </c>
      <c r="T13" s="5" t="s">
        <v>34</v>
      </c>
      <c r="U13" t="s">
        <v>29</v>
      </c>
      <c r="W13" t="s">
        <v>54</v>
      </c>
      <c r="X13" t="s">
        <v>107</v>
      </c>
      <c r="Z13" t="s">
        <v>41</v>
      </c>
      <c r="AA13" t="s">
        <v>41</v>
      </c>
      <c r="AC13" s="6">
        <v>45695</v>
      </c>
    </row>
    <row r="14" spans="1:30" x14ac:dyDescent="0.3">
      <c r="A14" t="s">
        <v>71</v>
      </c>
      <c r="B14">
        <f t="shared" si="3"/>
        <v>1</v>
      </c>
      <c r="C14" t="s">
        <v>72</v>
      </c>
      <c r="D14" t="s">
        <v>73</v>
      </c>
      <c r="F14" t="s">
        <v>30</v>
      </c>
      <c r="H14" s="1">
        <v>45700</v>
      </c>
      <c r="I14" s="1" t="b">
        <f t="shared" si="0"/>
        <v>1</v>
      </c>
      <c r="J14">
        <v>33</v>
      </c>
      <c r="K14" t="str">
        <f t="shared" si="1"/>
        <v>Valid</v>
      </c>
      <c r="L14" t="s">
        <v>41</v>
      </c>
      <c r="M14">
        <v>4100</v>
      </c>
      <c r="N14" t="str">
        <f t="shared" si="4"/>
        <v>Valid</v>
      </c>
      <c r="O14" s="2">
        <v>0.84</v>
      </c>
      <c r="P14" t="str">
        <f t="shared" si="5"/>
        <v>Valid</v>
      </c>
      <c r="T14" s="5" t="s">
        <v>29</v>
      </c>
      <c r="U14" t="s">
        <v>29</v>
      </c>
      <c r="W14" t="s">
        <v>45</v>
      </c>
      <c r="X14" t="s">
        <v>104</v>
      </c>
      <c r="Z14" t="s">
        <v>66</v>
      </c>
      <c r="AA14" t="s">
        <v>31</v>
      </c>
      <c r="AC14" s="6">
        <v>45696</v>
      </c>
    </row>
    <row r="15" spans="1:30" x14ac:dyDescent="0.3">
      <c r="A15" t="s">
        <v>74</v>
      </c>
      <c r="B15">
        <f t="shared" si="3"/>
        <v>1</v>
      </c>
      <c r="C15" t="s">
        <v>75</v>
      </c>
      <c r="D15" t="s">
        <v>76</v>
      </c>
      <c r="F15" t="s">
        <v>45</v>
      </c>
      <c r="H15" s="1">
        <v>45701</v>
      </c>
      <c r="I15" s="1" t="b">
        <f t="shared" si="0"/>
        <v>1</v>
      </c>
      <c r="J15">
        <v>36</v>
      </c>
      <c r="K15" t="str">
        <f t="shared" si="1"/>
        <v>Valid</v>
      </c>
      <c r="L15" t="s">
        <v>31</v>
      </c>
      <c r="M15">
        <v>5600</v>
      </c>
      <c r="N15" t="str">
        <f t="shared" si="4"/>
        <v>Valid</v>
      </c>
      <c r="O15" s="2">
        <v>0.76</v>
      </c>
      <c r="P15" t="str">
        <f t="shared" si="5"/>
        <v>Valid</v>
      </c>
      <c r="T15" s="5" t="s">
        <v>73</v>
      </c>
      <c r="U15" t="s">
        <v>29</v>
      </c>
      <c r="W15" t="s">
        <v>30</v>
      </c>
      <c r="X15" t="s">
        <v>105</v>
      </c>
      <c r="Z15" t="s">
        <v>31</v>
      </c>
      <c r="AA15" t="s">
        <v>31</v>
      </c>
      <c r="AC15" s="6">
        <v>45697</v>
      </c>
    </row>
    <row r="16" spans="1:30" x14ac:dyDescent="0.3">
      <c r="A16" t="s">
        <v>77</v>
      </c>
      <c r="B16">
        <f t="shared" si="3"/>
        <v>1</v>
      </c>
      <c r="C16" t="s">
        <v>78</v>
      </c>
      <c r="D16" t="s">
        <v>65</v>
      </c>
      <c r="F16" t="s">
        <v>62</v>
      </c>
      <c r="H16" s="1">
        <v>45702</v>
      </c>
      <c r="I16" s="1" t="b">
        <f t="shared" si="0"/>
        <v>1</v>
      </c>
      <c r="J16">
        <v>44</v>
      </c>
      <c r="K16" t="str">
        <f t="shared" si="1"/>
        <v>Valid</v>
      </c>
      <c r="L16" t="s">
        <v>79</v>
      </c>
      <c r="M16">
        <v>7200</v>
      </c>
      <c r="N16" t="str">
        <f t="shared" si="4"/>
        <v>Valid</v>
      </c>
      <c r="O16" s="2">
        <v>0.92</v>
      </c>
      <c r="P16" t="str">
        <f t="shared" si="5"/>
        <v>Valid</v>
      </c>
      <c r="T16" s="5" t="s">
        <v>65</v>
      </c>
      <c r="U16" t="s">
        <v>65</v>
      </c>
      <c r="W16" s="5" t="s">
        <v>40</v>
      </c>
      <c r="X16" t="s">
        <v>105</v>
      </c>
      <c r="AC16" s="6">
        <v>45698</v>
      </c>
    </row>
    <row r="17" spans="1:29" x14ac:dyDescent="0.3">
      <c r="A17" t="s">
        <v>80</v>
      </c>
      <c r="B17">
        <f t="shared" si="3"/>
        <v>1</v>
      </c>
      <c r="C17" t="s">
        <v>81</v>
      </c>
      <c r="D17" t="s">
        <v>82</v>
      </c>
      <c r="F17" t="s">
        <v>30</v>
      </c>
      <c r="H17" s="1">
        <v>45703</v>
      </c>
      <c r="I17" s="1" t="b">
        <f t="shared" si="0"/>
        <v>1</v>
      </c>
      <c r="J17" t="s">
        <v>83</v>
      </c>
      <c r="K17" t="str">
        <f t="shared" si="1"/>
        <v>Invalid</v>
      </c>
      <c r="L17" t="s">
        <v>31</v>
      </c>
      <c r="M17">
        <v>6400</v>
      </c>
      <c r="N17" t="str">
        <f t="shared" si="4"/>
        <v>Valid</v>
      </c>
      <c r="O17" s="2">
        <v>0.89</v>
      </c>
      <c r="P17" t="str">
        <f t="shared" si="5"/>
        <v>Valid</v>
      </c>
      <c r="T17" s="5" t="s">
        <v>48</v>
      </c>
      <c r="U17" t="s">
        <v>76</v>
      </c>
      <c r="W17" s="5" t="s">
        <v>62</v>
      </c>
      <c r="X17" t="s">
        <v>106</v>
      </c>
      <c r="AC17" s="6">
        <v>45699</v>
      </c>
    </row>
    <row r="18" spans="1:29" x14ac:dyDescent="0.3">
      <c r="A18" t="s">
        <v>84</v>
      </c>
      <c r="B18">
        <f t="shared" si="3"/>
        <v>1</v>
      </c>
      <c r="C18" t="s">
        <v>85</v>
      </c>
      <c r="D18" t="s">
        <v>53</v>
      </c>
      <c r="F18" t="s">
        <v>54</v>
      </c>
      <c r="H18" s="1">
        <v>45704</v>
      </c>
      <c r="I18" s="1" t="b">
        <f t="shared" si="0"/>
        <v>1</v>
      </c>
      <c r="J18">
        <v>39</v>
      </c>
      <c r="K18" t="str">
        <f t="shared" si="1"/>
        <v>Valid</v>
      </c>
      <c r="L18" t="s">
        <v>41</v>
      </c>
      <c r="M18">
        <v>1</v>
      </c>
      <c r="N18" t="str">
        <f t="shared" si="4"/>
        <v>Valid</v>
      </c>
      <c r="O18">
        <v>0</v>
      </c>
      <c r="P18" t="str">
        <f t="shared" si="5"/>
        <v>Invalid</v>
      </c>
      <c r="T18" s="5" t="s">
        <v>76</v>
      </c>
      <c r="U18" t="s">
        <v>76</v>
      </c>
      <c r="W18" s="5" t="s">
        <v>57</v>
      </c>
      <c r="X18" t="s">
        <v>107</v>
      </c>
      <c r="AC18" s="6">
        <v>45700</v>
      </c>
    </row>
    <row r="19" spans="1:29" x14ac:dyDescent="0.3">
      <c r="A19" t="s">
        <v>86</v>
      </c>
      <c r="B19">
        <f t="shared" si="3"/>
        <v>1</v>
      </c>
      <c r="C19" t="s">
        <v>87</v>
      </c>
      <c r="D19" t="s">
        <v>44</v>
      </c>
      <c r="F19" t="s">
        <v>45</v>
      </c>
      <c r="H19" s="1">
        <v>45705</v>
      </c>
      <c r="I19" s="1" t="b">
        <f t="shared" si="0"/>
        <v>1</v>
      </c>
      <c r="J19">
        <v>28</v>
      </c>
      <c r="K19" t="str">
        <f t="shared" si="1"/>
        <v>Valid</v>
      </c>
      <c r="L19" t="s">
        <v>31</v>
      </c>
      <c r="N19" t="str">
        <f t="shared" si="4"/>
        <v>Invalid</v>
      </c>
      <c r="O19" s="2">
        <v>0.8</v>
      </c>
      <c r="P19" t="str">
        <f t="shared" si="5"/>
        <v>Valid</v>
      </c>
      <c r="T19" s="5" t="s">
        <v>44</v>
      </c>
      <c r="U19" t="s">
        <v>76</v>
      </c>
      <c r="W19" s="5"/>
      <c r="AC19" s="6">
        <v>45701</v>
      </c>
    </row>
    <row r="20" spans="1:29" x14ac:dyDescent="0.3">
      <c r="A20" t="s">
        <v>88</v>
      </c>
      <c r="B20">
        <f t="shared" si="3"/>
        <v>1</v>
      </c>
      <c r="C20" t="s">
        <v>89</v>
      </c>
      <c r="D20" t="s">
        <v>65</v>
      </c>
      <c r="F20" t="s">
        <v>62</v>
      </c>
      <c r="H20" s="1">
        <v>45706</v>
      </c>
      <c r="I20" s="1" t="b">
        <f t="shared" si="0"/>
        <v>1</v>
      </c>
      <c r="J20">
        <v>35</v>
      </c>
      <c r="K20" t="str">
        <f t="shared" si="1"/>
        <v>Valid</v>
      </c>
      <c r="L20" t="s">
        <v>41</v>
      </c>
      <c r="M20">
        <v>5400</v>
      </c>
      <c r="N20" t="str">
        <f t="shared" si="4"/>
        <v>Valid</v>
      </c>
      <c r="O20" s="2">
        <v>1.01</v>
      </c>
      <c r="P20" t="str">
        <f t="shared" si="5"/>
        <v>Invalid</v>
      </c>
      <c r="T20" s="5" t="s">
        <v>53</v>
      </c>
      <c r="U20" t="s">
        <v>53</v>
      </c>
      <c r="W20" s="5"/>
      <c r="AC20" s="6">
        <v>45702</v>
      </c>
    </row>
    <row r="21" spans="1:29" x14ac:dyDescent="0.3">
      <c r="A21" t="s">
        <v>90</v>
      </c>
      <c r="B21">
        <f t="shared" si="3"/>
        <v>1</v>
      </c>
      <c r="C21" t="s">
        <v>28</v>
      </c>
      <c r="D21" t="s">
        <v>29</v>
      </c>
      <c r="F21" t="s">
        <v>30</v>
      </c>
      <c r="H21" s="1">
        <v>45689</v>
      </c>
      <c r="I21" s="1" t="b">
        <f t="shared" si="0"/>
        <v>1</v>
      </c>
      <c r="J21">
        <v>45</v>
      </c>
      <c r="K21" t="str">
        <f t="shared" si="1"/>
        <v>Valid</v>
      </c>
      <c r="L21" t="s">
        <v>31</v>
      </c>
      <c r="M21">
        <v>5000</v>
      </c>
      <c r="N21" t="str">
        <f t="shared" si="4"/>
        <v>Valid</v>
      </c>
      <c r="O21" s="2">
        <v>0.85</v>
      </c>
      <c r="P21" t="str">
        <f t="shared" si="5"/>
        <v>Valid</v>
      </c>
      <c r="T21" s="5" t="s">
        <v>61</v>
      </c>
      <c r="U21" t="s">
        <v>61</v>
      </c>
      <c r="W21" s="5"/>
      <c r="AC21" s="6">
        <v>45703</v>
      </c>
    </row>
    <row r="22" spans="1:29" x14ac:dyDescent="0.3">
      <c r="AC22" s="6">
        <v>45704</v>
      </c>
    </row>
    <row r="23" spans="1:29" x14ac:dyDescent="0.3">
      <c r="AC23" s="6">
        <v>45705</v>
      </c>
    </row>
    <row r="24" spans="1:29" x14ac:dyDescent="0.3">
      <c r="AC24" s="6">
        <v>45706</v>
      </c>
    </row>
    <row r="25" spans="1:29" x14ac:dyDescent="0.3">
      <c r="T25" t="s">
        <v>113</v>
      </c>
      <c r="AC25" s="5" t="s">
        <v>98</v>
      </c>
    </row>
    <row r="27" spans="1:29" x14ac:dyDescent="0.3">
      <c r="U27" t="s">
        <v>115</v>
      </c>
      <c r="V27" t="s">
        <v>116</v>
      </c>
    </row>
    <row r="28" spans="1:29" x14ac:dyDescent="0.3">
      <c r="T28" t="s">
        <v>114</v>
      </c>
      <c r="U28" t="s">
        <v>49</v>
      </c>
      <c r="V28" t="s">
        <v>117</v>
      </c>
    </row>
    <row r="31" spans="1:29" x14ac:dyDescent="0.3">
      <c r="T31" t="s">
        <v>26</v>
      </c>
      <c r="U31" t="s">
        <v>119</v>
      </c>
      <c r="V31">
        <v>4</v>
      </c>
    </row>
    <row r="34" spans="20:22" x14ac:dyDescent="0.3">
      <c r="T34" t="s">
        <v>120</v>
      </c>
      <c r="U34" t="s">
        <v>122</v>
      </c>
      <c r="V34">
        <v>2</v>
      </c>
    </row>
    <row r="36" spans="20:22" x14ac:dyDescent="0.3">
      <c r="T36" t="s">
        <v>124</v>
      </c>
      <c r="U36" t="s">
        <v>122</v>
      </c>
      <c r="V36">
        <v>4</v>
      </c>
    </row>
  </sheetData>
  <autoFilter ref="A1:P21" xr:uid="{9797FD0E-20D6-4F9F-B23C-34DCC1487E5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A5278-CA1C-48D3-B95E-1ABCB976286B}">
  <dimension ref="A1:I20"/>
  <sheetViews>
    <sheetView workbookViewId="0">
      <selection activeCell="D23" sqref="D23"/>
    </sheetView>
  </sheetViews>
  <sheetFormatPr defaultRowHeight="14.4" x14ac:dyDescent="0.3"/>
  <cols>
    <col min="2" max="2" width="12.6640625" bestFit="1" customWidth="1"/>
    <col min="3" max="3" width="10.88671875" bestFit="1" customWidth="1"/>
    <col min="4" max="4" width="12" bestFit="1" customWidth="1"/>
    <col min="5" max="5" width="15.109375" bestFit="1" customWidth="1"/>
    <col min="7" max="7" width="10.33203125" customWidth="1"/>
    <col min="8" max="8" width="14.33203125" bestFit="1" customWidth="1"/>
    <col min="12" max="12" width="12.5546875" bestFit="1" customWidth="1"/>
    <col min="13" max="13" width="16.6640625" bestFit="1" customWidth="1"/>
  </cols>
  <sheetData>
    <row r="1" spans="1:9" x14ac:dyDescent="0.3">
      <c r="A1" t="s">
        <v>21</v>
      </c>
      <c r="B1" t="s">
        <v>127</v>
      </c>
      <c r="C1" t="s">
        <v>23</v>
      </c>
      <c r="D1" t="s">
        <v>128</v>
      </c>
      <c r="E1" t="s">
        <v>25</v>
      </c>
      <c r="F1" t="s">
        <v>26</v>
      </c>
      <c r="G1" t="s">
        <v>130</v>
      </c>
      <c r="H1" t="s">
        <v>120</v>
      </c>
      <c r="I1" t="s">
        <v>129</v>
      </c>
    </row>
    <row r="2" spans="1:9" x14ac:dyDescent="0.3">
      <c r="A2" t="s">
        <v>27</v>
      </c>
      <c r="B2" t="s">
        <v>28</v>
      </c>
      <c r="C2" t="s">
        <v>29</v>
      </c>
      <c r="D2" t="s">
        <v>105</v>
      </c>
      <c r="E2" s="7">
        <v>45689</v>
      </c>
      <c r="F2">
        <v>45</v>
      </c>
      <c r="G2" t="s">
        <v>31</v>
      </c>
      <c r="H2">
        <v>5000</v>
      </c>
      <c r="I2" s="3">
        <v>0.85</v>
      </c>
    </row>
    <row r="3" spans="1:9" x14ac:dyDescent="0.3">
      <c r="A3" t="s">
        <v>32</v>
      </c>
      <c r="B3" t="s">
        <v>125</v>
      </c>
      <c r="C3" t="s">
        <v>29</v>
      </c>
      <c r="D3" t="s">
        <v>108</v>
      </c>
      <c r="E3" s="7">
        <v>45690</v>
      </c>
      <c r="F3">
        <v>34</v>
      </c>
      <c r="G3" t="s">
        <v>31</v>
      </c>
      <c r="H3">
        <v>4500</v>
      </c>
      <c r="I3" s="3">
        <v>0.9</v>
      </c>
    </row>
    <row r="4" spans="1:9" x14ac:dyDescent="0.3">
      <c r="A4" t="s">
        <v>37</v>
      </c>
      <c r="B4" t="s">
        <v>126</v>
      </c>
      <c r="C4" t="s">
        <v>29</v>
      </c>
      <c r="D4" t="s">
        <v>105</v>
      </c>
      <c r="E4" s="7">
        <v>45691</v>
      </c>
      <c r="F4">
        <v>29</v>
      </c>
      <c r="G4" t="s">
        <v>41</v>
      </c>
      <c r="H4">
        <v>7000</v>
      </c>
      <c r="I4" s="3">
        <v>0.66</v>
      </c>
    </row>
    <row r="5" spans="1:9" x14ac:dyDescent="0.3">
      <c r="A5" t="s">
        <v>42</v>
      </c>
      <c r="B5" t="s">
        <v>43</v>
      </c>
      <c r="C5" t="s">
        <v>76</v>
      </c>
      <c r="D5" t="s">
        <v>104</v>
      </c>
      <c r="E5" s="7">
        <v>45692</v>
      </c>
      <c r="F5">
        <v>28.5</v>
      </c>
      <c r="G5" t="s">
        <v>31</v>
      </c>
      <c r="H5">
        <v>6200</v>
      </c>
      <c r="I5" s="3">
        <v>0.75</v>
      </c>
    </row>
    <row r="6" spans="1:9" x14ac:dyDescent="0.3">
      <c r="A6" t="s">
        <v>46</v>
      </c>
      <c r="B6" t="s">
        <v>47</v>
      </c>
      <c r="C6" t="s">
        <v>76</v>
      </c>
      <c r="D6" t="s">
        <v>104</v>
      </c>
      <c r="E6" s="7">
        <v>45716</v>
      </c>
      <c r="F6">
        <v>41</v>
      </c>
      <c r="G6" t="s">
        <v>41</v>
      </c>
      <c r="H6">
        <v>3000</v>
      </c>
      <c r="I6" s="3">
        <v>0.65</v>
      </c>
    </row>
    <row r="7" spans="1:9" x14ac:dyDescent="0.3">
      <c r="A7" t="s">
        <v>51</v>
      </c>
      <c r="B7" t="s">
        <v>52</v>
      </c>
      <c r="C7" t="s">
        <v>53</v>
      </c>
      <c r="D7" t="s">
        <v>107</v>
      </c>
      <c r="E7" s="7">
        <v>45694</v>
      </c>
      <c r="F7">
        <v>28.5</v>
      </c>
      <c r="G7" t="s">
        <v>31</v>
      </c>
      <c r="H7">
        <v>8000</v>
      </c>
      <c r="I7" s="3">
        <v>0.88</v>
      </c>
    </row>
    <row r="8" spans="1:9" x14ac:dyDescent="0.3">
      <c r="A8" t="s">
        <v>55</v>
      </c>
      <c r="B8" t="s">
        <v>56</v>
      </c>
      <c r="C8" t="s">
        <v>53</v>
      </c>
      <c r="D8" t="s">
        <v>107</v>
      </c>
      <c r="E8" s="7">
        <v>45695</v>
      </c>
      <c r="F8">
        <v>38</v>
      </c>
      <c r="G8" t="s">
        <v>110</v>
      </c>
      <c r="H8">
        <v>9000</v>
      </c>
      <c r="I8" s="3">
        <v>0.95</v>
      </c>
    </row>
    <row r="9" spans="1:9" x14ac:dyDescent="0.3">
      <c r="A9" t="s">
        <v>59</v>
      </c>
      <c r="B9" t="s">
        <v>60</v>
      </c>
      <c r="C9" t="s">
        <v>61</v>
      </c>
      <c r="D9" t="s">
        <v>106</v>
      </c>
      <c r="E9" s="7">
        <v>45696</v>
      </c>
      <c r="F9">
        <v>28.5</v>
      </c>
      <c r="G9" t="s">
        <v>31</v>
      </c>
      <c r="H9">
        <v>5385.05</v>
      </c>
      <c r="I9" s="3">
        <v>0.7</v>
      </c>
    </row>
    <row r="10" spans="1:9" x14ac:dyDescent="0.3">
      <c r="A10" t="s">
        <v>63</v>
      </c>
      <c r="B10" t="s">
        <v>64</v>
      </c>
      <c r="C10" t="s">
        <v>65</v>
      </c>
      <c r="D10" t="s">
        <v>106</v>
      </c>
      <c r="E10" s="7">
        <v>45697</v>
      </c>
      <c r="F10">
        <v>31</v>
      </c>
      <c r="G10" t="s">
        <v>31</v>
      </c>
      <c r="H10">
        <v>15000</v>
      </c>
      <c r="I10" s="3">
        <v>0.66</v>
      </c>
    </row>
    <row r="11" spans="1:9" x14ac:dyDescent="0.3">
      <c r="A11" t="s">
        <v>67</v>
      </c>
      <c r="B11" t="s">
        <v>110</v>
      </c>
      <c r="C11" t="s">
        <v>29</v>
      </c>
      <c r="D11" t="s">
        <v>105</v>
      </c>
      <c r="E11" s="7">
        <v>45698</v>
      </c>
      <c r="F11">
        <v>27</v>
      </c>
      <c r="G11" t="s">
        <v>31</v>
      </c>
      <c r="H11">
        <v>5200</v>
      </c>
      <c r="I11" s="3">
        <v>0.82</v>
      </c>
    </row>
    <row r="12" spans="1:9" x14ac:dyDescent="0.3">
      <c r="A12" t="s">
        <v>68</v>
      </c>
      <c r="B12" t="s">
        <v>69</v>
      </c>
      <c r="C12" t="s">
        <v>29</v>
      </c>
      <c r="D12" t="s">
        <v>105</v>
      </c>
      <c r="E12" s="7">
        <v>45699</v>
      </c>
      <c r="F12">
        <v>29</v>
      </c>
      <c r="G12" t="s">
        <v>31</v>
      </c>
      <c r="H12">
        <v>6100</v>
      </c>
      <c r="I12" s="3">
        <v>0.85</v>
      </c>
    </row>
    <row r="13" spans="1:9" x14ac:dyDescent="0.3">
      <c r="A13" t="s">
        <v>71</v>
      </c>
      <c r="B13" t="s">
        <v>72</v>
      </c>
      <c r="C13" t="s">
        <v>29</v>
      </c>
      <c r="D13" t="s">
        <v>105</v>
      </c>
      <c r="E13" s="7">
        <v>45700</v>
      </c>
      <c r="F13">
        <v>33</v>
      </c>
      <c r="G13" t="s">
        <v>41</v>
      </c>
      <c r="H13">
        <v>4100</v>
      </c>
      <c r="I13" s="3">
        <v>0.84</v>
      </c>
    </row>
    <row r="14" spans="1:9" x14ac:dyDescent="0.3">
      <c r="A14" t="s">
        <v>74</v>
      </c>
      <c r="B14" t="s">
        <v>75</v>
      </c>
      <c r="C14" t="s">
        <v>76</v>
      </c>
      <c r="D14" t="s">
        <v>104</v>
      </c>
      <c r="E14" s="7">
        <v>45701</v>
      </c>
      <c r="F14">
        <v>36</v>
      </c>
      <c r="G14" t="s">
        <v>31</v>
      </c>
      <c r="H14">
        <v>5600</v>
      </c>
      <c r="I14" s="3">
        <v>0.76</v>
      </c>
    </row>
    <row r="15" spans="1:9" x14ac:dyDescent="0.3">
      <c r="A15" t="s">
        <v>77</v>
      </c>
      <c r="B15" t="s">
        <v>78</v>
      </c>
      <c r="C15" t="s">
        <v>65</v>
      </c>
      <c r="D15" t="s">
        <v>106</v>
      </c>
      <c r="E15" s="7">
        <v>45702</v>
      </c>
      <c r="F15">
        <v>44</v>
      </c>
      <c r="G15" t="s">
        <v>110</v>
      </c>
      <c r="H15">
        <v>7200</v>
      </c>
      <c r="I15" s="3">
        <v>0.92</v>
      </c>
    </row>
    <row r="16" spans="1:9" x14ac:dyDescent="0.3">
      <c r="A16" t="s">
        <v>80</v>
      </c>
      <c r="B16" t="s">
        <v>81</v>
      </c>
      <c r="C16" t="s">
        <v>29</v>
      </c>
      <c r="D16" t="s">
        <v>105</v>
      </c>
      <c r="E16" s="7">
        <v>45703</v>
      </c>
      <c r="F16">
        <v>28.5</v>
      </c>
      <c r="G16" t="s">
        <v>31</v>
      </c>
      <c r="H16">
        <v>6400</v>
      </c>
      <c r="I16" s="3">
        <v>0.89</v>
      </c>
    </row>
    <row r="17" spans="1:9" x14ac:dyDescent="0.3">
      <c r="A17" t="s">
        <v>84</v>
      </c>
      <c r="B17" t="s">
        <v>85</v>
      </c>
      <c r="C17" t="s">
        <v>53</v>
      </c>
      <c r="D17" t="s">
        <v>107</v>
      </c>
      <c r="E17" s="7">
        <v>45704</v>
      </c>
      <c r="F17">
        <v>39</v>
      </c>
      <c r="G17" t="s">
        <v>41</v>
      </c>
      <c r="H17">
        <v>5385.05</v>
      </c>
      <c r="I17" s="3">
        <v>0.66</v>
      </c>
    </row>
    <row r="18" spans="1:9" x14ac:dyDescent="0.3">
      <c r="A18" t="s">
        <v>86</v>
      </c>
      <c r="B18" t="s">
        <v>87</v>
      </c>
      <c r="C18" t="s">
        <v>76</v>
      </c>
      <c r="D18" t="s">
        <v>104</v>
      </c>
      <c r="E18" s="7">
        <v>45705</v>
      </c>
      <c r="F18">
        <v>28</v>
      </c>
      <c r="G18" t="s">
        <v>31</v>
      </c>
      <c r="H18">
        <v>5385.05</v>
      </c>
      <c r="I18" s="3">
        <v>0.8</v>
      </c>
    </row>
    <row r="19" spans="1:9" x14ac:dyDescent="0.3">
      <c r="A19" t="s">
        <v>88</v>
      </c>
      <c r="B19" t="s">
        <v>89</v>
      </c>
      <c r="C19" t="s">
        <v>65</v>
      </c>
      <c r="D19" t="s">
        <v>106</v>
      </c>
      <c r="E19" s="7">
        <v>45706</v>
      </c>
      <c r="F19">
        <v>35</v>
      </c>
      <c r="G19" t="s">
        <v>41</v>
      </c>
      <c r="H19">
        <v>5400</v>
      </c>
      <c r="I19" s="3">
        <v>0.66</v>
      </c>
    </row>
    <row r="20" spans="1:9" x14ac:dyDescent="0.3">
      <c r="E20" s="7"/>
      <c r="I20" s="3"/>
    </row>
  </sheetData>
  <autoFilter ref="A1:I20" xr:uid="{30DA5278-CA1C-48D3-B95E-1ABCB976286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6068-72AC-4278-981E-8845F12B7053}">
  <dimension ref="A1:N41"/>
  <sheetViews>
    <sheetView showGridLines="0" showRowColHeaders="0" workbookViewId="0">
      <selection activeCell="O10" sqref="O10"/>
    </sheetView>
  </sheetViews>
  <sheetFormatPr defaultRowHeight="14.4" x14ac:dyDescent="0.3"/>
  <sheetData>
    <row r="1" spans="1:14" ht="15.6" x14ac:dyDescent="0.3">
      <c r="A1" s="9" t="s">
        <v>131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6" x14ac:dyDescent="0.3">
      <c r="A2" s="9" t="s">
        <v>132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5.6" x14ac:dyDescent="0.3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5.6" x14ac:dyDescent="0.3">
      <c r="A4" s="9" t="s">
        <v>133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ht="15.6" x14ac:dyDescent="0.3">
      <c r="A5" s="9" t="s">
        <v>134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ht="15.6" x14ac:dyDescent="0.3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ht="15.6" x14ac:dyDescent="0.3">
      <c r="A7" s="9" t="s">
        <v>135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ht="15.6" x14ac:dyDescent="0.3">
      <c r="A8" s="9" t="s">
        <v>136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ht="15.6" x14ac:dyDescent="0.3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ht="15.6" x14ac:dyDescent="0.3">
      <c r="A10" s="9" t="s">
        <v>137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.6" x14ac:dyDescent="0.3">
      <c r="A11" s="9" t="s">
        <v>138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.6" x14ac:dyDescent="0.3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.6" x14ac:dyDescent="0.3">
      <c r="A13" s="9" t="s">
        <v>139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.6" x14ac:dyDescent="0.3">
      <c r="A14" s="9" t="s">
        <v>140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.6" x14ac:dyDescent="0.3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.6" x14ac:dyDescent="0.3">
      <c r="A16" s="9" t="s">
        <v>141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.6" x14ac:dyDescent="0.3">
      <c r="A17" s="9" t="s">
        <v>142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.6" x14ac:dyDescent="0.3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.6" x14ac:dyDescent="0.3">
      <c r="A19" s="9" t="s">
        <v>143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.6" x14ac:dyDescent="0.3">
      <c r="A20" s="9" t="s">
        <v>144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.6" x14ac:dyDescent="0.3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.6" x14ac:dyDescent="0.3">
      <c r="A22" s="9" t="s">
        <v>145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.6" x14ac:dyDescent="0.3">
      <c r="A23" s="9" t="s">
        <v>146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.6" x14ac:dyDescent="0.3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.6" x14ac:dyDescent="0.3">
      <c r="A25" s="9" t="s">
        <v>147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.6" x14ac:dyDescent="0.3">
      <c r="A26" s="9" t="s">
        <v>148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.6" x14ac:dyDescent="0.3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.6" x14ac:dyDescent="0.3">
      <c r="A28" s="9" t="s">
        <v>149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.6" x14ac:dyDescent="0.3">
      <c r="A29" s="9" t="s">
        <v>150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.6" x14ac:dyDescent="0.3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.6" x14ac:dyDescent="0.3">
      <c r="A31" s="9" t="s">
        <v>151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.6" x14ac:dyDescent="0.3">
      <c r="A32" s="9" t="s">
        <v>152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.6" x14ac:dyDescent="0.3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.6" x14ac:dyDescent="0.3">
      <c r="A34" s="9" t="s">
        <v>153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.6" x14ac:dyDescent="0.3">
      <c r="A35" s="9" t="s">
        <v>154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.6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.6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.6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.6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.6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.6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working</vt:lpstr>
      <vt:lpstr>Cleaned_Data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Tirumani</dc:creator>
  <cp:lastModifiedBy>Praveen Tirumani</cp:lastModifiedBy>
  <dcterms:created xsi:type="dcterms:W3CDTF">2026-05-13T04:41:03Z</dcterms:created>
  <dcterms:modified xsi:type="dcterms:W3CDTF">2026-05-13T07:03:15Z</dcterms:modified>
</cp:coreProperties>
</file>